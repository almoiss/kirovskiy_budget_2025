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бюджетный процесс\"/>
    </mc:Choice>
  </mc:AlternateContent>
  <xr:revisionPtr revIDLastSave="0" documentId="13_ncr:1_{334B2123-8317-4B71-B349-4F78715A554A}" xr6:coauthVersionLast="47" xr6:coauthVersionMax="47" xr10:uidLastSave="{00000000-0000-0000-0000-000000000000}"/>
  <bookViews>
    <workbookView xWindow="-110" yWindow="-110" windowWidth="19420" windowHeight="10420" firstSheet="3" activeTab="6" xr2:uid="{F0595B56-26EC-4649-A188-4D9EAD9A6607}"/>
  </bookViews>
  <sheets>
    <sheet name="Описание" sheetId="9" r:id="rId1"/>
    <sheet name="2024" sheetId="5" r:id="rId2"/>
    <sheet name="2025" sheetId="1" r:id="rId3"/>
    <sheet name="план 2025" sheetId="3" r:id="rId4"/>
    <sheet name=" факт 2025" sheetId="2" r:id="rId5"/>
    <sheet name="динамика по месяцам" sheetId="8" r:id="rId6"/>
    <sheet name="Заключение" sheetId="10" r:id="rId7"/>
  </sheets>
  <definedNames>
    <definedName name="_xlchart.v1.0" hidden="1">' факт 2025'!$D$20:$D$28</definedName>
    <definedName name="_xlchart.v1.1" hidden="1">' факт 2025'!$E$19</definedName>
    <definedName name="_xlchart.v1.2" hidden="1">' факт 2025'!$E$20:$E$28</definedName>
    <definedName name="_xlnm._FilterDatabase" localSheetId="2" hidden="1">'2025'!$A$1:$W$968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0" i="8" l="1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E15" i="8"/>
  <c r="E16" i="8"/>
  <c r="E17" i="8"/>
  <c r="E18" i="8"/>
  <c r="E19" i="8"/>
  <c r="E20" i="8"/>
  <c r="E21" i="8"/>
  <c r="E22" i="8"/>
  <c r="F15" i="8"/>
  <c r="F16" i="8" s="1"/>
  <c r="F17" i="8" s="1"/>
  <c r="F18" i="8" s="1"/>
  <c r="F19" i="8" s="1"/>
  <c r="F20" i="8" s="1"/>
  <c r="F21" i="8" s="1"/>
  <c r="F22" i="8" s="1"/>
</calcChain>
</file>

<file path=xl/sharedStrings.xml><?xml version="1.0" encoding="utf-8"?>
<sst xmlns="http://schemas.openxmlformats.org/spreadsheetml/2006/main" count="43461" uniqueCount="606">
  <si>
    <t>Период</t>
  </si>
  <si>
    <t>Наименование периода</t>
  </si>
  <si>
    <t>Коды бюджетной классификации</t>
  </si>
  <si>
    <t>Раздел/Подраздел</t>
  </si>
  <si>
    <t>Наименование раздела</t>
  </si>
  <si>
    <t>Подраздел</t>
  </si>
  <si>
    <t>Наименование подраздела</t>
  </si>
  <si>
    <t>Гос.программа</t>
  </si>
  <si>
    <t>Наименование гос.программы</t>
  </si>
  <si>
    <t>Гос.программа/элемент</t>
  </si>
  <si>
    <t>Код элемента</t>
  </si>
  <si>
    <t>Наименование элемента</t>
  </si>
  <si>
    <t>Целевая статья</t>
  </si>
  <si>
    <t>Наименование целевой статьи</t>
  </si>
  <si>
    <t>Вид расходов</t>
  </si>
  <si>
    <t>Наименование вида расходов</t>
  </si>
  <si>
    <t>Наименование ГРБС</t>
  </si>
  <si>
    <t>ИНН ГРБС</t>
  </si>
  <si>
    <t>Уточненный план на год</t>
  </si>
  <si>
    <t>Исполнено с начала года</t>
  </si>
  <si>
    <t>Исполнено с начала месяца</t>
  </si>
  <si>
    <t>Остаток ассигнований на год</t>
  </si>
  <si>
    <t>Процент исполнения к уточненному плану года</t>
  </si>
  <si>
    <t>1</t>
  </si>
  <si>
    <t>январь</t>
  </si>
  <si>
    <t xml:space="preserve">  0103 9950000060 244</t>
  </si>
  <si>
    <t>0103</t>
  </si>
  <si>
    <t>Общегосударственные вопросы</t>
  </si>
  <si>
    <t>03</t>
  </si>
  <si>
    <t>Функционирование законодательных (представительных) органов государственной власти и представительных органов муниципальных образований</t>
  </si>
  <si>
    <t>99</t>
  </si>
  <si>
    <t>Непрограммные расходы</t>
  </si>
  <si>
    <t>995</t>
  </si>
  <si>
    <t>5</t>
  </si>
  <si>
    <t>Процессная часть перечня мероприятий</t>
  </si>
  <si>
    <t>9950000060</t>
  </si>
  <si>
    <t>Расходы на обслуживание приемных помещений депутатов Законодательного Собрания Санкт-Петербурга</t>
  </si>
  <si>
    <t>244</t>
  </si>
  <si>
    <t>Прочая закупка товаров, работ и услуг</t>
  </si>
  <si>
    <t>Администрация Кировского района Санкт-Петербурга</t>
  </si>
  <si>
    <t>7805059546</t>
  </si>
  <si>
    <t xml:space="preserve">  0103 9950000060 247</t>
  </si>
  <si>
    <t>247</t>
  </si>
  <si>
    <t>Закупка энергетических ресурсов</t>
  </si>
  <si>
    <t xml:space="preserve">  0113 0650090100 530</t>
  </si>
  <si>
    <t>0113</t>
  </si>
  <si>
    <t>13</t>
  </si>
  <si>
    <t>Другие общегосударственные вопросы</t>
  </si>
  <si>
    <t>06</t>
  </si>
  <si>
    <t>Обеспечение законности, правопорядка и безопасности в Санкт-Петербурге</t>
  </si>
  <si>
    <t>065</t>
  </si>
  <si>
    <t>Процессная часть перечня мероприятий государственной программы</t>
  </si>
  <si>
    <t>0650090100</t>
  </si>
  <si>
    <t>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</t>
  </si>
  <si>
    <t>530</t>
  </si>
  <si>
    <t>Субвенции</t>
  </si>
  <si>
    <t xml:space="preserve">  0113 0650090830 244</t>
  </si>
  <si>
    <t>0650090830</t>
  </si>
  <si>
    <t>Расходы, связанные с изъятием вещей и документов при производстве по делам об административных правонарушениях</t>
  </si>
  <si>
    <t xml:space="preserve">  0113 1650099220 244</t>
  </si>
  <si>
    <t>16</t>
  </si>
  <si>
    <t>Экономическое и социальное развитие территорий Санкт-Петербурга</t>
  </si>
  <si>
    <t>165</t>
  </si>
  <si>
    <t>1650099220</t>
  </si>
  <si>
    <t>Расходы на формирование Реестра собственности Санкт-Петербурга и на подготовку документов, идентифицирующих бесхозяйное имущество</t>
  </si>
  <si>
    <t xml:space="preserve">  0113 1750098720 244</t>
  </si>
  <si>
    <t>17</t>
  </si>
  <si>
    <t>Создание условий для обеспечения общественного согласия в Санкт-Петербурге</t>
  </si>
  <si>
    <t>175</t>
  </si>
  <si>
    <t>1750098720</t>
  </si>
  <si>
    <t>Расходы на информационное освещение деятельности органов государственной власти Санкт-Петербурга</t>
  </si>
  <si>
    <t xml:space="preserve">  0113 9950000090 121</t>
  </si>
  <si>
    <t>9950000090</t>
  </si>
  <si>
    <t>Содержание исполнительного органа государственной власти Санкт-Петербурга</t>
  </si>
  <si>
    <t>121</t>
  </si>
  <si>
    <t>Фонд оплаты труда государственных (муниципальных) органов</t>
  </si>
  <si>
    <t xml:space="preserve">  0113 9950000090 122</t>
  </si>
  <si>
    <t>122</t>
  </si>
  <si>
    <t>Иные выплаты персоналу государственных (муниципальных) органов, за исключением фонда оплаты труда</t>
  </si>
  <si>
    <t xml:space="preserve">  0113 9950000090 129</t>
  </si>
  <si>
    <t>129</t>
  </si>
  <si>
    <t>Взносы по обязательному социальному страхованию на выплаты денежного содержания и иные выплаты работникам государственных (муниципальных) органов</t>
  </si>
  <si>
    <t xml:space="preserve">  0113 9950000090 242</t>
  </si>
  <si>
    <t>242</t>
  </si>
  <si>
    <t>Закупка товаров, работ, услуг в сфере информационно-коммуникационных технологий</t>
  </si>
  <si>
    <t xml:space="preserve">  0113 9950000090 243</t>
  </si>
  <si>
    <t>243</t>
  </si>
  <si>
    <t>Закупка товаров, работ, услуг в целях капитального ремонта государственного (муниципального) имущества</t>
  </si>
  <si>
    <t xml:space="preserve">  0113 9950000090 244</t>
  </si>
  <si>
    <t xml:space="preserve">  0113 9950000090 247</t>
  </si>
  <si>
    <t xml:space="preserve">  0113 9950000090 831</t>
  </si>
  <si>
    <t>831</t>
  </si>
  <si>
    <t>Исполнение судебных актов Российской Федерации и мировых соглашений по возмещению причиненного вреда</t>
  </si>
  <si>
    <t xml:space="preserve">  0113 9950000320 111</t>
  </si>
  <si>
    <t>9950000320</t>
  </si>
  <si>
    <t>Содержание централизованных бухгалтерий</t>
  </si>
  <si>
    <t>111</t>
  </si>
  <si>
    <t>Фонд оплаты труда учреждений</t>
  </si>
  <si>
    <t xml:space="preserve">  0113 9950000320 119</t>
  </si>
  <si>
    <t>119</t>
  </si>
  <si>
    <t>Взносы по обязательному социальному страхованию на выплаты по оплате труда работников и иные выплаты работникам учреждений</t>
  </si>
  <si>
    <t xml:space="preserve">  0113 9950000320 244</t>
  </si>
  <si>
    <t xml:space="preserve">  0113 9950000320 852</t>
  </si>
  <si>
    <t>852</t>
  </si>
  <si>
    <t>Уплата прочих налогов, сборов</t>
  </si>
  <si>
    <t xml:space="preserve">  0113 9950000530 611</t>
  </si>
  <si>
    <t>9950000530</t>
  </si>
  <si>
    <t>Субсидии бюджетным учреждениям - службы заказчика на финансовое обеспечение выполнения государственного задания</t>
  </si>
  <si>
    <t>611</t>
  </si>
  <si>
    <t>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</t>
  </si>
  <si>
    <t xml:space="preserve">  0113 9950001480 244</t>
  </si>
  <si>
    <t>9950001480</t>
  </si>
  <si>
    <t>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</t>
  </si>
  <si>
    <t xml:space="preserve">  0309 0650090880 244</t>
  </si>
  <si>
    <t>0309</t>
  </si>
  <si>
    <t>Национальная безопасность и правоохранительная деятельность</t>
  </si>
  <si>
    <t>09</t>
  </si>
  <si>
    <t>Гражданская оборона</t>
  </si>
  <si>
    <t>0650090880</t>
  </si>
  <si>
    <t>Расходы на содержание защитных сооружений гражданской обороны</t>
  </si>
  <si>
    <t xml:space="preserve">  0309 0650090880 247</t>
  </si>
  <si>
    <t xml:space="preserve">  0309 0650090880 851</t>
  </si>
  <si>
    <t>851</t>
  </si>
  <si>
    <t>Уплата налога на имущество организаций и земельного налога</t>
  </si>
  <si>
    <t xml:space="preserve">  0309 0650090880 853</t>
  </si>
  <si>
    <t>853</t>
  </si>
  <si>
    <t>Уплата иных платежей</t>
  </si>
  <si>
    <t xml:space="preserve">  0309 0650091060 243</t>
  </si>
  <si>
    <t>0650091060</t>
  </si>
  <si>
    <t>Расходы на выполнение мероприятий по обследованию и ремонту защитных сооружений гражданской обороны</t>
  </si>
  <si>
    <t xml:space="preserve">  0314 0650090690 244</t>
  </si>
  <si>
    <t>0314</t>
  </si>
  <si>
    <t>14</t>
  </si>
  <si>
    <t>Другие вопросы в области национальной безопасности и правоохранительной деятельности</t>
  </si>
  <si>
    <t>0650090690</t>
  </si>
  <si>
    <t>Расходы, связанные с материально-техническим обеспечением деятельности народных дружин</t>
  </si>
  <si>
    <t xml:space="preserve">  0410 9950096170 242</t>
  </si>
  <si>
    <t>0410</t>
  </si>
  <si>
    <t>Национальная экономика</t>
  </si>
  <si>
    <t>10</t>
  </si>
  <si>
    <t>Связь и информатика</t>
  </si>
  <si>
    <t>9950096170</t>
  </si>
  <si>
    <t>Расходы на обеспечение эксплуатации и закупку средств автоматизации, запасных частей, расходных материалов и комплектующих к ним</t>
  </si>
  <si>
    <t xml:space="preserve">  0501 0950083380 244</t>
  </si>
  <si>
    <t>0501</t>
  </si>
  <si>
    <t>Жилищно-коммунальное хозяйство</t>
  </si>
  <si>
    <t>01</t>
  </si>
  <si>
    <t>Жилищное хозяйство</t>
  </si>
  <si>
    <t>Обеспечение доступным жильем и жилищно-коммунальными услугами жителей Санкт-Петербурга</t>
  </si>
  <si>
    <t>095</t>
  </si>
  <si>
    <t>0950083380</t>
  </si>
  <si>
    <t>Расходы на предупреждение аварийных ситуаций и ликвидацию их последствий в отношении объектов системы жизнеобеспечения населения</t>
  </si>
  <si>
    <t xml:space="preserve">  0501 0950083470 244</t>
  </si>
  <si>
    <t>0950083470</t>
  </si>
  <si>
    <t>Расходы на ремонт и оснащение пустующих жилых помещений, являющихся собственностью Санкт-Петербурга</t>
  </si>
  <si>
    <t xml:space="preserve">  0501 0950083480 244</t>
  </si>
  <si>
    <t>0950083480</t>
  </si>
  <si>
    <t>Расходы на содержание и оснащение жилых и нежилых помещений (за исключением пустующих), являющихся собственностью Санкт-Петербурга</t>
  </si>
  <si>
    <t xml:space="preserve">  0501 0950083480 853</t>
  </si>
  <si>
    <t xml:space="preserve">  0501 0950083490 244</t>
  </si>
  <si>
    <t>0950083490</t>
  </si>
  <si>
    <t>Расходы на содержание пустующих жилых и нежилых помещений, являющихся собственностью Санкт-Петербурга</t>
  </si>
  <si>
    <t xml:space="preserve">  0501 0950083490 247</t>
  </si>
  <si>
    <t xml:space="preserve">  0501 0950083490 853</t>
  </si>
  <si>
    <t xml:space="preserve">  0503 1050087930 244</t>
  </si>
  <si>
    <t>0503</t>
  </si>
  <si>
    <t>Благоустройство</t>
  </si>
  <si>
    <t>Благоустройство и охрана окружающей среды в Санкт-Петербурге</t>
  </si>
  <si>
    <t>105</t>
  </si>
  <si>
    <t>1050087930</t>
  </si>
  <si>
    <t>Расходы на проведение мероприятий в сфере благоустройства</t>
  </si>
  <si>
    <t xml:space="preserve">  0503 1050088270 244</t>
  </si>
  <si>
    <t>1050088270</t>
  </si>
  <si>
    <t>Расходы на реализацию мероприятий проекта «Комфортная городская среда Санкт-Петербурга»</t>
  </si>
  <si>
    <t xml:space="preserve">  0505 0950083140 111</t>
  </si>
  <si>
    <t>0505</t>
  </si>
  <si>
    <t>05</t>
  </si>
  <si>
    <t>Другие вопросы в области жилищно-коммунального хозяйства</t>
  </si>
  <si>
    <t>0950083140</t>
  </si>
  <si>
    <t>Расходы на содержание Санкт-Петербургских государственных казенных учреждений Жилищных агентств районов Санкт-Петербурга</t>
  </si>
  <si>
    <t xml:space="preserve">  0505 0950083140 119</t>
  </si>
  <si>
    <t xml:space="preserve">  0505 0950083140 244</t>
  </si>
  <si>
    <t xml:space="preserve">  0505 0950083140 247</t>
  </si>
  <si>
    <t xml:space="preserve">  0505 0950083140 851</t>
  </si>
  <si>
    <t xml:space="preserve">  0505 0950083140 852</t>
  </si>
  <si>
    <t xml:space="preserve">  0701 0250020010 611</t>
  </si>
  <si>
    <t>0701</t>
  </si>
  <si>
    <t>Образование</t>
  </si>
  <si>
    <t>Дошкольное образование</t>
  </si>
  <si>
    <t>02</t>
  </si>
  <si>
    <t>Развитие образования в Санкт-Петербурге</t>
  </si>
  <si>
    <t>025</t>
  </si>
  <si>
    <t>0250020010</t>
  </si>
  <si>
    <t>Субсидии бюджетным учреждениям - дошкольным образовательным учреждениям на финансовое обеспечение выполнения государственного задания</t>
  </si>
  <si>
    <t xml:space="preserve">  0701 0250021450 612</t>
  </si>
  <si>
    <t>0250021450</t>
  </si>
  <si>
    <t>Расходы на приобретение оборудования, кухонного инвентаря, мебели для пищеблоков, столовых и буфетов в государственных образовательных учреждениях Санкт-Петербурга</t>
  </si>
  <si>
    <t>612</t>
  </si>
  <si>
    <t>Субсидии бюджетным учреждениям на иные цели</t>
  </si>
  <si>
    <t xml:space="preserve">  0702 021Ю651790 612</t>
  </si>
  <si>
    <t>0702</t>
  </si>
  <si>
    <t>Общее образование</t>
  </si>
  <si>
    <t>021</t>
  </si>
  <si>
    <t>Региональные проекты, входящие в состав национальных проектов</t>
  </si>
  <si>
    <t>021Ю651790</t>
  </si>
  <si>
    <t>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</t>
  </si>
  <si>
    <t xml:space="preserve">  0702 021Ю653030 612</t>
  </si>
  <si>
    <t>021Ю653030</t>
  </si>
  <si>
    <t>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</t>
  </si>
  <si>
    <t xml:space="preserve">  0702 0250020030 611</t>
  </si>
  <si>
    <t>0250020030</t>
  </si>
  <si>
    <t>Субсидии бюджетным учреждениям - общеобразовательным школам на финансовое обеспечение выполнения государственного задания</t>
  </si>
  <si>
    <t xml:space="preserve">  0702 0250020060 611</t>
  </si>
  <si>
    <t>0250020060</t>
  </si>
  <si>
    <t>Субсидии бюджетным учреждениям - школам-интернатам на финансовое обеспечение выполнения государственного задания</t>
  </si>
  <si>
    <t xml:space="preserve">  0702 0250020070 611</t>
  </si>
  <si>
    <t>0250020070</t>
  </si>
  <si>
    <t>Субсидии бюджетным учреждениям - образовательным учреждениям «Центр образования» на финансовое обеспечение выполнения государственного задания</t>
  </si>
  <si>
    <t xml:space="preserve">  0702 0250020080 631</t>
  </si>
  <si>
    <t>0250020080</t>
  </si>
  <si>
    <t>Субсидии частным образовательным организациям для реализации основных общеобразовательных программ</t>
  </si>
  <si>
    <t>631</t>
  </si>
  <si>
    <t>Субсидии на возмещение недополученных доходов и (или) возмещение фактически понесенных затрат</t>
  </si>
  <si>
    <t xml:space="preserve">  0702 0250020090 612</t>
  </si>
  <si>
    <t>0250020090</t>
  </si>
  <si>
    <t>Расходы на обеспечение книгами и учебными изданиями для комплектования библиотек государственных образовательных учреждений, реализующих образовательные программы начального общего образования, основного общего образования, среднего общего образования, ср</t>
  </si>
  <si>
    <t xml:space="preserve">  0702 0250020940 612</t>
  </si>
  <si>
    <t>0250020940</t>
  </si>
  <si>
    <t>Расходы на капитальный ремонт учреждений образования</t>
  </si>
  <si>
    <t xml:space="preserve">  0702 0250021450 612</t>
  </si>
  <si>
    <t xml:space="preserve">  0702 0350040650 612</t>
  </si>
  <si>
    <t>Социальная поддержка граждан в Санкт-Петербурге</t>
  </si>
  <si>
    <t>035</t>
  </si>
  <si>
    <t>0350040650</t>
  </si>
  <si>
    <t>Расходы на реализацию дополнительных мер социальной поддержки по обеспечению питанием в государственных образовательных учреждениях</t>
  </si>
  <si>
    <t xml:space="preserve">  0702 03500R3040 612</t>
  </si>
  <si>
    <t>03500R3040</t>
  </si>
  <si>
    <t>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</t>
  </si>
  <si>
    <t xml:space="preserve">  0703 0250020300 611</t>
  </si>
  <si>
    <t>0703</t>
  </si>
  <si>
    <t>Дополнительное образование детей</t>
  </si>
  <si>
    <t>0250020300</t>
  </si>
  <si>
    <t>Субсидии бюджетным учреждениям - учреждениям дополнительного образования детей на финансовое обеспечение выполнения государственного задания</t>
  </si>
  <si>
    <t xml:space="preserve">  0707 1750078010 611</t>
  </si>
  <si>
    <t>0707</t>
  </si>
  <si>
    <t>07</t>
  </si>
  <si>
    <t>Молодежная политика</t>
  </si>
  <si>
    <t>1750078010</t>
  </si>
  <si>
    <t>Субсидии бюджетным учреждениям - подростковым и молодежным центрам на финансовое обеспечение выполнения государственного задания</t>
  </si>
  <si>
    <t xml:space="preserve">  0707 1750078560 612</t>
  </si>
  <si>
    <t>1750078560</t>
  </si>
  <si>
    <t>Расходы на капитальный ремонт подростковых и молодежных центров</t>
  </si>
  <si>
    <t xml:space="preserve">  0707 1750079450 612</t>
  </si>
  <si>
    <t>1750079450</t>
  </si>
  <si>
    <t>Расходы на организацию и проведение мероприятий в сфере молодежной политики</t>
  </si>
  <si>
    <t xml:space="preserve">  0707 1750079460 612</t>
  </si>
  <si>
    <t>1750079460</t>
  </si>
  <si>
    <t>Субсидии государственным бюджетным учреждениям в сфере молодежной политики на иные цели</t>
  </si>
  <si>
    <t xml:space="preserve">  0709 021Ю650500 612</t>
  </si>
  <si>
    <t>0709</t>
  </si>
  <si>
    <t>Другие вопросы в области образования</t>
  </si>
  <si>
    <t>021Ю650500</t>
  </si>
  <si>
    <t>Расходы на ежемесячное денежное вознаграждение советникам директоров по воспитанию и взаимодействию с детскими общественными объединениями государственных общеобразовательных организаций, профессиональных образовательных организаций Санкт-Петербурга</t>
  </si>
  <si>
    <t xml:space="preserve">  0709 0250020100 612</t>
  </si>
  <si>
    <t>0250020100</t>
  </si>
  <si>
    <t>Расходы на организацию дистанционного образования детей-инвалидов и детей с ограниченными возможностями здоровья</t>
  </si>
  <si>
    <t xml:space="preserve">  0709 0250020370 244</t>
  </si>
  <si>
    <t>0250020370</t>
  </si>
  <si>
    <t>Расходы на организацию отдыха и оздоровления детей и молодежи Санкт-Петербурга</t>
  </si>
  <si>
    <t xml:space="preserve">  0709 0250020370 612</t>
  </si>
  <si>
    <t xml:space="preserve">  0709 0250020430 611</t>
  </si>
  <si>
    <t>0250020430</t>
  </si>
  <si>
    <t>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</t>
  </si>
  <si>
    <t xml:space="preserve">  0709 0250020440 611</t>
  </si>
  <si>
    <t>0250020440</t>
  </si>
  <si>
    <t>Субсидии бюджетным учреждениям - информационно-методическим центрам на финансовое обеспечение выполнения государственного задания</t>
  </si>
  <si>
    <t xml:space="preserve">  0709 0250021190 612</t>
  </si>
  <si>
    <t>0250021190</t>
  </si>
  <si>
    <t>Расходы на ремонт и оснащение спортивных сооружений (стадионов) государственных образовательных учреждений Санкт-Петербурга</t>
  </si>
  <si>
    <t xml:space="preserve">  0709 0250021770 612</t>
  </si>
  <si>
    <t>0250021770</t>
  </si>
  <si>
    <t>Расходы на прочие мероприятия в области образования</t>
  </si>
  <si>
    <t xml:space="preserve">  0709 1750078650 612</t>
  </si>
  <si>
    <t>1750078650</t>
  </si>
  <si>
    <t>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</t>
  </si>
  <si>
    <t xml:space="preserve">  0709 9950003450 244</t>
  </si>
  <si>
    <t>9950003450</t>
  </si>
  <si>
    <t>Расходы на материальное обеспечение деятельности регионального отделения Движения первых Санкт-Петербурга</t>
  </si>
  <si>
    <t xml:space="preserve">  0709 9950003450 247</t>
  </si>
  <si>
    <t xml:space="preserve">  0801 0850070080 611</t>
  </si>
  <si>
    <t>0801</t>
  </si>
  <si>
    <t>Культура, кинематография</t>
  </si>
  <si>
    <t xml:space="preserve">Культура </t>
  </si>
  <si>
    <t>08</t>
  </si>
  <si>
    <t>Развитие сферы культуры в Санкт-Петербурге</t>
  </si>
  <si>
    <t>085</t>
  </si>
  <si>
    <t>0850070080</t>
  </si>
  <si>
    <t>Субсидии бюджетным учреждениям - библиотекам на финансовое обеспечение выполнения государственного задания</t>
  </si>
  <si>
    <t xml:space="preserve">  0801 0850070090 611</t>
  </si>
  <si>
    <t>0850070090</t>
  </si>
  <si>
    <t>Субсидии бюджетным учреждениям - музеям, выставочному залу на финансовое обеспечение выполнения государственного задания</t>
  </si>
  <si>
    <t xml:space="preserve">  0801 0850070170 611</t>
  </si>
  <si>
    <t>0850070170</t>
  </si>
  <si>
    <t>Субсидии бюджетным учреждениям - театрам, концертным организациям на финансовое обеспечение выполнения государственного задания</t>
  </si>
  <si>
    <t xml:space="preserve">  0801 0850070270 611</t>
  </si>
  <si>
    <t>0850070270</t>
  </si>
  <si>
    <t>Субсидии бюджетным учреждениям - учреждениям культурно-досугового типа на финансовое обеспечение выполнения государственного задания</t>
  </si>
  <si>
    <t xml:space="preserve">  0801 0850070470 244</t>
  </si>
  <si>
    <t>0850070470</t>
  </si>
  <si>
    <t>Расходы на организацию и проведение мероприятий в сфере культуры</t>
  </si>
  <si>
    <t xml:space="preserve">  0801 0850070960 612</t>
  </si>
  <si>
    <t>0850070960</t>
  </si>
  <si>
    <t>Расходы на приобретение оборудования и инвентаря для вводимых после капитального ремонта учреждений культуры</t>
  </si>
  <si>
    <t xml:space="preserve">  0801 0850071610 612</t>
  </si>
  <si>
    <t>0850071610</t>
  </si>
  <si>
    <t>Расходы на содержание и ремонт памятных объектов в честь защитников Ленинграда в годы Великой Отечественной войны</t>
  </si>
  <si>
    <t xml:space="preserve">  0804 0850070060 244</t>
  </si>
  <si>
    <t>0804</t>
  </si>
  <si>
    <t>04</t>
  </si>
  <si>
    <t>Другие вопросы в области культуры, кинематографии</t>
  </si>
  <si>
    <t>0850070060</t>
  </si>
  <si>
    <t>Расходы на содержание и ремонт памятников ансамбля «Зеленый пояс Славы»</t>
  </si>
  <si>
    <t xml:space="preserve">  0804 0850071320 612</t>
  </si>
  <si>
    <t>0850071320</t>
  </si>
  <si>
    <t>Расходы на капитальный ремонт учреждений культуры</t>
  </si>
  <si>
    <t xml:space="preserve">  0902 0150010080 611</t>
  </si>
  <si>
    <t>0902</t>
  </si>
  <si>
    <t>Здравоохранение</t>
  </si>
  <si>
    <t>Амбулаторная помощь</t>
  </si>
  <si>
    <t>Развитие здравоохранения в Санкт-Петербурге</t>
  </si>
  <si>
    <t>015</t>
  </si>
  <si>
    <t>0150010080</t>
  </si>
  <si>
    <t>Субсидии бюджетным учреждениям - поликлиникам, амбулаториям, диагностическим центрам на финансовое обеспечение выполнения государственного задания</t>
  </si>
  <si>
    <t xml:space="preserve">  0902 0150010080 614</t>
  </si>
  <si>
    <t>614</t>
  </si>
  <si>
    <t>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</t>
  </si>
  <si>
    <t xml:space="preserve">  0909 011Д153652 612</t>
  </si>
  <si>
    <t>0909</t>
  </si>
  <si>
    <t>Другие вопросы в области здравоохранения</t>
  </si>
  <si>
    <t>011</t>
  </si>
  <si>
    <t>011Д153652</t>
  </si>
  <si>
    <t>Расходы на приобретение оборудования в рамках реализации регионального проекта «Модернизация первичного звена здравоохранения»</t>
  </si>
  <si>
    <t xml:space="preserve">  0909 0150010100 244</t>
  </si>
  <si>
    <t>0150010100</t>
  </si>
  <si>
    <t>Расходы на проведение акарицидных и ларвицидных обработок территорий и водоемов Санкт-Петербурга</t>
  </si>
  <si>
    <t xml:space="preserve">  0909 0150010520 612</t>
  </si>
  <si>
    <t>0150010520</t>
  </si>
  <si>
    <t>Расходы на капитальный ремонт учреждений здравоохранения</t>
  </si>
  <si>
    <t xml:space="preserve">  0909 0150010650 612</t>
  </si>
  <si>
    <t>0150010650</t>
  </si>
  <si>
    <t>Расходы на приобретение немонтируемого оборудования и инвентаря для оснащения вводных объектов здравоохранения</t>
  </si>
  <si>
    <t xml:space="preserve">  0909 0150010660 612</t>
  </si>
  <si>
    <t>0150010660</t>
  </si>
  <si>
    <t>Расходы на обеспечение доступности учреждений здравоохранения для инвалидов и других маломобильных групп населения</t>
  </si>
  <si>
    <t xml:space="preserve">  0909 0150011000 612</t>
  </si>
  <si>
    <t>0150011000</t>
  </si>
  <si>
    <t>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</t>
  </si>
  <si>
    <t xml:space="preserve">  0909 0150054680 612</t>
  </si>
  <si>
    <t>0150054680</t>
  </si>
  <si>
    <t>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</t>
  </si>
  <si>
    <t xml:space="preserve">  0909 0650090160 612</t>
  </si>
  <si>
    <t>0650090160</t>
  </si>
  <si>
    <t>Расходы на мероприятия по пожарной безопасности учреждений здравоохранения</t>
  </si>
  <si>
    <t xml:space="preserve">  1002 0350040460 611</t>
  </si>
  <si>
    <t>1002</t>
  </si>
  <si>
    <t>Социальная политика</t>
  </si>
  <si>
    <t>Социальное обслуживание населения</t>
  </si>
  <si>
    <t>0350040460</t>
  </si>
  <si>
    <t>Субсидии бюджетным учреждениям - детским приютам на финансовое обеспечение выполнения государственного задания</t>
  </si>
  <si>
    <t xml:space="preserve">  1002 0350040460 614</t>
  </si>
  <si>
    <t xml:space="preserve">  1002 0350040480 611</t>
  </si>
  <si>
    <t>0350040480</t>
  </si>
  <si>
    <t>Субсидии бюджетным учреждениям социальной реабилитации инвалидов на финансовое обеспечение выполнения государственного задания</t>
  </si>
  <si>
    <t xml:space="preserve">  1002 0350040480 614</t>
  </si>
  <si>
    <t xml:space="preserve">  1002 0350040530 612</t>
  </si>
  <si>
    <t>0350040530</t>
  </si>
  <si>
    <t>Расходы на капитальный ремонт учреждений социальной защиты</t>
  </si>
  <si>
    <t xml:space="preserve">  1002 0350040630 611</t>
  </si>
  <si>
    <t>0350040630</t>
  </si>
  <si>
    <t>Субсидии бюджетным учреждениям - комплексным центрам социального обслуживания населения на финансовое обеспечение выполнения государственного задания</t>
  </si>
  <si>
    <t xml:space="preserve">  1002 0350040630 614</t>
  </si>
  <si>
    <t xml:space="preserve">  1002 0350040640 611</t>
  </si>
  <si>
    <t>0350040640</t>
  </si>
  <si>
    <t>Субсидии бюджетным учреждениям социального обслуживания семьи и детей на финансовое обеспечение выполнения государственного задания</t>
  </si>
  <si>
    <t xml:space="preserve">  1002 0350040640 614</t>
  </si>
  <si>
    <t xml:space="preserve">  1002 0350041200 612</t>
  </si>
  <si>
    <t>0350041200</t>
  </si>
  <si>
    <t>Расходы на приобретение немонтируемого оборудования и инвентаря для оснащения вводных объектов учреждений социальной защиты</t>
  </si>
  <si>
    <t xml:space="preserve">  1002 03500R5140 612</t>
  </si>
  <si>
    <t>03500R5140</t>
  </si>
  <si>
    <t>Расходы на реализацию мероприятий по формированию системы комплексной реабилитации и абилитации инвалидов, в том числе детей-инвалидов</t>
  </si>
  <si>
    <t xml:space="preserve">  1003 0350040240 612</t>
  </si>
  <si>
    <t>1003</t>
  </si>
  <si>
    <t>Социальное обеспечение населения</t>
  </si>
  <si>
    <t>0350040240</t>
  </si>
  <si>
    <t>Расходы на реализацию дополнительных мер социальной поддержки работникам государственных учреждений</t>
  </si>
  <si>
    <t xml:space="preserve">  1004 0950083620 323</t>
  </si>
  <si>
    <t>1004</t>
  </si>
  <si>
    <t>Охрана семьи и детства</t>
  </si>
  <si>
    <t>0950083620</t>
  </si>
  <si>
    <t xml:space="preserve">Расходы на предоставление дополнительной меры социальной поддержки по оборудованию предметами первой необходимости жилых помещений специализированного жилищного фонда, предоставляемых детям-сиротам и детям, оставшимся без попечения родителей, лицам из их </t>
  </si>
  <si>
    <t>323</t>
  </si>
  <si>
    <t>Приобретение товаров, работ, услуг в пользу граждан в целях их социального обеспечения</t>
  </si>
  <si>
    <t xml:space="preserve">  1101 0450045020 611</t>
  </si>
  <si>
    <t>1101</t>
  </si>
  <si>
    <t>Физическая культура и спорт</t>
  </si>
  <si>
    <t>Физическая культура</t>
  </si>
  <si>
    <t>Развитие физической культуры и спорта в Санкт-Петербурге</t>
  </si>
  <si>
    <t>045</t>
  </si>
  <si>
    <t>0450045020</t>
  </si>
  <si>
    <t>Субсидии бюджетным учреждениям по физической культуре и спорту на финансовое обеспечение выполнения государственного задания</t>
  </si>
  <si>
    <t xml:space="preserve">  1102 0450045010 612</t>
  </si>
  <si>
    <t>1102</t>
  </si>
  <si>
    <t>Массовый спорт</t>
  </si>
  <si>
    <t>0450045010</t>
  </si>
  <si>
    <t>Расходы на проведение мероприятий по физическому воспитанию населения</t>
  </si>
  <si>
    <t xml:space="preserve">  1103 0450045090 611</t>
  </si>
  <si>
    <t>1103</t>
  </si>
  <si>
    <t>Спорт высших достижений</t>
  </si>
  <si>
    <t>0450045090</t>
  </si>
  <si>
    <t>Субсидии бюджетным учреждениям – спортивным школам на выполнение государственного задания</t>
  </si>
  <si>
    <t>2</t>
  </si>
  <si>
    <t>февраль</t>
  </si>
  <si>
    <t xml:space="preserve">  0503 1050087910 244</t>
  </si>
  <si>
    <t>1050087910</t>
  </si>
  <si>
    <t>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Санкт-Петербурга</t>
  </si>
  <si>
    <t xml:space="preserve">  0701 0250020110 612</t>
  </si>
  <si>
    <t>0250020110</t>
  </si>
  <si>
    <t>Расходы на оснащение образовательных организаций современными средствами обучения и воспитания с целью повышения качества образования, в том числе через использование сетевой формы реализации образовательных программ</t>
  </si>
  <si>
    <t xml:space="preserve">  0702 021Ю455590 612</t>
  </si>
  <si>
    <t>021Ю455590</t>
  </si>
  <si>
    <t>Расходы на оснащение предметных кабинетов общеобразовательных организаций средствами обучения и воспитания</t>
  </si>
  <si>
    <t xml:space="preserve">  0702 0250020110 612</t>
  </si>
  <si>
    <t xml:space="preserve">  0702 0250021460 612</t>
  </si>
  <si>
    <t>0250021460</t>
  </si>
  <si>
    <t>Расходы на реализацию мероприятий проекта по вовлечению учащихся в развитие школьной инфраструктуры</t>
  </si>
  <si>
    <t xml:space="preserve">  0801 0850070470 612</t>
  </si>
  <si>
    <t xml:space="preserve">  0909 0150010020 612</t>
  </si>
  <si>
    <t>0150010020</t>
  </si>
  <si>
    <t>Расходы на профилактику инфекционных заболеваний, включая иммунопрофилактику</t>
  </si>
  <si>
    <t xml:space="preserve">  1101 0450045060 612</t>
  </si>
  <si>
    <t>0450045060</t>
  </si>
  <si>
    <t>Расходы на проектирование, ремонт и оснащение оборудованием внутридворовых спортивных площадок для занятий физической культурой и спортом населения</t>
  </si>
  <si>
    <t>3</t>
  </si>
  <si>
    <t>март</t>
  </si>
  <si>
    <t xml:space="preserve">  0410 0650090810 244</t>
  </si>
  <si>
    <t>0650090810</t>
  </si>
  <si>
    <t>Расходы на дооснащение комплексными системами обеспечения безопасности</t>
  </si>
  <si>
    <t xml:space="preserve">  0410 0650090810 612</t>
  </si>
  <si>
    <t xml:space="preserve">  0701 0250021760 612</t>
  </si>
  <si>
    <t>0250021760</t>
  </si>
  <si>
    <t>Расходы на оснащение детских площадок образовательных учреждений, реализующих программы дошкольного образования</t>
  </si>
  <si>
    <t xml:space="preserve">  0909 011Д757520 612</t>
  </si>
  <si>
    <t>011Д757520</t>
  </si>
  <si>
    <t>Расходы на оснащение (дооснащение и (или) переоснащение) медицинскими изделиями медицинских организаций, имеющих в своей структуре подразделения, оказывающие медицинскую помощь по медицинской реабилитации</t>
  </si>
  <si>
    <t xml:space="preserve">  0909 0150010880 612</t>
  </si>
  <si>
    <t>0150010880</t>
  </si>
  <si>
    <t>Субсидии государственным учреждениям здравоохранения на оказание экстренной медицинской помощи иностранным гражданам и гражданам не идентифицированным и не застрахованным в системе ОМС при заболеваниях, включенных в базовую программу ОМС</t>
  </si>
  <si>
    <t>4</t>
  </si>
  <si>
    <t>апрель</t>
  </si>
  <si>
    <t xml:space="preserve">  0709 0250021090 612</t>
  </si>
  <si>
    <t>0250021090</t>
  </si>
  <si>
    <t>Расходы на подготовку и проведение государственной итоговой аттестации по образовательным программам основного общего и среднего общего образования</t>
  </si>
  <si>
    <t xml:space="preserve">  0909 0150011010 612</t>
  </si>
  <si>
    <t>0150011010</t>
  </si>
  <si>
    <t>Субсидии государственным учреждениям здравоохранения Санкт-Петербурга в целях поддержания высокого уровня оказания медицинской помощи и усиления кадрового потенциала в государственных учреждениях здравоохранения Санкт-Петербурга</t>
  </si>
  <si>
    <t>май</t>
  </si>
  <si>
    <t xml:space="preserve">  0113 9950000320 321</t>
  </si>
  <si>
    <t>321</t>
  </si>
  <si>
    <t>Пособия, компенсации и иные социальные выплаты
гражданам, кроме публичных нормативных обязательств</t>
  </si>
  <si>
    <t xml:space="preserve">  0503 1050088300 244</t>
  </si>
  <si>
    <t>1050088300</t>
  </si>
  <si>
    <t>Расходы на реализацию мероприятий по созданию и восстановлению мест (площадок) накопления твердых коммунальных отходов</t>
  </si>
  <si>
    <t xml:space="preserve">  0505 0950083450 244</t>
  </si>
  <si>
    <t>0950083450</t>
  </si>
  <si>
    <t>Расходы на проведение мероприятий по созданию условий доступности для инвалидов и иных маломобильных групп населения</t>
  </si>
  <si>
    <t xml:space="preserve">  0702 0250020080 633</t>
  </si>
  <si>
    <t>633</t>
  </si>
  <si>
    <t>Субсидии (гранты в форме субсидий), не подлежащие казначейскому сопровождению</t>
  </si>
  <si>
    <t xml:space="preserve">  1004 031Я253130 612</t>
  </si>
  <si>
    <t>031</t>
  </si>
  <si>
    <t>031Я253130</t>
  </si>
  <si>
    <t>Расходы на реализацию мероприятий программы по повышению рождаемости в Санкт-Петербурге</t>
  </si>
  <si>
    <t>6</t>
  </si>
  <si>
    <t>июнь</t>
  </si>
  <si>
    <t xml:space="preserve">  0113 9950001480 247</t>
  </si>
  <si>
    <t xml:space="preserve">  0505 0950083140 831</t>
  </si>
  <si>
    <t>7</t>
  </si>
  <si>
    <t>июль</t>
  </si>
  <si>
    <t xml:space="preserve">  0909 0150010570 612</t>
  </si>
  <si>
    <t>0150010570</t>
  </si>
  <si>
    <t>Расходы на приобретение оборудования для учреждений здравоохранения</t>
  </si>
  <si>
    <t>8</t>
  </si>
  <si>
    <t>август</t>
  </si>
  <si>
    <t xml:space="preserve">  0709 9950003450 612</t>
  </si>
  <si>
    <t>Названия строк</t>
  </si>
  <si>
    <t>Общий итог</t>
  </si>
  <si>
    <t>Названия столбцов</t>
  </si>
  <si>
    <t>Сумма по полю Исполнено с начала месяца</t>
  </si>
  <si>
    <t>Сумма по полю Уточненный план на год</t>
  </si>
  <si>
    <t>Програмно-целевая структура</t>
  </si>
  <si>
    <t>Функциональная структура</t>
  </si>
  <si>
    <t>Гос_программа</t>
  </si>
  <si>
    <t>Наименование гос_программы</t>
  </si>
  <si>
    <t>Гос_программа/ПГП</t>
  </si>
  <si>
    <t>Код ПГП</t>
  </si>
  <si>
    <t>Наименование ПГП</t>
  </si>
  <si>
    <t>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</t>
  </si>
  <si>
    <t xml:space="preserve">  0701 0250020940 612</t>
  </si>
  <si>
    <t>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</t>
  </si>
  <si>
    <t xml:space="preserve">  0702 021EВ51790 612</t>
  </si>
  <si>
    <t>021EВ51790</t>
  </si>
  <si>
    <t xml:space="preserve">  0702 021EВ57860 612</t>
  </si>
  <si>
    <t>021EВ57860</t>
  </si>
  <si>
    <t>Расходы на обеспечение оснащения государственных общеобразовательных организаций, в том числе структурных подразделений указанных организаций, государственными символами Российской Федерации</t>
  </si>
  <si>
    <t xml:space="preserve">  0702 0250020680 612</t>
  </si>
  <si>
    <t>0250020680</t>
  </si>
  <si>
    <t>Расходы на приобретение оборудования и инвентаря для вводимых после капитального ремонта учреждений образования</t>
  </si>
  <si>
    <t xml:space="preserve">  0702 0250053030 612</t>
  </si>
  <si>
    <t>0250053030</t>
  </si>
  <si>
    <t xml:space="preserve">  0703 0250021580 816</t>
  </si>
  <si>
    <t>0250021580</t>
  </si>
  <si>
    <t>Расходы на реализацию системы персонифицированного учета детей, осваивающих дополнительные образовательные программы (за исключением дополнительных предпрофессиональных программ в области искусств)</t>
  </si>
  <si>
    <t>816</t>
  </si>
  <si>
    <t>Субсидии в целях финансового обеспечения (возмещения) исполнения государственного (муниципального) социального заказа на оказание государственных (муниципальных) услуг в социальной сфере</t>
  </si>
  <si>
    <t xml:space="preserve">  0705 0250020620 612</t>
  </si>
  <si>
    <t>0705</t>
  </si>
  <si>
    <t>Профессиональная подготовка, переподготовка и повышение квалификации</t>
  </si>
  <si>
    <t>0250020620</t>
  </si>
  <si>
    <t>Расходы на обеспечение непрерывного и планомерного повышения квалификации руководящих и педагогических работников</t>
  </si>
  <si>
    <t xml:space="preserve">  0709 0250020590 612</t>
  </si>
  <si>
    <t>0250020590</t>
  </si>
  <si>
    <t>Субсидии на организацию проведения культурно-познавательной программы для обучающихся 9-х и 10-х классов государственных общеобразовательных организаций «Театральный урок в Мариинском театре»</t>
  </si>
  <si>
    <t>Расходы на ремонт и оснащение спортивных сооружений (стадионов) государственных образовательных учреждений</t>
  </si>
  <si>
    <t>Культура</t>
  </si>
  <si>
    <t>Субсидии бюджетным учреждениям - библиотекам на финансовое обеспечение выполнения государственного задания</t>
  </si>
  <si>
    <t>Субсидии бюджетным учреждениям - музеям, выставочному залу на финансовое обеспечение выполнения государственного задания</t>
  </si>
  <si>
    <t>Субсидии бюджетным учреждениям - театрам, концертным организациям на финансовое обеспечение выполнения государственного задания</t>
  </si>
  <si>
    <t>Субсидии бюджетным учреждениям - учреждениям культурно-досугового типа на финансовое обеспечение выполнения государственного задания</t>
  </si>
  <si>
    <t xml:space="preserve">  0801 0850071640 612</t>
  </si>
  <si>
    <t>0850071640</t>
  </si>
  <si>
    <t>Расходы на мероприятия по модернизации общедоступных библиотек Санкт-Петербурга</t>
  </si>
  <si>
    <t xml:space="preserve">  0909 011N953652 612</t>
  </si>
  <si>
    <t>011N953652</t>
  </si>
  <si>
    <t xml:space="preserve">  0909 011P354680 612</t>
  </si>
  <si>
    <t>011P354680</t>
  </si>
  <si>
    <t xml:space="preserve">  0909 0150010830 612</t>
  </si>
  <si>
    <t>0150010830</t>
  </si>
  <si>
    <t>Расходы на капитальный ремонт и замену лифтового оборудования учреждений здравоохранения</t>
  </si>
  <si>
    <t>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</t>
  </si>
  <si>
    <t xml:space="preserve">  1004 0350040990 611</t>
  </si>
  <si>
    <t>0350040990</t>
  </si>
  <si>
    <t>Расходы на выплату компенсации части родительской платы за содержание ребенка в государственных или муниципальных образовательных учреждениях, реализующих общеобразовательную программу дошкольного образования</t>
  </si>
  <si>
    <t xml:space="preserve">  1101 041P545060 612</t>
  </si>
  <si>
    <t>041</t>
  </si>
  <si>
    <t>041P545060</t>
  </si>
  <si>
    <t xml:space="preserve">  1102 041P545010 612</t>
  </si>
  <si>
    <t>041P545010</t>
  </si>
  <si>
    <t>октябрь</t>
  </si>
  <si>
    <t xml:space="preserve">  0113 9950000090 853</t>
  </si>
  <si>
    <t xml:space="preserve">  0503 1050087910 853</t>
  </si>
  <si>
    <t xml:space="preserve">  0503 1050087930 853</t>
  </si>
  <si>
    <t xml:space="preserve">  0503 1050088270 853</t>
  </si>
  <si>
    <t xml:space="preserve">  0505 0950083140 853</t>
  </si>
  <si>
    <t>Расходы на обеспечение книгами и учебными изданиями для комплектования библиотек государственных общеобразовательных учреждений</t>
  </si>
  <si>
    <t>Расходы на оснащение базовых общеобразовательных организаций современными средствами обучения и воспитания с целью повышения качества общего образования, в том числе через использование сетевой формы реализации образовательных программ</t>
  </si>
  <si>
    <t xml:space="preserve">  0709 021E452130 612</t>
  </si>
  <si>
    <t>021E452130</t>
  </si>
  <si>
    <t>Расходы на обеспечение образовательных организаций материально-технической базой для внедрения цифровой образовательной среды</t>
  </si>
  <si>
    <t xml:space="preserve">  0709 021E4Д2130 612</t>
  </si>
  <si>
    <t>021E4Д2130</t>
  </si>
  <si>
    <t xml:space="preserve">  0709 02500R0500 612</t>
  </si>
  <si>
    <t>02500R0500</t>
  </si>
  <si>
    <t>Расходы на предоставление дополнительной меры социальной поддержки по оборудованию предметами первой необходимости жилых помещений специализированного жилищного фонда, предоставляемых детям-сиротам и детям, оставшимся без попечения родителей, лицам из их</t>
  </si>
  <si>
    <t>11</t>
  </si>
  <si>
    <t>ноябрь</t>
  </si>
  <si>
    <t>12</t>
  </si>
  <si>
    <t>декабрь</t>
  </si>
  <si>
    <t xml:space="preserve">  0113 9950002790 121</t>
  </si>
  <si>
    <t>9950002790</t>
  </si>
  <si>
    <t>Расходы на иные выплаты лицам, замещающим государственные должности Санкт-Петербурга, и государственным гражданским служащим Санкт-Петербурга в исполнительных органах государственной власти Санкт-Петербурга в соответствии с законодательством Санкт-Петербу</t>
  </si>
  <si>
    <t xml:space="preserve">  0909 0150010540 612</t>
  </si>
  <si>
    <t>0150010540</t>
  </si>
  <si>
    <t>Расходы на прочие мероприятия в области здравоохранения</t>
  </si>
  <si>
    <t>9</t>
  </si>
  <si>
    <t>сентябрь</t>
  </si>
  <si>
    <t>уточненный план на год 2025</t>
  </si>
  <si>
    <t>Уровень исполнения 2025, %</t>
  </si>
  <si>
    <t>накопленный уровень исполнения 2025, %</t>
  </si>
  <si>
    <t>Исполнено с начала месяца 2024</t>
  </si>
  <si>
    <t>Уточненный план на год 2024</t>
  </si>
  <si>
    <t>Уровень исполнения 2024, %</t>
  </si>
  <si>
    <t>Накопленный уровень исполнения 2024, %</t>
  </si>
  <si>
    <t>месяц</t>
  </si>
  <si>
    <t>Исполнено с началя месяца 2025</t>
  </si>
  <si>
    <t>Сумма по полю Исполнено с начала года</t>
  </si>
  <si>
    <t>Исполнено с начала года 2025</t>
  </si>
  <si>
    <t>Анализ расходов Администрации Кировского района Санкт-Петербурга в 2025 г.</t>
  </si>
  <si>
    <t>Описание проекта</t>
  </si>
  <si>
    <t>Файл является учебным проектом, посвящённым анализу расходов бюджета Администрации Кировского района Санкт-Петербурга.
Содержание файла:
1. Данные по расходам бюджета Администрации Кировскогго района Санкт-Петербурга в 2024 и 2025 году помесячно. Листы "2024" и "2025" сформированы на онове открытых данных портала budget.gov.spb.ru, путем фильтрации по Наименованию ГБРС и копированию данных по анализируемому ГБРС.
2. Сводные таблицы, отражающие плановые (Лист "план 2025") и фактические (Лист "факт "2025") расходы бюджета Администрации Кировского района Санкт-Петербурга, объединенные по программно-целевой и функциональной структурам.
3. Сводные таблицы, отражающие динамику исполнения расходов бюджета по месяцам за 2024 и 2025 год. Кроме абсолютных значений исполнения, рассчитан уровень исполнения относительно плана.
4. Визуализацию данных, а именно диаграммы, отражающие плановую функциональную структуру, фактическую функциональную структуру, фактическую программно-целевую структуру, сравнение плановых расходов с исполнением, динамику накопленного уровня исполнения и сравнение динамики исполнения за 2024 и 2025 гг.
5. Выводы на основе сводных таблиц и визуализации данных.</t>
  </si>
  <si>
    <t>Автор: Моисеенкова Алина Игоревна
НИУ ВШЭ СПб, ОП «Управление и аналитика в государственном секторе»
2025 г.
Версия для GitHub</t>
  </si>
  <si>
    <t>1. Программно-целевая структура
Наибольшую долю в структуре плановых расходов занимает образование (примерно 65%). Ссоциальная поодержка граждан занимает (8%), обеспечение доступным жильем и жилищно-коммунальными услугами (6%) и развитие здравоохранения (6%). Таким образом,  программно-целевая структура отражает социальную направленность бюджета, т.к. наиболее крупные доли расходов связаны с социальной сфереой и образованием в первую очередь.
2. Функциональная структура
В функциональной структуре расходов также доминирует образование (около 70%), что подтверждает приоритет этого направления в деятельности администрации.
Значительные доли занимают жилищно-коммунальное хозяйство (6%), здравоохранение (6%), социальная политика (6%), культура и кинематография (4%) и физическая культура и спорт (3%).
Подобное распределение указывает на сбалансированную поддержку ключевых сфер городской жизни — образования, жилищно-коммунального сектора и социальной защиты населения.
3. Общие выводы
Подобная структура объясняется спецификой Кировского района.
Во-первых, здесь сосредоточено значительное количество образовательных учреждений, что требует стабильного бюджетного финансирования.
Во-вторых, район относится к числу территорий с высокой плотностью жилой застройки и большим износом жилищного фонда, сформировавшегося преимущественно в советский период. Это обуславливает необходимость регулярных расходов на капитальный ремонт, благоустройство и реновацию.
Заметная доля расходов на социальную политику и здравоохранение связана с демографической структурой населения: значительная часть жителей — пенсионеры и работники промышленных предприятий. Соответственно, сохраняется потребность в программах социальной поддержки и медицинского обслуживания.
Таким образом, бюджетная структура района отражает его социальный и промышленный характер: при ограниченных возможностях территориального расширения приоритет отдаётся поддержанию социальной сферы, повышению качества жизни населения и постепенной модернизации городской среды.</t>
  </si>
  <si>
    <t>1. Программно-целевая структура
Наибольшую долю в структуре фактических расходов занимает образование (около 67%), что отражает приоритет данного направления в реализации районного бюджета.
Социальная поддержка граждан составляет 8%, обеспечение доступным жильём и жилищно-коммунальными услугами (6%), здравоохранение (6%), а физическая культура и спорт (3%).
Таким образом, программно-целевая структура фактических расходов также демонстрирует социальную направленность: основная часть средств направлена на поддержание системы образования и реализацию мер социальной поддержки.
2. Функциональная структура
В функциональной структуре фактических расходов доминирует образование (≈70%), подтверждая, что основное финансирование направлено на функционирование и развитие образовательных учреждений.
Значительные доли занимают жилищно-коммунальное хозяйство (6%), здравоохранение (6%), социальная политика (6%), культура и кинематография (4%) и физическая культура и спорт (3%).
Такое распределение указывает на сбалансированное исполнение бюджета: приоритет сохраняется за ключевыми социальными и инфраструктурными направлениями, что обеспечивает устойчивость функционирования района.</t>
  </si>
  <si>
    <t>1. Динамика исполнения по месяцам
В первом квартале (январь–март) показатели исполнения ниже, чем в последующие периоды, что объясняется сезонной спецификой бюджетного процесса — в это время проводятся закупки, заключаются контракты, а часть выплат переносится на второй квартал.
Постепенный рост фактических расходов начинается весной, когда активизируется финансирование текущих программ, включая мероприятия по ремонту, благоустройству и социальные мероприятия.
Пик расходов приходится на июнь и июль. Это объясняется сезонным характером ряда статей бюджета  прежде всего, реализацией программ благоустройства, летнего отдыха детей и выполнением строительных работ в рамках реновации жилого фонда.
В августе, напротив, зафиксировано снижение уровня исполнения, что может быть связано с переносом части расходов на сентябрь и корректировкой графика выплат по контрактам.
В целом, бюджетная динамика Кировского района демонстрирует стабильное исполнение расходных обязательств.
2. Уровень исполнения 2025 г.. Динамика исполнения 2024-2025 гг.
В первом квартале 2025 года уровень освоения средств растёт поступательно и к июню достигает около 47–48 % кумулятивного исполнения от годового плана.
К середине года показатель составляет примерно 61 %, что соответствует равномерному и устойчивому финансированию без рисков недоосвоения бюджетных средств.
Динамика расходов в первой половине 2024 и 2025 года остаётся схожей. При этом бюджет на 2025 год, выше, чем в предыдущем году. Ожидается, что в соответствии с тенденцией прошлого года, основная часть бюджета будет исполнена в последние месяцы года в  связи с оплатой контрактов по факту исполнения работ, что в целом характерно для исполнения бюджета.</t>
  </si>
  <si>
    <t>Итоговый вывод</t>
  </si>
  <si>
    <t>Бюджет Администрации Кировского района Санкт-Петербурга в 2025 году имеет выраженную социальную направленность: основная часть расходов приходится на образование, здравоохранение, социальную поддержку и жилищно-коммунальное хозяйство.
Структура расходов демонстрирует приоритет развития человеческого капитала и городской инфраструктуры.
Исполнение бюджета в течение года носит сезонный характер: минимальные значения — в первом квартале, пик — в июне–июле, с временным снижением в августе.
По состоянию на конец августа освоено около 61 % годового плана, что отражает стабильный темп исполнения и отсутствие рисков недофинансирования.
Сравнение с 2024 годом показывает сохранение устойчивой динамики при увеличении общего объёма ассигнований.
В целом, бюджет района реализуется равномерно и эффективно, обеспечивая приоритетное развитие социальной сферы и повышение качества жизни населения.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</si>
</sst>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\₽"/>
    <numFmt numFmtId="165" formatCode="#,##0.00\ &quot;₽&quot;"/>
    <numFmt numFmtId="166" formatCode="0.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164" fontId="0" fillId="0" borderId="0" xfId="0" applyNumberFormat="1"/>
    <xf numFmtId="4" fontId="0" fillId="0" borderId="0" xfId="0" applyNumberFormat="1"/>
    <xf numFmtId="0" fontId="4" fillId="0" borderId="0" xfId="0" applyFont="1"/>
    <xf numFmtId="0" fontId="4" fillId="0" borderId="0" xfId="0" pivotButton="1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164" fontId="4" fillId="0" borderId="0" xfId="0" applyNumberFormat="1" applyFont="1"/>
    <xf numFmtId="164" fontId="4" fillId="0" borderId="0" xfId="0" applyNumberFormat="1" applyFont="1" applyAlignment="1">
      <alignment wrapText="1"/>
    </xf>
    <xf numFmtId="0" fontId="4" fillId="5" borderId="2" xfId="0" applyFont="1" applyFill="1" applyBorder="1" applyAlignment="1">
      <alignment horizontal="left"/>
    </xf>
    <xf numFmtId="0" fontId="4" fillId="5" borderId="3" xfId="0" applyFont="1" applyFill="1" applyBorder="1"/>
    <xf numFmtId="0" fontId="4" fillId="5" borderId="2" xfId="0" applyFont="1" applyFill="1" applyBorder="1"/>
    <xf numFmtId="0" fontId="5" fillId="0" borderId="4" xfId="0" applyFont="1" applyBorder="1" applyAlignment="1">
      <alignment horizontal="left"/>
    </xf>
    <xf numFmtId="164" fontId="4" fillId="0" borderId="5" xfId="0" applyNumberFormat="1" applyFont="1" applyBorder="1"/>
    <xf numFmtId="0" fontId="5" fillId="3" borderId="4" xfId="0" applyFont="1" applyFill="1" applyBorder="1"/>
    <xf numFmtId="164" fontId="4" fillId="3" borderId="5" xfId="0" applyNumberFormat="1" applyFont="1" applyFill="1" applyBorder="1"/>
    <xf numFmtId="164" fontId="4" fillId="3" borderId="5" xfId="0" applyNumberFormat="1" applyFont="1" applyFill="1" applyBorder="1" applyAlignment="1">
      <alignment wrapText="1"/>
    </xf>
    <xf numFmtId="0" fontId="5" fillId="3" borderId="8" xfId="0" applyFont="1" applyFill="1" applyBorder="1"/>
    <xf numFmtId="164" fontId="4" fillId="3" borderId="9" xfId="0" applyNumberFormat="1" applyFont="1" applyFill="1" applyBorder="1"/>
    <xf numFmtId="0" fontId="4" fillId="0" borderId="10" xfId="0" applyFont="1" applyBorder="1" applyAlignment="1">
      <alignment horizontal="left"/>
    </xf>
    <xf numFmtId="164" fontId="4" fillId="0" borderId="11" xfId="0" applyNumberFormat="1" applyFont="1" applyBorder="1"/>
    <xf numFmtId="0" fontId="4" fillId="0" borderId="4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164" fontId="4" fillId="0" borderId="7" xfId="0" applyNumberFormat="1" applyFont="1" applyBorder="1"/>
    <xf numFmtId="0" fontId="4" fillId="0" borderId="6" xfId="0" applyFont="1" applyBorder="1" applyAlignment="1">
      <alignment horizontal="left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0" fontId="5" fillId="3" borderId="6" xfId="0" applyFont="1" applyFill="1" applyBorder="1"/>
    <xf numFmtId="164" fontId="4" fillId="3" borderId="7" xfId="0" applyNumberFormat="1" applyFont="1" applyFill="1" applyBorder="1"/>
    <xf numFmtId="0" fontId="4" fillId="4" borderId="0" xfId="0" applyFont="1" applyFill="1"/>
    <xf numFmtId="164" fontId="4" fillId="3" borderId="0" xfId="0" applyNumberFormat="1" applyFont="1" applyFill="1"/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6" xfId="0" applyFont="1" applyBorder="1" applyAlignment="1">
      <alignment horizontal="left"/>
    </xf>
    <xf numFmtId="0" fontId="4" fillId="0" borderId="15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right" vertical="top" wrapText="1"/>
    </xf>
    <xf numFmtId="0" fontId="4" fillId="0" borderId="19" xfId="0" applyFont="1" applyBorder="1" applyAlignment="1">
      <alignment horizontal="right" vertical="top" wrapText="1"/>
    </xf>
    <xf numFmtId="0" fontId="4" fillId="6" borderId="20" xfId="0" applyFont="1" applyFill="1" applyBorder="1" applyAlignment="1">
      <alignment horizontal="left" vertical="top" wrapText="1"/>
    </xf>
    <xf numFmtId="0" fontId="4" fillId="6" borderId="21" xfId="0" applyFont="1" applyFill="1" applyBorder="1" applyAlignment="1">
      <alignment horizontal="left" vertical="top" wrapText="1"/>
    </xf>
    <xf numFmtId="0" fontId="4" fillId="6" borderId="22" xfId="0" applyFont="1" applyFill="1" applyBorder="1" applyAlignment="1">
      <alignment horizontal="left" vertical="top" wrapText="1"/>
    </xf>
    <xf numFmtId="165" fontId="4" fillId="0" borderId="0" xfId="0" applyNumberFormat="1" applyFont="1"/>
    <xf numFmtId="2" fontId="4" fillId="0" borderId="0" xfId="0" applyNumberFormat="1" applyFont="1"/>
    <xf numFmtId="4" fontId="4" fillId="0" borderId="0" xfId="0" applyNumberFormat="1" applyFont="1"/>
    <xf numFmtId="166" fontId="4" fillId="0" borderId="0" xfId="1" applyNumberFormat="1" applyFont="1"/>
    <xf numFmtId="2" fontId="4" fillId="0" borderId="0" xfId="1" applyNumberFormat="1" applyFont="1"/>
    <xf numFmtId="0" fontId="7" fillId="2" borderId="1" xfId="0" applyFont="1" applyFill="1" applyBorder="1"/>
    <xf numFmtId="0" fontId="0" fillId="0" borderId="15" xfId="0" applyBorder="1"/>
    <xf numFmtId="0" fontId="0" fillId="0" borderId="0" xfId="0" applyBorder="1"/>
    <xf numFmtId="0" fontId="0" fillId="0" borderId="16" xfId="0" applyBorder="1"/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</cellXfs>
  <cellStyles count="2">
    <cellStyle name="Обычный" xfId="0" builtinId="0"/>
    <cellStyle name="Процентный" xfId="1" builtinId="5"/>
  </cellStyles>
  <dxfs count="65"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165" formatCode="#,##0.00\ &quot;₽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166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166" formatCode="0.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164" formatCode="#,##0.00\ \₽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164" formatCode="#,##0.00\ \₽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164" formatCode="#,##0.00\ \₽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left" vertical="bottom" textRotation="0" wrapText="0" indent="0" justifyLastLine="0" shrinkToFit="0" readingOrder="0"/>
    </dxf>
    <dxf>
      <numFmt numFmtId="165" formatCode="#,##0.00\ &quot;₽&quot;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Функциональная структура план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AB-4CF4-97FE-06D38FA95F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AB-4CF4-97FE-06D38FA95F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AB-4CF4-97FE-06D38FA95F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6AB-4CF4-97FE-06D38FA95F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6AB-4CF4-97FE-06D38FA95F5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6AB-4CF4-97FE-06D38FA95F5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6AB-4CF4-97FE-06D38FA95F5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6AB-4CF4-97FE-06D38FA95F5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6AB-4CF4-97FE-06D38FA95F5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6AB-4CF4-97FE-06D38FA95F5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6AB-4CF4-97FE-06D38FA95F5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6AB-4CF4-97FE-06D38FA95F5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6AB-4CF4-97FE-06D38FA95F5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6AB-4CF4-97FE-06D38FA95F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'план 2025'!$D$20:$D$32</c:f>
              <c:strCache>
                <c:ptCount val="13"/>
                <c:pt idx="0">
                  <c:v>Жилищно-коммунальное хозяйство</c:v>
                </c:pt>
                <c:pt idx="1">
                  <c:v>Здравоохранение</c:v>
                </c:pt>
                <c:pt idx="2">
                  <c:v>Культура, кинематография</c:v>
                </c:pt>
                <c:pt idx="3">
                  <c:v>Национальная безопасность и правоохранительная деятельность</c:v>
                </c:pt>
                <c:pt idx="4">
                  <c:v>Национальная экономика</c:v>
                </c:pt>
                <c:pt idx="5">
                  <c:v>Общегосударственные вопросы</c:v>
                </c:pt>
                <c:pt idx="6">
                  <c:v>Социальная политика</c:v>
                </c:pt>
                <c:pt idx="7">
                  <c:v>Физическая культура и спорт</c:v>
                </c:pt>
                <c:pt idx="8">
                  <c:v>Дополнительное образование детей</c:v>
                </c:pt>
                <c:pt idx="9">
                  <c:v>Дошкольное образование</c:v>
                </c:pt>
                <c:pt idx="10">
                  <c:v>Другие вопросы в области образования</c:v>
                </c:pt>
                <c:pt idx="11">
                  <c:v>Молодежная политика</c:v>
                </c:pt>
                <c:pt idx="12">
                  <c:v>Общее образование</c:v>
                </c:pt>
              </c:strCache>
            </c:strRef>
          </c:cat>
          <c:val>
            <c:numRef>
              <c:f>'план 2025'!$E$20:$E$32</c:f>
              <c:numCache>
                <c:formatCode>#\ ##0.00\ \₽</c:formatCode>
                <c:ptCount val="13"/>
                <c:pt idx="0">
                  <c:v>9653631.5000000019</c:v>
                </c:pt>
                <c:pt idx="1">
                  <c:v>9045275.3000000007</c:v>
                </c:pt>
                <c:pt idx="2">
                  <c:v>5597048.0000000009</c:v>
                </c:pt>
                <c:pt idx="3">
                  <c:v>434338.8</c:v>
                </c:pt>
                <c:pt idx="4">
                  <c:v>266502.40000000002</c:v>
                </c:pt>
                <c:pt idx="5">
                  <c:v>7930075.9000000022</c:v>
                </c:pt>
                <c:pt idx="6">
                  <c:v>8316236.8000000026</c:v>
                </c:pt>
                <c:pt idx="7">
                  <c:v>4671356.4999999991</c:v>
                </c:pt>
                <c:pt idx="8">
                  <c:v>2402727.1999999997</c:v>
                </c:pt>
                <c:pt idx="9">
                  <c:v>45662034.399999999</c:v>
                </c:pt>
                <c:pt idx="10">
                  <c:v>2050515.9000000004</c:v>
                </c:pt>
                <c:pt idx="11">
                  <c:v>2797598.399999999</c:v>
                </c:pt>
                <c:pt idx="12">
                  <c:v>53626131.799999997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B-48DE-BFD0-93F091CBB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992563429571308E-3"/>
          <c:y val="0.5914640926938779"/>
          <c:w val="0.99480074365704285"/>
          <c:h val="0.380758232113027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Программно-целевая структура план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D9-47E4-9741-8EA0A3EEC4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D9-47E4-9741-8EA0A3EEC4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D9-47E4-9741-8EA0A3EEC4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D9-47E4-9741-8EA0A3EEC4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D9-47E4-9741-8EA0A3EEC4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FD9-47E4-9741-8EA0A3EEC42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FD9-47E4-9741-8EA0A3EEC42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FD9-47E4-9741-8EA0A3EEC42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FD9-47E4-9741-8EA0A3EEC42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FD9-47E4-9741-8EA0A3EEC42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FD9-47E4-9741-8EA0A3EEC42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FD9-47E4-9741-8EA0A3EEC4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'план 2025'!$A$19:$A$30</c:f>
              <c:strCache>
                <c:ptCount val="12"/>
                <c:pt idx="0">
                  <c:v>Програмно-целевая структура</c:v>
                </c:pt>
                <c:pt idx="1">
                  <c:v>Благоустройство и охрана окружающей среды в Санкт-Петербурге</c:v>
                </c:pt>
                <c:pt idx="2">
                  <c:v>Непрограммные расходы</c:v>
                </c:pt>
                <c:pt idx="3">
                  <c:v>Обеспечение доступным жильем и жилищно-коммунальными услугами жителей Санкт-Петербурга</c:v>
                </c:pt>
                <c:pt idx="4">
                  <c:v>Обеспечение законности, правопорядка и безопасности в Санкт-Петербурге</c:v>
                </c:pt>
                <c:pt idx="5">
                  <c:v>Развитие здравоохранения в Санкт-Петербурге</c:v>
                </c:pt>
                <c:pt idx="6">
                  <c:v>Развитие образования в Санкт-Петербурге</c:v>
                </c:pt>
                <c:pt idx="7">
                  <c:v>Развитие сферы культуры в Санкт-Петербурге</c:v>
                </c:pt>
                <c:pt idx="8">
                  <c:v>Развитие физической культуры и спорта в Санкт-Петербурге</c:v>
                </c:pt>
                <c:pt idx="9">
                  <c:v>Создание условий для обеспечения общественного согласия в Санкт-Петербурге</c:v>
                </c:pt>
                <c:pt idx="10">
                  <c:v>Социальная поддержка граждан в Санкт-Петербурге</c:v>
                </c:pt>
                <c:pt idx="11">
                  <c:v>Экономическое и социальное развитие территорий Санкт-Петербурга</c:v>
                </c:pt>
              </c:strCache>
            </c:strRef>
          </c:cat>
          <c:val>
            <c:numRef>
              <c:f>'план 2025'!$B$19:$B$30</c:f>
              <c:numCache>
                <c:formatCode>#\ ##0.00\ \₽</c:formatCode>
                <c:ptCount val="12"/>
                <c:pt idx="1">
                  <c:v>431637.3</c:v>
                </c:pt>
                <c:pt idx="2">
                  <c:v>7975805.5000000019</c:v>
                </c:pt>
                <c:pt idx="3">
                  <c:v>9232623.8000000007</c:v>
                </c:pt>
                <c:pt idx="4">
                  <c:v>681899.60000000009</c:v>
                </c:pt>
                <c:pt idx="5">
                  <c:v>9020034.5</c:v>
                </c:pt>
                <c:pt idx="6">
                  <c:v>99494278.899999961</c:v>
                </c:pt>
                <c:pt idx="7">
                  <c:v>5597048.0000000009</c:v>
                </c:pt>
                <c:pt idx="8">
                  <c:v>4671356.4999999991</c:v>
                </c:pt>
                <c:pt idx="9">
                  <c:v>2806058.399999999</c:v>
                </c:pt>
                <c:pt idx="10">
                  <c:v>12540995.200000003</c:v>
                </c:pt>
                <c:pt idx="11">
                  <c:v>1735.2000000000003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C-4632-BFED-E38007E504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Программно</a:t>
            </a:r>
            <a:r>
              <a:rPr lang="ru-RU" baseline="0"/>
              <a:t>-целевая структура фактическая</a:t>
            </a:r>
            <a:endParaRPr lang="ru-RU"/>
          </a:p>
        </c:rich>
      </c:tx>
      <c:layout>
        <c:manualLayout>
          <c:xMode val="edge"/>
          <c:yMode val="edge"/>
          <c:x val="0.2068018471297591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1B-4892-BCF9-B9F462A8A1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1B-4892-BCF9-B9F462A8A1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1B-4892-BCF9-B9F462A8A1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A1B-4892-BCF9-B9F462A8A18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A1B-4892-BCF9-B9F462A8A18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A1B-4892-BCF9-B9F462A8A18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A1B-4892-BCF9-B9F462A8A18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A1B-4892-BCF9-B9F462A8A18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A1B-4892-BCF9-B9F462A8A18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A1B-4892-BCF9-B9F462A8A18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A1B-4892-BCF9-B9F462A8A18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A1B-4892-BCF9-B9F462A8A1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факт 2025'!$A$19:$A$30</c:f>
              <c:strCache>
                <c:ptCount val="12"/>
                <c:pt idx="0">
                  <c:v>Програмно-целевая структура</c:v>
                </c:pt>
                <c:pt idx="1">
                  <c:v>Благоустройство и охрана окружающей среды в Санкт-Петербурге</c:v>
                </c:pt>
                <c:pt idx="2">
                  <c:v>Непрограммные расходы</c:v>
                </c:pt>
                <c:pt idx="3">
                  <c:v>Обеспечение доступным жильем и жилищно-коммунальными услугами жителей Санкт-Петербурга</c:v>
                </c:pt>
                <c:pt idx="4">
                  <c:v>Обеспечение законности, правопорядка и безопасности в Санкт-Петербурге</c:v>
                </c:pt>
                <c:pt idx="5">
                  <c:v>Развитие здравоохранения в Санкт-Петербурге</c:v>
                </c:pt>
                <c:pt idx="6">
                  <c:v>Развитие образования в Санкт-Петербурге</c:v>
                </c:pt>
                <c:pt idx="7">
                  <c:v>Развитие сферы культуры в Санкт-Петербурге</c:v>
                </c:pt>
                <c:pt idx="8">
                  <c:v>Развитие физической культуры и спорта в Санкт-Петербурге</c:v>
                </c:pt>
                <c:pt idx="9">
                  <c:v>Создание условий для обеспечения общественного согласия в Санкт-Петербурге</c:v>
                </c:pt>
                <c:pt idx="10">
                  <c:v>Социальная поддержка граждан в Санкт-Петербурге</c:v>
                </c:pt>
                <c:pt idx="11">
                  <c:v>Экономическое и социальное развитие территорий Санкт-Петербурга</c:v>
                </c:pt>
              </c:strCache>
            </c:strRef>
          </c:cat>
          <c:val>
            <c:numRef>
              <c:f>' факт 2025'!$B$19:$B$30</c:f>
              <c:numCache>
                <c:formatCode>#\ ##0.00\ \₽</c:formatCode>
                <c:ptCount val="12"/>
                <c:pt idx="1">
                  <c:v>16254.894300000002</c:v>
                </c:pt>
                <c:pt idx="2">
                  <c:v>649167.76630000013</c:v>
                </c:pt>
                <c:pt idx="3">
                  <c:v>637197.24509999994</c:v>
                </c:pt>
                <c:pt idx="4">
                  <c:v>43114.967700000008</c:v>
                </c:pt>
                <c:pt idx="5">
                  <c:v>659940.7067000001</c:v>
                </c:pt>
                <c:pt idx="6">
                  <c:v>7871669.0508999983</c:v>
                </c:pt>
                <c:pt idx="7">
                  <c:v>439204.34090000013</c:v>
                </c:pt>
                <c:pt idx="8">
                  <c:v>324424.70310000004</c:v>
                </c:pt>
                <c:pt idx="9">
                  <c:v>120073.21889999999</c:v>
                </c:pt>
                <c:pt idx="10">
                  <c:v>997127.25750000007</c:v>
                </c:pt>
                <c:pt idx="11">
                  <c:v>168.1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E-497C-BACA-D19C36B3F5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Сравнение плановых расходов с исполнением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'динамика по месяцам'!$B$14</c:f>
              <c:strCache>
                <c:ptCount val="1"/>
                <c:pt idx="0">
                  <c:v>уточненный план на год 2025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'динамика по месяцам'!$B$15:$B$22</c:f>
              <c:numCache>
                <c:formatCode>#\ ##0.00\ \₽</c:formatCode>
                <c:ptCount val="8"/>
                <c:pt idx="0">
                  <c:v>18877414</c:v>
                </c:pt>
                <c:pt idx="1">
                  <c:v>18984733.600000005</c:v>
                </c:pt>
                <c:pt idx="2">
                  <c:v>19061723.600000005</c:v>
                </c:pt>
                <c:pt idx="3">
                  <c:v>19088989.400000002</c:v>
                </c:pt>
                <c:pt idx="4">
                  <c:v>19087906.199999999</c:v>
                </c:pt>
                <c:pt idx="5">
                  <c:v>19107568.699999999</c:v>
                </c:pt>
                <c:pt idx="6">
                  <c:v>19122568.699999999</c:v>
                </c:pt>
                <c:pt idx="7">
                  <c:v>19122568.699999999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7-42D3-804F-8183B5A731AA}"/>
            </c:ext>
          </c:extLst>
        </c:ser>
        <c:ser>
          <c:idx val="1"/>
          <c:order val="1"/>
          <c:tx>
            <c:strRef>
              <c:f>'динамика по месяцам'!$D$14</c:f>
              <c:strCache>
                <c:ptCount val="1"/>
                <c:pt idx="0">
                  <c:v>Исполнено с начала года 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'динамика по месяцам'!$D$15:$D$22</c:f>
              <c:numCache>
                <c:formatCode>#\ ##0.00\ \₽</c:formatCode>
                <c:ptCount val="8"/>
                <c:pt idx="0">
                  <c:v>952861.42799999996</c:v>
                </c:pt>
                <c:pt idx="1">
                  <c:v>2253902.1489000004</c:v>
                </c:pt>
                <c:pt idx="2">
                  <c:v>3845647.0797999999</c:v>
                </c:pt>
                <c:pt idx="3">
                  <c:v>5267368.3237999985</c:v>
                </c:pt>
                <c:pt idx="4">
                  <c:v>6995807.5957999984</c:v>
                </c:pt>
                <c:pt idx="5">
                  <c:v>9132960.1352000013</c:v>
                </c:pt>
                <c:pt idx="6">
                  <c:v>10852577.351100009</c:v>
                </c:pt>
                <c:pt idx="7">
                  <c:v>11758342.251399996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7-42D3-804F-8183B5A731A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3365768"/>
        <c:axId val="543366848"/>
      </c:barChart>
      <c:catAx>
        <c:axId val="543365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543366848"/>
        <c:crosses val="autoZero"/>
        <c:auto val="1"/>
        <c:lblAlgn val="ctr"/>
        <c:lblOffset val="100"/>
        <c:noMultiLvlLbl val="0"/>
      </c:catAx>
      <c:valAx>
        <c:axId val="54336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\₽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543365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Уровень исполнения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'динамика по месяцам'!$E$14</c:f>
              <c:strCache>
                <c:ptCount val="1"/>
                <c:pt idx="0">
                  <c:v>Уровень исполнения 2025,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'динамика по месяцам'!$E$15:$E$22</c:f>
              <c:numCache>
                <c:formatCode>0.00</c:formatCode>
                <c:ptCount val="8"/>
                <c:pt idx="0">
                  <c:v>4.9829154385519345</c:v>
                </c:pt>
                <c:pt idx="1">
                  <c:v>6.8036922304271812</c:v>
                </c:pt>
                <c:pt idx="2">
                  <c:v>8.3239075035980914</c:v>
                </c:pt>
                <c:pt idx="3">
                  <c:v>7.434781729925227</c:v>
                </c:pt>
                <c:pt idx="4">
                  <c:v>9.0387400307783938</c:v>
                </c:pt>
                <c:pt idx="5">
                  <c:v>11.176074579352937</c:v>
                </c:pt>
                <c:pt idx="6">
                  <c:v>8.9926057679688221</c:v>
                </c:pt>
                <c:pt idx="7">
                  <c:v>4.7366277748030781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3A-418F-A54D-80326249ACF9}"/>
            </c:ext>
          </c:extLst>
        </c:ser>
        <c:ser>
          <c:idx val="1"/>
          <c:order val="1"/>
          <c:tx>
            <c:strRef>
              <c:f>'динамика по месяцам'!$F$14</c:f>
              <c:strCache>
                <c:ptCount val="1"/>
                <c:pt idx="0">
                  <c:v>накопленный уровень исполнения 2025,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'динамика по месяцам'!$F$15:$F$22</c:f>
              <c:numCache>
                <c:formatCode>0.00</c:formatCode>
                <c:ptCount val="8"/>
                <c:pt idx="0">
                  <c:v>4.9829154385519345</c:v>
                </c:pt>
                <c:pt idx="1">
                  <c:v>11.786607668979116</c:v>
                </c:pt>
                <c:pt idx="2">
                  <c:v>20.110515172577209</c:v>
                </c:pt>
                <c:pt idx="3">
                  <c:v>27.545296902502436</c:v>
                </c:pt>
                <c:pt idx="4">
                  <c:v>36.584036933280828</c:v>
                </c:pt>
                <c:pt idx="5">
                  <c:v>47.760111512633763</c:v>
                </c:pt>
                <c:pt idx="6">
                  <c:v>56.752717280602582</c:v>
                </c:pt>
                <c:pt idx="7">
                  <c:v>61.489345055405657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3A-418F-A54D-80326249A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147392"/>
        <c:axId val="543153152"/>
      </c:lineChart>
      <c:catAx>
        <c:axId val="54314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543153152"/>
        <c:crosses val="autoZero"/>
        <c:auto val="1"/>
        <c:lblAlgn val="ctr"/>
        <c:lblOffset val="100"/>
        <c:noMultiLvlLbl val="0"/>
      </c:catAx>
      <c:valAx>
        <c:axId val="54315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54314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Динамика исполнения за 2024 и 2025 гг.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Накопленный уровень исполнения 2025 г.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'динамика по месяцам'!$F$15:$F$22</c:f>
              <c:numCache>
                <c:formatCode>0.00</c:formatCode>
                <c:ptCount val="8"/>
                <c:pt idx="0">
                  <c:v>4.9829154385519345</c:v>
                </c:pt>
                <c:pt idx="1">
                  <c:v>11.786607668979116</c:v>
                </c:pt>
                <c:pt idx="2">
                  <c:v>20.110515172577209</c:v>
                </c:pt>
                <c:pt idx="3">
                  <c:v>27.545296902502436</c:v>
                </c:pt>
                <c:pt idx="4">
                  <c:v>36.584036933280828</c:v>
                </c:pt>
                <c:pt idx="5">
                  <c:v>47.760111512633763</c:v>
                </c:pt>
                <c:pt idx="6">
                  <c:v>56.752717280602582</c:v>
                </c:pt>
                <c:pt idx="7">
                  <c:v>61.489345055405657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7F-4F8D-B22B-6A229E2EE472}"/>
            </c:ext>
          </c:extLst>
        </c:ser>
        <c:ser>
          <c:idx val="1"/>
          <c:order val="1"/>
          <c:tx>
            <c:v>Накопленный уровень исполнения 2024 г.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'динамика по месяцам'!$N$19:$N$30</c:f>
              <c:numCache>
                <c:formatCode>0.00</c:formatCode>
                <c:ptCount val="12"/>
                <c:pt idx="0">
                  <c:v>4.881865829249092</c:v>
                </c:pt>
                <c:pt idx="1">
                  <c:v>12.468049606478019</c:v>
                </c:pt>
                <c:pt idx="2">
                  <c:v>19.998374036694582</c:v>
                </c:pt>
                <c:pt idx="3">
                  <c:v>27.089925368330299</c:v>
                </c:pt>
                <c:pt idx="4">
                  <c:v>35.145846578492318</c:v>
                </c:pt>
                <c:pt idx="5">
                  <c:v>46.202436742510827</c:v>
                </c:pt>
                <c:pt idx="6">
                  <c:v>54.003911124786221</c:v>
                </c:pt>
                <c:pt idx="7">
                  <c:v>59.557759137243927</c:v>
                </c:pt>
                <c:pt idx="8">
                  <c:v>66.72017727921785</c:v>
                </c:pt>
                <c:pt idx="9">
                  <c:v>74.209379362497501</c:v>
                </c:pt>
                <c:pt idx="10">
                  <c:v>82.84458741131975</c:v>
                </c:pt>
                <c:pt idx="11">
                  <c:v>99.819055836070234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7F-4F8D-B22B-6A229E2EE472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35306472"/>
        <c:axId val="406513848"/>
      </c:lineChart>
      <c:catAx>
        <c:axId val="335306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406513848"/>
        <c:crosses val="autoZero"/>
        <c:auto val="1"/>
        <c:lblAlgn val="ctr"/>
        <c:lblOffset val="100"/>
        <c:noMultiLvlLbl val="0"/>
      </c:catAx>
      <c:valAx>
        <c:axId val="40651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35306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Функциональная структура фактическая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Функциональная структура фактическая</a:t>
          </a:r>
        </a:p>
      </cx:txPr>
    </cx:title>
    <cx:plotArea>
      <cx:plotAreaRegion>
        <cx:series layoutId="treemap" uniqueId="{33E8E935-B3EE-4A51-85D9-D17BC01551DB}">
          <cx:tx>
            <cx:txData>
              <cx:f>_xlchart.v1.1</cx:f>
              <cx:v/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1123164</xdr:colOff>
      <xdr:row>32</xdr:row>
      <xdr:rowOff>35277</xdr:rowOff>
    </xdr:from>
    <xdr:to>
      <xdr:col>5</xdr:col>
      <xdr:colOff>55420</xdr:colOff>
      <xdr:row>33</xdr:row>
      <xdr:rowOff>4199657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3DA4443-827B-0AE7-7E20-5092FB8E0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52916</xdr:rowOff>
    </xdr:from>
    <xdr:to>
      <xdr:col>1</xdr:col>
      <xdr:colOff>1395076</xdr:colOff>
      <xdr:row>35</xdr:row>
      <xdr:rowOff>12827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70458D7-6F5D-B2F6-683B-689CE4BD9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173182</xdr:rowOff>
    </xdr:from>
    <xdr:to>
      <xdr:col>0</xdr:col>
      <xdr:colOff>5926666</xdr:colOff>
      <xdr:row>32</xdr:row>
      <xdr:rowOff>134697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6A147BF-5222-5DA9-16EA-8BB73897A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706097</xdr:colOff>
      <xdr:row>30</xdr:row>
      <xdr:rowOff>395442</xdr:rowOff>
    </xdr:from>
    <xdr:to>
      <xdr:col>6</xdr:col>
      <xdr:colOff>230910</xdr:colOff>
      <xdr:row>32</xdr:row>
      <xdr:rowOff>57726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21EB6EA6-FD8F-BF4C-558A-707114F573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59447" y="6104092"/>
              <a:ext cx="5512863" cy="50407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45391</xdr:rowOff>
    </xdr:from>
    <xdr:to>
      <xdr:col>2</xdr:col>
      <xdr:colOff>1974380</xdr:colOff>
      <xdr:row>35</xdr:row>
      <xdr:rowOff>846668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756C948-71A9-816E-3F1F-3AED0CB00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1988490</xdr:colOff>
      <xdr:row>22</xdr:row>
      <xdr:rowOff>57151</xdr:rowOff>
    </xdr:from>
    <xdr:to>
      <xdr:col>4</xdr:col>
      <xdr:colOff>2739907</xdr:colOff>
      <xdr:row>35</xdr:row>
      <xdr:rowOff>889000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0A8BBB7-8C98-90BF-DDAD-9CD672ED5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579783</xdr:colOff>
      <xdr:row>30</xdr:row>
      <xdr:rowOff>55218</xdr:rowOff>
    </xdr:from>
    <xdr:to>
      <xdr:col>10</xdr:col>
      <xdr:colOff>2125869</xdr:colOff>
      <xdr:row>35</xdr:row>
      <xdr:rowOff>2455333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B386E7E-CF7F-9101-1396-ECCBF8090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23.481537037034" createdVersion="8" refreshedVersion="8" minRefreshableVersion="3" recordCount="967" xr:uid="{9D74C67F-10C8-4BFE-8397-D0E6982B622A}">
  <cacheSource type="worksheet">
    <worksheetSource ref="A1:W968" sheet="2025"/>
  </cacheSource>
  <cacheFields count="23">
    <cacheField name="Период" numFmtId="0">
      <sharedItems count="8">
        <s v="1"/>
        <s v="2"/>
        <s v="3"/>
        <s v="4"/>
        <s v="5"/>
        <s v="6"/>
        <s v="7"/>
        <s v="8"/>
      </sharedItems>
    </cacheField>
    <cacheField name="Наименование периода" numFmtId="0">
      <sharedItems count="8">
        <s v="январь"/>
        <s v="февраль"/>
        <s v="март"/>
        <s v="апрель"/>
        <s v="май"/>
        <s v="июнь"/>
        <s v="июль"/>
        <s v="август"/>
      </sharedItems>
    </cacheField>
    <cacheField name="Коды бюджетной классификации" numFmtId="0">
      <sharedItems/>
    </cacheField>
    <cacheField name="Раздел/Подраздел" numFmtId="0">
      <sharedItems count="23">
        <s v="0103"/>
        <s v="0113"/>
        <s v="0309"/>
        <s v="0314"/>
        <s v="0410"/>
        <s v="0501"/>
        <s v="0503"/>
        <s v="0505"/>
        <s v="0701"/>
        <s v="0702"/>
        <s v="0703"/>
        <s v="0707"/>
        <s v="0709"/>
        <s v="0801"/>
        <s v="0804"/>
        <s v="0902"/>
        <s v="0909"/>
        <s v="1002"/>
        <s v="1003"/>
        <s v="1004"/>
        <s v="1101"/>
        <s v="1102"/>
        <s v="1103"/>
      </sharedItems>
    </cacheField>
    <cacheField name="Наименование раздела" numFmtId="0">
      <sharedItems count="9">
        <s v="Общегосударственные вопросы"/>
        <s v="Национальная безопасность и правоохранительная деятельность"/>
        <s v="Национальная экономика"/>
        <s v="Жилищно-коммунальное хозяйство"/>
        <s v="Образование"/>
        <s v="Культура, кинематография"/>
        <s v="Здравоохранение"/>
        <s v="Социальная политика"/>
        <s v="Физическая культура и спорт"/>
      </sharedItems>
    </cacheField>
    <cacheField name="Подраздел" numFmtId="0">
      <sharedItems/>
    </cacheField>
    <cacheField name="Наименование подраздела" numFmtId="0">
      <sharedItems count="23">
        <s v="Функционирование законодательных (представительных) органов государственной власти и представительных органов муниципальных образований"/>
        <s v="Другие общегосударственные вопросы"/>
        <s v="Гражданская оборона"/>
        <s v="Другие вопросы в области национальной безопасности и правоохранительной деятельности"/>
        <s v="Связь и информатика"/>
        <s v="Жилищное хозяйство"/>
        <s v="Благоустройство"/>
        <s v="Другие вопросы в области жилищно-коммунального хозяйства"/>
        <s v="Дошкольное образование"/>
        <s v="Общее образование"/>
        <s v="Дополнительное образование детей"/>
        <s v="Молодежная политика"/>
        <s v="Другие вопросы в области образования"/>
        <s v="Культура "/>
        <s v="Другие вопросы в области культуры, кинематографии"/>
        <s v="Амбулаторная помощь"/>
        <s v="Другие вопросы в области здравоохранения"/>
        <s v="Социальное обслуживание населения"/>
        <s v="Социальное обеспечение населения"/>
        <s v="Охрана семьи и детства"/>
        <s v="Физическая культура"/>
        <s v="Массовый спорт"/>
        <s v="Спорт высших достижений"/>
      </sharedItems>
    </cacheField>
    <cacheField name="Гос.программа" numFmtId="0">
      <sharedItems/>
    </cacheField>
    <cacheField name="Наименование гос.программы" numFmtId="0">
      <sharedItems count="11">
        <s v="Непрограммные расходы"/>
        <s v="Обеспечение законности, правопорядка и безопасности в Санкт-Петербурге"/>
        <s v="Экономическое и социальное развитие территорий Санкт-Петербурга"/>
        <s v="Создание условий для обеспечения общественного согласия в Санкт-Петербурге"/>
        <s v="Обеспечение доступным жильем и жилищно-коммунальными услугами жителей Санкт-Петербурга"/>
        <s v="Благоустройство и охрана окружающей среды в Санкт-Петербурге"/>
        <s v="Развитие образования в Санкт-Петербурге"/>
        <s v="Социальная поддержка граждан в Санкт-Петербурге"/>
        <s v="Развитие сферы культуры в Санкт-Петербурге"/>
        <s v="Развитие здравоохранения в Санкт-Петербурге"/>
        <s v="Развитие физической культуры и спорта в Санкт-Петербурге"/>
      </sharedItems>
    </cacheField>
    <cacheField name="Гос.программа/элемент" numFmtId="0">
      <sharedItems count="14">
        <s v="995"/>
        <s v="065"/>
        <s v="165"/>
        <s v="175"/>
        <s v="095"/>
        <s v="105"/>
        <s v="025"/>
        <s v="021"/>
        <s v="035"/>
        <s v="085"/>
        <s v="015"/>
        <s v="011"/>
        <s v="045"/>
        <s v="031"/>
      </sharedItems>
    </cacheField>
    <cacheField name="Код элемента" numFmtId="0">
      <sharedItems/>
    </cacheField>
    <cacheField name="Наименование элемента" numFmtId="0">
      <sharedItems/>
    </cacheField>
    <cacheField name="Целевая статья" numFmtId="0">
      <sharedItems/>
    </cacheField>
    <cacheField name="Наименование целевой статьи" numFmtId="0">
      <sharedItems/>
    </cacheField>
    <cacheField name="Вид расходов" numFmtId="0">
      <sharedItems/>
    </cacheField>
    <cacheField name="Наименование вида расходов" numFmtId="0">
      <sharedItems/>
    </cacheField>
    <cacheField name="Наименование ГРБС" numFmtId="0">
      <sharedItems/>
    </cacheField>
    <cacheField name="ИНН ГРБС" numFmtId="0">
      <sharedItems/>
    </cacheField>
    <cacheField name="Уточненный план на год" numFmtId="164">
      <sharedItems containsSemiMixedTypes="0" containsString="0" containsNumber="1" minValue="2.2000000000000002" maxValue="5665542.5999999996"/>
    </cacheField>
    <cacheField name="Исполнено с начала года" numFmtId="164">
      <sharedItems containsSemiMixedTypes="0" containsString="0" containsNumber="1" minValue="0" maxValue="3581018.6801999998"/>
    </cacheField>
    <cacheField name="Исполнено с начала месяца" numFmtId="164">
      <sharedItems containsSemiMixedTypes="0" containsString="0" containsNumber="1" minValue="0" maxValue="862634.05079999997"/>
    </cacheField>
    <cacheField name="Остаток ассигнований на год" numFmtId="164">
      <sharedItems containsSemiMixedTypes="0" containsString="0" containsNumber="1" minValue="0" maxValue="5371071.4718000004"/>
    </cacheField>
    <cacheField name="Процент исполнения к уточненному плану года" numFmtId="0">
      <sharedItems containsSemiMixedTypes="0" containsString="0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26.661170949075" createdVersion="8" refreshedVersion="8" minRefreshableVersion="3" recordCount="1435" xr:uid="{48FA5EC1-9DB8-4B24-A22B-F7F15E5A5A09}">
  <cacheSource type="worksheet">
    <worksheetSource ref="A1:W1436" sheet="2024"/>
  </cacheSource>
  <cacheFields count="23">
    <cacheField name="Период" numFmtId="0">
      <sharedItems/>
    </cacheField>
    <cacheField name="Наименование периода" numFmtId="0">
      <sharedItems count="12">
        <s v="январь"/>
        <s v="октябрь"/>
        <s v="ноябрь"/>
        <s v="декабрь"/>
        <s v="февраль"/>
        <s v="март"/>
        <s v="апрель"/>
        <s v="май"/>
        <s v="июнь"/>
        <s v="июль"/>
        <s v="август"/>
        <s v="сентябрь"/>
      </sharedItems>
    </cacheField>
    <cacheField name="Коды бюджетной классификации" numFmtId="0">
      <sharedItems/>
    </cacheField>
    <cacheField name="Раздел/Подраздел" numFmtId="0">
      <sharedItems/>
    </cacheField>
    <cacheField name="Наименование раздела" numFmtId="0">
      <sharedItems/>
    </cacheField>
    <cacheField name="Подраздел" numFmtId="0">
      <sharedItems/>
    </cacheField>
    <cacheField name="Наименование подраздела" numFmtId="0">
      <sharedItems/>
    </cacheField>
    <cacheField name="Гос_программа" numFmtId="0">
      <sharedItems/>
    </cacheField>
    <cacheField name="Наименование гос_программы" numFmtId="0">
      <sharedItems/>
    </cacheField>
    <cacheField name="Гос_программа/ПГП" numFmtId="0">
      <sharedItems/>
    </cacheField>
    <cacheField name="Код ПГП" numFmtId="0">
      <sharedItems/>
    </cacheField>
    <cacheField name="Наименование ПГП" numFmtId="0">
      <sharedItems/>
    </cacheField>
    <cacheField name="Целевая статья" numFmtId="0">
      <sharedItems/>
    </cacheField>
    <cacheField name="Наименование целевой статьи" numFmtId="0">
      <sharedItems/>
    </cacheField>
    <cacheField name="Вид расходов" numFmtId="0">
      <sharedItems/>
    </cacheField>
    <cacheField name="Наименование вида расходов" numFmtId="0">
      <sharedItems/>
    </cacheField>
    <cacheField name="Наименование ГРБС" numFmtId="0">
      <sharedItems/>
    </cacheField>
    <cacheField name="ИНН ГРБС" numFmtId="0">
      <sharedItems/>
    </cacheField>
    <cacheField name="Уточненный план на год" numFmtId="4">
      <sharedItems containsSemiMixedTypes="0" containsString="0" containsNumber="1" minValue="2" maxValue="5209410.8"/>
    </cacheField>
    <cacheField name="Исполнено с начала года" numFmtId="4">
      <sharedItems containsSemiMixedTypes="0" containsString="0" containsNumber="1" minValue="0" maxValue="5209410.8"/>
    </cacheField>
    <cacheField name="Исполнено с начала месяца" numFmtId="4">
      <sharedItems containsSemiMixedTypes="0" containsString="0" containsNumber="1" minValue="-157.78829999999999" maxValue="831924.54350000003"/>
    </cacheField>
    <cacheField name="Остаток ассигнований на год" numFmtId="4">
      <sharedItems containsSemiMixedTypes="0" containsString="0" containsNumber="1" minValue="0" maxValue="4706393.1162999999"/>
    </cacheField>
    <cacheField name="Процент исполнения к уточненному плану года" numFmtId="0">
      <sharedItems containsSemiMixedTypes="0" containsString="0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7">
  <r>
    <x v="0"/>
    <x v="0"/>
    <s v="  0103 9950000060 244"/>
    <x v="0"/>
    <x v="0"/>
    <s v="03"/>
    <x v="0"/>
    <s v="99"/>
    <x v="0"/>
    <x v="0"/>
    <s v="5"/>
    <s v="Процессная часть перечня мероприятий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730.5"/>
    <n v="0"/>
    <n v="0"/>
    <n v="730.5"/>
    <n v="0"/>
  </r>
  <r>
    <x v="0"/>
    <x v="0"/>
    <s v="  0103 9950000060 247"/>
    <x v="0"/>
    <x v="0"/>
    <s v="03"/>
    <x v="0"/>
    <s v="99"/>
    <x v="0"/>
    <x v="0"/>
    <s v="5"/>
    <s v="Процессная часть перечня мероприятий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32.5"/>
    <n v="0"/>
    <n v="0"/>
    <n v="32.5"/>
    <n v="0"/>
  </r>
  <r>
    <x v="0"/>
    <x v="0"/>
    <s v="  0113 0650090100 530"/>
    <x v="1"/>
    <x v="0"/>
    <s v="13"/>
    <x v="1"/>
    <s v="06"/>
    <x v="1"/>
    <x v="1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7.2"/>
    <n v="0"/>
    <n v="0"/>
    <n v="67.2"/>
    <n v="0"/>
  </r>
  <r>
    <x v="0"/>
    <x v="0"/>
    <s v="  0113 0650090830 244"/>
    <x v="1"/>
    <x v="0"/>
    <s v="13"/>
    <x v="1"/>
    <s v="06"/>
    <x v="1"/>
    <x v="1"/>
    <s v="5"/>
    <s v="Процессная часть перечня мероприятий государственной программы"/>
    <s v="0650090830"/>
    <s v="Расходы, связанные с изъятием вещей и документов при производстве по делам об административных правонарушениях"/>
    <s v="244"/>
    <s v="Прочая закупка товаров, работ и услуг"/>
    <s v="Администрация Кировского района Санкт-Петербурга"/>
    <s v="7805059546"/>
    <n v="61.9"/>
    <n v="0"/>
    <n v="0"/>
    <n v="61.9"/>
    <n v="0"/>
  </r>
  <r>
    <x v="0"/>
    <x v="0"/>
    <s v="  0113 1650099220 244"/>
    <x v="1"/>
    <x v="0"/>
    <s v="13"/>
    <x v="1"/>
    <s v="16"/>
    <x v="2"/>
    <x v="2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216.9"/>
    <n v="0"/>
    <n v="0"/>
    <n v="216.9"/>
    <n v="0"/>
  </r>
  <r>
    <x v="0"/>
    <x v="0"/>
    <s v="  0113 1750098720 244"/>
    <x v="1"/>
    <x v="0"/>
    <s v="13"/>
    <x v="1"/>
    <s v="17"/>
    <x v="3"/>
    <x v="3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57.5"/>
    <n v="0"/>
    <n v="0"/>
    <n v="557.5"/>
    <n v="0"/>
  </r>
  <r>
    <x v="0"/>
    <x v="0"/>
    <s v="  0113 9950000090 121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349800.7"/>
    <n v="17726.627100000002"/>
    <n v="17726.627100000002"/>
    <n v="332074.07290000003"/>
    <n v="5"/>
  </r>
  <r>
    <x v="0"/>
    <x v="0"/>
    <s v="  0113 9950000090 122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40.5"/>
    <n v="0.47899999999999998"/>
    <n v="0.47899999999999998"/>
    <n v="140.02099999999999"/>
    <n v="0"/>
  </r>
  <r>
    <x v="0"/>
    <x v="0"/>
    <s v="  0113 9950000090 129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105260"/>
    <n v="8070.1103999999996"/>
    <n v="8070.1103999999996"/>
    <n v="97189.889599999995"/>
    <n v="8"/>
  </r>
  <r>
    <x v="0"/>
    <x v="0"/>
    <s v="  0113 9950000090 242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0"/>
    <n v="0"/>
    <n v="300"/>
    <n v="0"/>
  </r>
  <r>
    <x v="0"/>
    <x v="0"/>
    <s v="  0113 9950000090 243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856.8"/>
    <n v="0"/>
    <n v="0"/>
    <n v="856.8"/>
    <n v="0"/>
  </r>
  <r>
    <x v="0"/>
    <x v="0"/>
    <s v="  0113 9950000090 244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99604.1"/>
    <n v="849.04970000000003"/>
    <n v="849.04970000000003"/>
    <n v="98755.050300000003"/>
    <n v="1"/>
  </r>
  <r>
    <x v="0"/>
    <x v="0"/>
    <s v="  0113 9950000090 247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962"/>
    <n v="436.6336"/>
    <n v="436.6336"/>
    <n v="16525.366399999999"/>
    <n v="3"/>
  </r>
  <r>
    <x v="0"/>
    <x v="0"/>
    <s v="  0113 9950000090 831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4.5"/>
    <n v="0"/>
    <n v="0"/>
    <n v="4.5"/>
    <n v="0"/>
  </r>
  <r>
    <x v="0"/>
    <x v="0"/>
    <s v="  0113 9950000320 111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216958.1"/>
    <n v="12450.326800000001"/>
    <n v="12450.326800000001"/>
    <n v="204507.7732"/>
    <n v="6"/>
  </r>
  <r>
    <x v="0"/>
    <x v="0"/>
    <s v="  0113 9950000320 119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65400.7"/>
    <n v="1676.4362000000001"/>
    <n v="1676.4362000000001"/>
    <n v="63724.263800000001"/>
    <n v="3"/>
  </r>
  <r>
    <x v="0"/>
    <x v="0"/>
    <s v="  0113 9950000320 244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4394"/>
    <n v="14.3294"/>
    <n v="14.3294"/>
    <n v="4379.6706000000004"/>
    <n v="0"/>
  </r>
  <r>
    <x v="0"/>
    <x v="0"/>
    <s v="  0113 9950000320 852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0"/>
    <n v="0"/>
    <n v="3.7"/>
    <n v="0"/>
  </r>
  <r>
    <x v="0"/>
    <x v="0"/>
    <s v="  0113 9950000530 611"/>
    <x v="1"/>
    <x v="0"/>
    <s v="13"/>
    <x v="1"/>
    <s v="99"/>
    <x v="0"/>
    <x v="0"/>
    <s v="5"/>
    <s v="Процессная часть перечня мероприятий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1533.600000000006"/>
    <n v="3718.3627000000001"/>
    <n v="3718.3627000000001"/>
    <n v="77815.237299999993"/>
    <n v="5"/>
  </r>
  <r>
    <x v="0"/>
    <x v="0"/>
    <s v="  0113 9950001480 244"/>
    <x v="1"/>
    <x v="0"/>
    <s v="13"/>
    <x v="1"/>
    <s v="99"/>
    <x v="0"/>
    <x v="0"/>
    <s v="5"/>
    <s v="Процессная часть перечня мероприятий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6933"/>
    <n v="498.66660000000002"/>
    <n v="498.66660000000002"/>
    <n v="6434.3334000000004"/>
    <n v="7"/>
  </r>
  <r>
    <x v="0"/>
    <x v="0"/>
    <s v="  0309 0650090880 244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7193.2"/>
    <n v="0"/>
    <n v="0"/>
    <n v="7193.2"/>
    <n v="0"/>
  </r>
  <r>
    <x v="0"/>
    <x v="0"/>
    <s v="  0309 0650090880 247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9131.9"/>
    <n v="0"/>
    <n v="0"/>
    <n v="9131.9"/>
    <n v="0"/>
  </r>
  <r>
    <x v="0"/>
    <x v="0"/>
    <s v="  0309 0650090880 851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7025.2"/>
    <n v="0"/>
    <n v="0"/>
    <n v="7025.2"/>
    <n v="0"/>
  </r>
  <r>
    <x v="0"/>
    <x v="0"/>
    <s v="  0309 0650090880 853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3"/>
    <s v="Уплата иных платежей"/>
    <s v="Администрация Кировского района Санкт-Петербурга"/>
    <s v="7805059546"/>
    <n v="3050"/>
    <n v="0"/>
    <n v="0"/>
    <n v="3050"/>
    <n v="0"/>
  </r>
  <r>
    <x v="0"/>
    <x v="0"/>
    <s v="  0309 0650091060 243"/>
    <x v="2"/>
    <x v="1"/>
    <s v="09"/>
    <x v="2"/>
    <s v="06"/>
    <x v="1"/>
    <x v="1"/>
    <s v="5"/>
    <s v="Процессная часть перечня мероприятий государственной программы"/>
    <s v="0650091060"/>
    <s v="Расходы на выполнение мероприятий по обследованию и ремонту защитных сооружений гражданской обороны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33821.9"/>
    <n v="0"/>
    <n v="0"/>
    <n v="33821.9"/>
    <n v="0"/>
  </r>
  <r>
    <x v="0"/>
    <x v="0"/>
    <s v="  0314 0650090690 244"/>
    <x v="3"/>
    <x v="1"/>
    <s v="14"/>
    <x v="3"/>
    <s v="06"/>
    <x v="1"/>
    <x v="1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3.1"/>
    <n v="0"/>
    <n v="0"/>
    <n v="23.1"/>
    <n v="0"/>
  </r>
  <r>
    <x v="0"/>
    <x v="0"/>
    <s v="  0410 9950096170 242"/>
    <x v="4"/>
    <x v="2"/>
    <s v="10"/>
    <x v="4"/>
    <s v="99"/>
    <x v="0"/>
    <x v="0"/>
    <s v="5"/>
    <s v="Процессная часть перечня мероприятий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5651.9"/>
    <n v="78.907399999999996"/>
    <n v="78.907399999999996"/>
    <n v="5572.9925999999996"/>
    <n v="1"/>
  </r>
  <r>
    <x v="0"/>
    <x v="0"/>
    <s v="  0501 0950083380 244"/>
    <x v="5"/>
    <x v="3"/>
    <s v="01"/>
    <x v="5"/>
    <s v="09"/>
    <x v="4"/>
    <x v="4"/>
    <s v="5"/>
    <s v="Процессная часть перечня мероприятий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465.8"/>
    <n v="0"/>
    <n v="0"/>
    <n v="5465.8"/>
    <n v="0"/>
  </r>
  <r>
    <x v="0"/>
    <x v="0"/>
    <s v="  0501 0950083470 244"/>
    <x v="5"/>
    <x v="3"/>
    <s v="01"/>
    <x v="5"/>
    <s v="09"/>
    <x v="4"/>
    <x v="4"/>
    <s v="5"/>
    <s v="Процессная часть перечня мероприятий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35373.199999999997"/>
    <n v="0"/>
    <n v="0"/>
    <n v="35373.199999999997"/>
    <n v="0"/>
  </r>
  <r>
    <x v="0"/>
    <x v="0"/>
    <s v="  0501 0950083480 244"/>
    <x v="5"/>
    <x v="3"/>
    <s v="01"/>
    <x v="5"/>
    <s v="09"/>
    <x v="4"/>
    <x v="4"/>
    <s v="5"/>
    <s v="Процессная часть перечня мероприятий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3442.8"/>
    <n v="0"/>
    <n v="0"/>
    <n v="3442.8"/>
    <n v="0"/>
  </r>
  <r>
    <x v="0"/>
    <x v="0"/>
    <s v="  0501 0950083480 853"/>
    <x v="5"/>
    <x v="3"/>
    <s v="01"/>
    <x v="5"/>
    <s v="09"/>
    <x v="4"/>
    <x v="4"/>
    <s v="5"/>
    <s v="Процессная часть перечня мероприятий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110377"/>
    <n v="0"/>
    <n v="0"/>
    <n v="110377"/>
    <n v="0"/>
  </r>
  <r>
    <x v="0"/>
    <x v="0"/>
    <s v="  0501 0950083490 244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21046"/>
    <n v="0"/>
    <n v="0"/>
    <n v="21046"/>
    <n v="0"/>
  </r>
  <r>
    <x v="0"/>
    <x v="0"/>
    <s v="  0501 0950083490 247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10536.1"/>
    <n v="0"/>
    <n v="0"/>
    <n v="10536.1"/>
    <n v="0"/>
  </r>
  <r>
    <x v="0"/>
    <x v="0"/>
    <s v="  0501 0950083490 853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782.6000000000004"/>
    <n v="0"/>
    <n v="0"/>
    <n v="4782.6000000000004"/>
    <n v="0"/>
  </r>
  <r>
    <x v="0"/>
    <x v="0"/>
    <s v="  0503 105008793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39330.300000000003"/>
    <n v="0"/>
    <n v="0"/>
    <n v="39330.300000000003"/>
    <n v="0"/>
  </r>
  <r>
    <x v="0"/>
    <x v="0"/>
    <s v="  0503 105008827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244"/>
    <s v="Прочая закупка товаров, работ и услуг"/>
    <s v="Администрация Кировского района Санкт-Петербурга"/>
    <s v="7805059546"/>
    <n v="1478.3"/>
    <n v="0"/>
    <n v="0"/>
    <n v="1478.3"/>
    <n v="0"/>
  </r>
  <r>
    <x v="0"/>
    <x v="0"/>
    <s v="  0505 0950083140 111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648619.1"/>
    <n v="42076.6973"/>
    <n v="42076.6973"/>
    <n v="606542.40269999998"/>
    <n v="6"/>
  </r>
  <r>
    <x v="0"/>
    <x v="0"/>
    <s v="  0505 0950083140 119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95242.9"/>
    <n v="16629.130499999999"/>
    <n v="16629.130499999999"/>
    <n v="178613.76949999999"/>
    <n v="9"/>
  </r>
  <r>
    <x v="0"/>
    <x v="0"/>
    <s v="  0505 0950083140 244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55984.5"/>
    <n v="930.20540000000005"/>
    <n v="930.20540000000005"/>
    <n v="155054.29459999999"/>
    <n v="1"/>
  </r>
  <r>
    <x v="0"/>
    <x v="0"/>
    <s v="  0505 0950083140 247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8102"/>
    <n v="0"/>
    <n v="0"/>
    <n v="8102"/>
    <n v="0"/>
  </r>
  <r>
    <x v="0"/>
    <x v="0"/>
    <s v="  0505 0950083140 851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83.2"/>
    <n v="0"/>
    <n v="0"/>
    <n v="183.2"/>
    <n v="0"/>
  </r>
  <r>
    <x v="0"/>
    <x v="0"/>
    <s v="  0505 0950083140 852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631.4"/>
    <n v="94.5"/>
    <n v="94.5"/>
    <n v="536.9"/>
    <n v="15"/>
  </r>
  <r>
    <x v="0"/>
    <x v="0"/>
    <s v="  0701 0250020010 611"/>
    <x v="8"/>
    <x v="4"/>
    <s v="01"/>
    <x v="8"/>
    <s v="02"/>
    <x v="6"/>
    <x v="6"/>
    <s v="5"/>
    <s v="Процессная часть перечня мероприятий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665542.5999999996"/>
    <n v="294471.12819999998"/>
    <n v="294471.12819999998"/>
    <n v="5371071.4718000004"/>
    <n v="5"/>
  </r>
  <r>
    <x v="0"/>
    <x v="0"/>
    <s v="  0701 0250021450 612"/>
    <x v="8"/>
    <x v="4"/>
    <s v="01"/>
    <x v="8"/>
    <s v="02"/>
    <x v="6"/>
    <x v="6"/>
    <s v="5"/>
    <s v="Процессная часть перечня мероприятий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9486.7"/>
    <n v="0"/>
    <n v="0"/>
    <n v="19486.7"/>
    <n v="0"/>
  </r>
  <r>
    <x v="0"/>
    <x v="0"/>
    <s v="  0702 021Ю651790 612"/>
    <x v="9"/>
    <x v="4"/>
    <s v="02"/>
    <x v="9"/>
    <s v="02"/>
    <x v="6"/>
    <x v="7"/>
    <s v="1"/>
    <s v="Региональные проекты, входящие в состав национальных проектов"/>
    <s v="021Ю6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9701.3"/>
    <n v="0"/>
    <n v="0"/>
    <n v="19701.3"/>
    <n v="0"/>
  </r>
  <r>
    <x v="0"/>
    <x v="0"/>
    <s v="  0702 021Ю653030 612"/>
    <x v="9"/>
    <x v="4"/>
    <s v="02"/>
    <x v="9"/>
    <s v="02"/>
    <x v="6"/>
    <x v="7"/>
    <s v="1"/>
    <s v="Региональные проекты, входящие в состав национальных проектов"/>
    <s v="021Ю6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98275"/>
    <n v="0"/>
    <n v="0"/>
    <n v="98275"/>
    <n v="0"/>
  </r>
  <r>
    <x v="0"/>
    <x v="0"/>
    <s v="  0702 0250020030 611"/>
    <x v="9"/>
    <x v="4"/>
    <s v="02"/>
    <x v="9"/>
    <s v="02"/>
    <x v="6"/>
    <x v="6"/>
    <s v="5"/>
    <s v="Процессная часть перечня мероприятий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474469.7000000002"/>
    <n v="323122.34029999998"/>
    <n v="323122.34029999998"/>
    <n v="5151347.3596999999"/>
    <n v="6"/>
  </r>
  <r>
    <x v="0"/>
    <x v="0"/>
    <s v="  0702 0250020060 611"/>
    <x v="9"/>
    <x v="4"/>
    <s v="02"/>
    <x v="9"/>
    <s v="02"/>
    <x v="6"/>
    <x v="6"/>
    <s v="5"/>
    <s v="Процессная часть перечня мероприятий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013.6"/>
    <n v="8861.6234000000004"/>
    <n v="8861.6234000000004"/>
    <n v="174151.97659999999"/>
    <n v="5"/>
  </r>
  <r>
    <x v="0"/>
    <x v="0"/>
    <s v="  0702 0250020070 611"/>
    <x v="9"/>
    <x v="4"/>
    <s v="02"/>
    <x v="9"/>
    <s v="02"/>
    <x v="6"/>
    <x v="6"/>
    <s v="5"/>
    <s v="Процессная часть перечня мероприятий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8494.399999999994"/>
    <n v="5174.0030999999999"/>
    <n v="5174.0030999999999"/>
    <n v="83320.396900000007"/>
    <n v="6"/>
  </r>
  <r>
    <x v="0"/>
    <x v="0"/>
    <s v="  0702 0250020080 631"/>
    <x v="9"/>
    <x v="4"/>
    <s v="02"/>
    <x v="9"/>
    <s v="02"/>
    <x v="6"/>
    <x v="6"/>
    <s v="5"/>
    <s v="Процессная часть перечня мероприятий"/>
    <s v="0250020080"/>
    <s v="Субсидии частным образовательным организациям для реализации основных общеобразовательных программ"/>
    <s v="631"/>
    <s v="Субсидии на возмещение недополученных доходов и (или) возмещение фактически понесенных затрат"/>
    <s v="Администрация Кировского района Санкт-Петербурга"/>
    <s v="7805059546"/>
    <n v="1102.9000000000001"/>
    <n v="0"/>
    <n v="0"/>
    <n v="1102.9000000000001"/>
    <n v="0"/>
  </r>
  <r>
    <x v="0"/>
    <x v="0"/>
    <s v="  0702 0250020090 612"/>
    <x v="9"/>
    <x v="4"/>
    <s v="02"/>
    <x v="9"/>
    <s v="02"/>
    <x v="6"/>
    <x v="6"/>
    <s v="5"/>
    <s v="Процессная часть перечня мероприятий"/>
    <s v="0250020090"/>
    <s v="Расходы на обеспечение книгами и учебными изданиями для комплектования библиотек государственных образовательных учреждений, реализующих образовательные программы начального общего образования, основного общего образования, среднего общего образования, ср"/>
    <s v="612"/>
    <s v="Субсидии бюджетным учреждениям на иные цели"/>
    <s v="Администрация Кировского района Санкт-Петербурга"/>
    <s v="7805059546"/>
    <n v="123977.4"/>
    <n v="0"/>
    <n v="0"/>
    <n v="123977.4"/>
    <n v="0"/>
  </r>
  <r>
    <x v="0"/>
    <x v="0"/>
    <s v="  0702 0250020940 612"/>
    <x v="9"/>
    <x v="4"/>
    <s v="02"/>
    <x v="9"/>
    <s v="02"/>
    <x v="6"/>
    <x v="6"/>
    <s v="5"/>
    <s v="Процессная часть перечня мероприятий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15733.1"/>
    <n v="0"/>
    <n v="0"/>
    <n v="115733.1"/>
    <n v="0"/>
  </r>
  <r>
    <x v="0"/>
    <x v="0"/>
    <s v="  0702 0250021450 612"/>
    <x v="9"/>
    <x v="4"/>
    <s v="02"/>
    <x v="9"/>
    <s v="02"/>
    <x v="6"/>
    <x v="6"/>
    <s v="5"/>
    <s v="Процессная часть перечня мероприятий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9599.599999999999"/>
    <n v="0"/>
    <n v="0"/>
    <n v="29599.599999999999"/>
    <n v="0"/>
  </r>
  <r>
    <x v="0"/>
    <x v="0"/>
    <s v="  0702 0350040650 612"/>
    <x v="9"/>
    <x v="4"/>
    <s v="02"/>
    <x v="9"/>
    <s v="03"/>
    <x v="7"/>
    <x v="8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340444.3"/>
    <n v="8659.2562999999991"/>
    <n v="8659.2562999999991"/>
    <n v="331785.04369999998"/>
    <n v="3"/>
  </r>
  <r>
    <x v="0"/>
    <x v="0"/>
    <s v="  0702 03500R3040 612"/>
    <x v="9"/>
    <x v="4"/>
    <s v="02"/>
    <x v="9"/>
    <s v="03"/>
    <x v="7"/>
    <x v="8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88979.20000000001"/>
    <n v="18897.919000000002"/>
    <n v="18897.919000000002"/>
    <n v="170081.28099999999"/>
    <n v="10"/>
  </r>
  <r>
    <x v="0"/>
    <x v="0"/>
    <s v="  0703 0250020300 611"/>
    <x v="10"/>
    <x v="4"/>
    <s v="03"/>
    <x v="10"/>
    <s v="02"/>
    <x v="6"/>
    <x v="6"/>
    <s v="5"/>
    <s v="Процессная часть перечня мероприятий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00340.90000000002"/>
    <n v="19612.8917"/>
    <n v="19612.8917"/>
    <n v="280728.00829999999"/>
    <n v="7"/>
  </r>
  <r>
    <x v="0"/>
    <x v="0"/>
    <s v="  0707 1750078010 611"/>
    <x v="11"/>
    <x v="4"/>
    <s v="07"/>
    <x v="11"/>
    <s v="17"/>
    <x v="3"/>
    <x v="3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41260.4"/>
    <n v="12204.2138"/>
    <n v="12204.2138"/>
    <n v="229056.1862"/>
    <n v="5"/>
  </r>
  <r>
    <x v="0"/>
    <x v="0"/>
    <s v="  0707 175007856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82757.8"/>
    <n v="0"/>
    <n v="0"/>
    <n v="82757.8"/>
    <n v="0"/>
  </r>
  <r>
    <x v="0"/>
    <x v="0"/>
    <s v="  0707 175007945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724.3"/>
    <n v="0"/>
    <n v="0"/>
    <n v="1724.3"/>
    <n v="0"/>
  </r>
  <r>
    <x v="0"/>
    <x v="0"/>
    <s v="  0707 175007946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23957.3"/>
    <n v="0"/>
    <n v="0"/>
    <n v="23957.3"/>
    <n v="0"/>
  </r>
  <r>
    <x v="0"/>
    <x v="0"/>
    <s v="  0709 021Ю650500 612"/>
    <x v="12"/>
    <x v="4"/>
    <s v="09"/>
    <x v="12"/>
    <s v="02"/>
    <x v="6"/>
    <x v="7"/>
    <s v="1"/>
    <s v="Региональные проекты, входящие в состав национальных проектов"/>
    <s v="021Ю650500"/>
    <s v="Расходы на ежемесячное денежное вознаграждение советникам директоров по воспитанию и взаимодействию с детскими общественными объединениями государственных общеобразовательных организаций, профессиональных образовательных организац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437.3"/>
    <n v="0"/>
    <n v="0"/>
    <n v="3437.3"/>
    <n v="0"/>
  </r>
  <r>
    <x v="0"/>
    <x v="0"/>
    <s v="  0709 0250020100 612"/>
    <x v="12"/>
    <x v="4"/>
    <s v="09"/>
    <x v="12"/>
    <s v="02"/>
    <x v="6"/>
    <x v="6"/>
    <s v="5"/>
    <s v="Процессная часть перечня мероприятий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718.3"/>
    <n v="0"/>
    <n v="0"/>
    <n v="1718.3"/>
    <n v="0"/>
  </r>
  <r>
    <x v="0"/>
    <x v="0"/>
    <s v="  0709 0250020370 244"/>
    <x v="12"/>
    <x v="4"/>
    <s v="09"/>
    <x v="12"/>
    <s v="02"/>
    <x v="6"/>
    <x v="6"/>
    <s v="5"/>
    <s v="Процессная часть перечня мероприятий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5084.9"/>
    <n v="0"/>
    <n v="0"/>
    <n v="95084.9"/>
    <n v="0"/>
  </r>
  <r>
    <x v="0"/>
    <x v="0"/>
    <s v="  0709 0250020370 612"/>
    <x v="12"/>
    <x v="4"/>
    <s v="09"/>
    <x v="12"/>
    <s v="02"/>
    <x v="6"/>
    <x v="6"/>
    <s v="5"/>
    <s v="Процессная часть перечня мероприятий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4782.4"/>
    <n v="0"/>
    <n v="0"/>
    <n v="14782.4"/>
    <n v="0"/>
  </r>
  <r>
    <x v="0"/>
    <x v="0"/>
    <s v="  0709 0250020430 611"/>
    <x v="12"/>
    <x v="4"/>
    <s v="09"/>
    <x v="12"/>
    <s v="02"/>
    <x v="6"/>
    <x v="6"/>
    <s v="5"/>
    <s v="Процессная часть перечня мероприятий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6883.7"/>
    <n v="4292.4591"/>
    <n v="4292.4591"/>
    <n v="42591.240899999997"/>
    <n v="9"/>
  </r>
  <r>
    <x v="0"/>
    <x v="0"/>
    <s v="  0709 0250020440 611"/>
    <x v="12"/>
    <x v="4"/>
    <s v="09"/>
    <x v="12"/>
    <s v="02"/>
    <x v="6"/>
    <x v="6"/>
    <s v="5"/>
    <s v="Процессная часть перечня мероприятий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6303.8"/>
    <n v="3369.2293"/>
    <n v="3369.2293"/>
    <n v="62934.570699999997"/>
    <n v="5"/>
  </r>
  <r>
    <x v="0"/>
    <x v="0"/>
    <s v="  0709 0250021190 612"/>
    <x v="12"/>
    <x v="4"/>
    <s v="09"/>
    <x v="12"/>
    <s v="02"/>
    <x v="6"/>
    <x v="6"/>
    <s v="5"/>
    <s v="Процессная часть перечня мероприятий"/>
    <s v="0250021190"/>
    <s v="Расходы на ремонт и оснащение спортивных сооружений (стадионов) государственных образовательных учрежден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5928.5"/>
    <n v="0"/>
    <n v="0"/>
    <n v="5928.5"/>
    <n v="0"/>
  </r>
  <r>
    <x v="0"/>
    <x v="0"/>
    <s v="  0709 0250021770 612"/>
    <x v="12"/>
    <x v="4"/>
    <s v="09"/>
    <x v="12"/>
    <s v="02"/>
    <x v="6"/>
    <x v="6"/>
    <s v="5"/>
    <s v="Процессная часть перечня мероприятий"/>
    <s v="0250021770"/>
    <s v="Расходы на прочие мероприятия в области образования"/>
    <s v="612"/>
    <s v="Субсидии бюджетным учреждениям на иные цели"/>
    <s v="Администрация Кировского района Санкт-Петербурга"/>
    <s v="7805059546"/>
    <n v="7523.1"/>
    <n v="0"/>
    <n v="0"/>
    <n v="7523.1"/>
    <n v="0"/>
  </r>
  <r>
    <x v="0"/>
    <x v="0"/>
    <s v="  0709 1750078650 612"/>
    <x v="12"/>
    <x v="4"/>
    <s v="09"/>
    <x v="12"/>
    <s v="17"/>
    <x v="3"/>
    <x v="3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0"/>
    <n v="0"/>
    <n v="500"/>
    <n v="0"/>
  </r>
  <r>
    <x v="0"/>
    <x v="0"/>
    <s v="  0709 9950003450 244"/>
    <x v="12"/>
    <x v="4"/>
    <s v="09"/>
    <x v="12"/>
    <s v="99"/>
    <x v="0"/>
    <x v="0"/>
    <s v="5"/>
    <s v="Процессная часть перечня мероприятий"/>
    <s v="9950003450"/>
    <s v="Расходы на материальное обеспечение деятельности регионального отделения Движения первых Санкт-Петербурга"/>
    <s v="244"/>
    <s v="Прочая закупка товаров, работ и услуг"/>
    <s v="Администрация Кировского района Санкт-Петербурга"/>
    <s v="7805059546"/>
    <n v="900.4"/>
    <n v="0"/>
    <n v="0"/>
    <n v="900.4"/>
    <n v="0"/>
  </r>
  <r>
    <x v="0"/>
    <x v="0"/>
    <s v="  0709 9950003450 247"/>
    <x v="12"/>
    <x v="4"/>
    <s v="09"/>
    <x v="12"/>
    <s v="99"/>
    <x v="0"/>
    <x v="0"/>
    <s v="5"/>
    <s v="Процессная часть перечня мероприятий"/>
    <s v="9950003450"/>
    <s v="Расходы на материальное обеспечение деятельности регионального отделения Движения первых Санкт-Петербурга"/>
    <s v="247"/>
    <s v="Закупка энергетических ресурсов"/>
    <s v="Администрация Кировского района Санкт-Петербурга"/>
    <s v="7805059546"/>
    <n v="67.400000000000006"/>
    <n v="0"/>
    <n v="0"/>
    <n v="67.400000000000006"/>
    <n v="0"/>
  </r>
  <r>
    <x v="0"/>
    <x v="0"/>
    <s v="  0801 085007008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080"/>
    <s v="Субсидии бюджетным 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63750"/>
    <n v="8705.8251"/>
    <n v="8705.8251"/>
    <n v="255044.17490000001"/>
    <n v="3"/>
  </r>
  <r>
    <x v="0"/>
    <x v="0"/>
    <s v="  0801 085007009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090"/>
    <s v="Субсидии бюджетным 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93678.1"/>
    <n v="5036.7640000000001"/>
    <n v="5036.7640000000001"/>
    <n v="88641.335999999996"/>
    <n v="5"/>
  </r>
  <r>
    <x v="0"/>
    <x v="0"/>
    <s v="  0801 085007017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170"/>
    <s v="Субсидии бюджетным 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07715.20000000001"/>
    <n v="7433.2199000000001"/>
    <n v="7433.2199000000001"/>
    <n v="200281.98009999999"/>
    <n v="4"/>
  </r>
  <r>
    <x v="0"/>
    <x v="0"/>
    <s v="  0801 085007027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270"/>
    <s v="Субсидии бюджетным 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7050.7"/>
    <n v="3577.4780000000001"/>
    <n v="3577.4780000000001"/>
    <n v="83473.221999999994"/>
    <n v="4"/>
  </r>
  <r>
    <x v="0"/>
    <x v="0"/>
    <s v="  0801 0850070470 244"/>
    <x v="13"/>
    <x v="5"/>
    <s v="01"/>
    <x v="13"/>
    <s v="08"/>
    <x v="8"/>
    <x v="9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11781.5"/>
    <n v="0"/>
    <n v="0"/>
    <n v="11781.5"/>
    <n v="0"/>
  </r>
  <r>
    <x v="0"/>
    <x v="0"/>
    <s v="  0801 085007096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0264.799999999999"/>
    <n v="0"/>
    <n v="0"/>
    <n v="10264.799999999999"/>
    <n v="0"/>
  </r>
  <r>
    <x v="0"/>
    <x v="0"/>
    <s v="  0801 085007161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128.69999999999999"/>
    <n v="0"/>
    <n v="0"/>
    <n v="128.69999999999999"/>
    <n v="0"/>
  </r>
  <r>
    <x v="0"/>
    <x v="0"/>
    <s v="  0804 0850070060 244"/>
    <x v="14"/>
    <x v="5"/>
    <s v="04"/>
    <x v="14"/>
    <s v="08"/>
    <x v="8"/>
    <x v="9"/>
    <s v="5"/>
    <s v="Процессная часть перечня мероприятий государственной программы"/>
    <s v="0850070060"/>
    <s v="Расходы на содержание и ремонт памятников ансамбля «Зеленый пояс Славы»"/>
    <s v="244"/>
    <s v="Прочая закупка товаров, работ и услуг"/>
    <s v="Администрация Кировского района Санкт-Петербурга"/>
    <s v="7805059546"/>
    <n v="16495.3"/>
    <n v="0"/>
    <n v="0"/>
    <n v="16495.3"/>
    <n v="0"/>
  </r>
  <r>
    <x v="0"/>
    <x v="0"/>
    <s v="  0804 0850071320 612"/>
    <x v="14"/>
    <x v="5"/>
    <s v="04"/>
    <x v="14"/>
    <s v="08"/>
    <x v="8"/>
    <x v="9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8766.7000000000007"/>
    <n v="0"/>
    <n v="0"/>
    <n v="8766.7000000000007"/>
    <n v="0"/>
  </r>
  <r>
    <x v="0"/>
    <x v="0"/>
    <s v="  0902 0150010080 611"/>
    <x v="15"/>
    <x v="6"/>
    <s v="02"/>
    <x v="15"/>
    <s v="01"/>
    <x v="9"/>
    <x v="10"/>
    <s v="5"/>
    <s v="Процессная часть перечня мероприятий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62583.6"/>
    <n v="23217.190399999999"/>
    <n v="23217.190399999999"/>
    <n v="639366.40960000001"/>
    <n v="4"/>
  </r>
  <r>
    <x v="0"/>
    <x v="0"/>
    <s v="  0902 0150010080 614"/>
    <x v="15"/>
    <x v="6"/>
    <s v="02"/>
    <x v="15"/>
    <s v="01"/>
    <x v="9"/>
    <x v="10"/>
    <s v="5"/>
    <s v="Процессная часть перечня мероприятий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379.7"/>
    <n v="27.127199999999998"/>
    <n v="27.127199999999998"/>
    <n v="5352.5727999999999"/>
    <n v="1"/>
  </r>
  <r>
    <x v="0"/>
    <x v="0"/>
    <s v="  0909 011Д153652 612"/>
    <x v="16"/>
    <x v="6"/>
    <s v="09"/>
    <x v="16"/>
    <s v="01"/>
    <x v="9"/>
    <x v="11"/>
    <s v="1"/>
    <s v="Региональные проекты, входящие в состав национальных проектов"/>
    <s v="011Д1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104471.3"/>
    <n v="0"/>
    <n v="0"/>
    <n v="104471.3"/>
    <n v="0"/>
  </r>
  <r>
    <x v="0"/>
    <x v="0"/>
    <s v="  0909 0150010100 244"/>
    <x v="16"/>
    <x v="6"/>
    <s v="09"/>
    <x v="16"/>
    <s v="01"/>
    <x v="9"/>
    <x v="10"/>
    <s v="5"/>
    <s v="Процессная часть перечня мероприятий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48.2"/>
    <n v="0"/>
    <n v="0"/>
    <n v="48.2"/>
    <n v="0"/>
  </r>
  <r>
    <x v="0"/>
    <x v="0"/>
    <s v="  0909 0150010520 612"/>
    <x v="16"/>
    <x v="6"/>
    <s v="09"/>
    <x v="16"/>
    <s v="01"/>
    <x v="9"/>
    <x v="10"/>
    <s v="5"/>
    <s v="Процессная часть перечня мероприятий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223871.4"/>
    <n v="0"/>
    <n v="0"/>
    <n v="223871.4"/>
    <n v="0"/>
  </r>
  <r>
    <x v="0"/>
    <x v="0"/>
    <s v="  0909 0150010650 612"/>
    <x v="16"/>
    <x v="6"/>
    <s v="09"/>
    <x v="16"/>
    <s v="01"/>
    <x v="9"/>
    <x v="10"/>
    <s v="5"/>
    <s v="Процессная часть перечня мероприятий"/>
    <s v="0150010650"/>
    <s v="Расходы на приобретение немонтируемого оборудования и инвентаря для оснащения вводных объектов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29779.9"/>
    <n v="0"/>
    <n v="0"/>
    <n v="29779.9"/>
    <n v="0"/>
  </r>
  <r>
    <x v="0"/>
    <x v="0"/>
    <s v="  0909 0150010660 612"/>
    <x v="16"/>
    <x v="6"/>
    <s v="09"/>
    <x v="16"/>
    <s v="01"/>
    <x v="9"/>
    <x v="10"/>
    <s v="5"/>
    <s v="Процессная часть перечня мероприятий"/>
    <s v="0150010660"/>
    <s v="Расходы на обеспечение доступности учреждений здравоохранения для инвалидов и других маломобильных групп населения"/>
    <s v="612"/>
    <s v="Субсидии бюджетным учреждениям на иные цели"/>
    <s v="Администрация Кировского района Санкт-Петербурга"/>
    <s v="7805059546"/>
    <n v="7460.5"/>
    <n v="0"/>
    <n v="0"/>
    <n v="7460.5"/>
    <n v="0"/>
  </r>
  <r>
    <x v="0"/>
    <x v="0"/>
    <s v="  0909 0150011000 612"/>
    <x v="16"/>
    <x v="6"/>
    <s v="09"/>
    <x v="16"/>
    <s v="01"/>
    <x v="9"/>
    <x v="10"/>
    <s v="5"/>
    <s v="Процессная часть перечня мероприятий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45132.3"/>
    <n v="0"/>
    <n v="0"/>
    <n v="45132.3"/>
    <n v="0"/>
  </r>
  <r>
    <x v="0"/>
    <x v="0"/>
    <s v="  0909 0150054680 612"/>
    <x v="16"/>
    <x v="6"/>
    <s v="09"/>
    <x v="16"/>
    <s v="01"/>
    <x v="9"/>
    <x v="10"/>
    <s v="5"/>
    <s v="Процессная часть перечня мероприятий"/>
    <s v="01500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50.1"/>
    <n v="0"/>
    <n v="0"/>
    <n v="50.1"/>
    <n v="0"/>
  </r>
  <r>
    <x v="0"/>
    <x v="0"/>
    <s v="  0909 0650090160 612"/>
    <x v="16"/>
    <x v="6"/>
    <s v="09"/>
    <x v="16"/>
    <s v="06"/>
    <x v="1"/>
    <x v="1"/>
    <s v="5"/>
    <s v="Процессная часть перечня мероприятий государственной программы"/>
    <s v="0650090160"/>
    <s v="Расходы на мероприятия по пожарной безопасности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3155.1"/>
    <n v="0"/>
    <n v="0"/>
    <n v="3155.1"/>
    <n v="0"/>
  </r>
  <r>
    <x v="0"/>
    <x v="0"/>
    <s v="  1002 035004046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11289.8"/>
    <n v="14958.820400000001"/>
    <n v="14958.820400000001"/>
    <n v="196330.97959999999"/>
    <n v="7"/>
  </r>
  <r>
    <x v="0"/>
    <x v="0"/>
    <s v="  1002 035004046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21225"/>
    <n v="1117.4829999999999"/>
    <n v="1117.4829999999999"/>
    <n v="20107.517"/>
    <n v="5"/>
  </r>
  <r>
    <x v="0"/>
    <x v="0"/>
    <s v="  1002 035004048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994.2"/>
    <n v="248.69820000000001"/>
    <n v="248.69820000000001"/>
    <n v="3745.5018"/>
    <n v="6"/>
  </r>
  <r>
    <x v="0"/>
    <x v="0"/>
    <s v="  1002 035004048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28356.9"/>
    <n v="9125.1803999999993"/>
    <n v="9125.1803999999993"/>
    <n v="119231.7196"/>
    <n v="7"/>
  </r>
  <r>
    <x v="0"/>
    <x v="0"/>
    <s v="  1002 035004053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21376.1"/>
    <n v="0"/>
    <n v="0"/>
    <n v="21376.1"/>
    <n v="0"/>
  </r>
  <r>
    <x v="0"/>
    <x v="0"/>
    <s v="  1002 035004063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630"/>
    <s v="Субсидии бюджетным учреждениям - комплексным центрам социального обслуживания населения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0959"/>
    <n v="143.75479999999999"/>
    <n v="143.75479999999999"/>
    <n v="10815.245199999999"/>
    <n v="1"/>
  </r>
  <r>
    <x v="0"/>
    <x v="0"/>
    <s v="  1002 035004063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630"/>
    <s v="Субсидии бюджетным учреждениям - комплексным центрам социального обслуживания населения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3202"/>
    <n v="42132.2451"/>
    <n v="42132.2451"/>
    <n v="471069.7549"/>
    <n v="8"/>
  </r>
  <r>
    <x v="0"/>
    <x v="0"/>
    <s v="  1002 035004064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541.7"/>
    <n v="213.81309999999999"/>
    <n v="213.81309999999999"/>
    <n v="4327.8869000000004"/>
    <n v="5"/>
  </r>
  <r>
    <x v="0"/>
    <x v="0"/>
    <s v="  1002 035004064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9802"/>
    <n v="4471.0871999999999"/>
    <n v="4471.0871999999999"/>
    <n v="55330.912799999998"/>
    <n v="7"/>
  </r>
  <r>
    <x v="0"/>
    <x v="0"/>
    <s v="  1002 035004120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41200"/>
    <s v="Расходы на приобретение немонтируемого оборудования и инвентаря для оснащения вводных объектов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3856.7"/>
    <n v="0"/>
    <n v="0"/>
    <n v="3856.7"/>
    <n v="0"/>
  </r>
  <r>
    <x v="0"/>
    <x v="0"/>
    <s v="  1002 03500R514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R5140"/>
    <s v="Расходы на реализацию мероприятий по формированию системы комплексной реабилитации и абилитации инвалидов, в том числе детей-инвалидов"/>
    <s v="612"/>
    <s v="Субсидии бюджетным учреждениям на иные цели"/>
    <s v="Администрация Кировского района Санкт-Петербурга"/>
    <s v="7805059546"/>
    <n v="2500"/>
    <n v="0"/>
    <n v="0"/>
    <n v="2500"/>
    <n v="0"/>
  </r>
  <r>
    <x v="0"/>
    <x v="0"/>
    <s v="  1003 0350040240 612"/>
    <x v="18"/>
    <x v="7"/>
    <s v="03"/>
    <x v="18"/>
    <s v="03"/>
    <x v="7"/>
    <x v="8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51205.3"/>
    <n v="0"/>
    <n v="0"/>
    <n v="51205.3"/>
    <n v="0"/>
  </r>
  <r>
    <x v="0"/>
    <x v="0"/>
    <s v="  1004 0950083620 323"/>
    <x v="19"/>
    <x v="7"/>
    <s v="04"/>
    <x v="19"/>
    <s v="09"/>
    <x v="4"/>
    <x v="4"/>
    <s v="5"/>
    <s v="Процессная часть перечня мероприятий"/>
    <s v="0950083620"/>
    <s v="Расходы на предоставление дополнительной меры социальной поддержки по оборудованию предметами первой необходимости жилых помещений специализированного жилищного фонда, предоставляемых детям-сиротам и детям, оставшимся без попечения родителей, лицам из их "/>
    <s v="323"/>
    <s v="Приобретение товаров, работ, услуг в пользу граждан в целях их социального обеспечения"/>
    <s v="Администрация Кировского района Санкт-Петербурга"/>
    <s v="7805059546"/>
    <n v="1328.7"/>
    <n v="0"/>
    <n v="0"/>
    <n v="1328.7"/>
    <n v="0"/>
  </r>
  <r>
    <x v="0"/>
    <x v="0"/>
    <s v="  1101 0450045020 611"/>
    <x v="20"/>
    <x v="8"/>
    <s v="01"/>
    <x v="20"/>
    <s v="04"/>
    <x v="10"/>
    <x v="12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03804.2"/>
    <n v="10782"/>
    <n v="10782"/>
    <n v="193022.2"/>
    <n v="5"/>
  </r>
  <r>
    <x v="0"/>
    <x v="0"/>
    <s v="  1102 0450045010 612"/>
    <x v="21"/>
    <x v="8"/>
    <s v="02"/>
    <x v="21"/>
    <s v="04"/>
    <x v="10"/>
    <x v="12"/>
    <s v="5"/>
    <s v="Процессная часть перечня мероприятий государственной программы"/>
    <s v="04500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693.1"/>
    <n v="0"/>
    <n v="0"/>
    <n v="3693.1"/>
    <n v="0"/>
  </r>
  <r>
    <x v="0"/>
    <x v="0"/>
    <s v="  1103 0450045090 611"/>
    <x v="22"/>
    <x v="8"/>
    <s v="03"/>
    <x v="22"/>
    <s v="04"/>
    <x v="10"/>
    <x v="12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56415.3"/>
    <n v="17755.214899999999"/>
    <n v="17755.214899999999"/>
    <n v="338660.08510000003"/>
    <n v="5"/>
  </r>
  <r>
    <x v="1"/>
    <x v="1"/>
    <s v="  0103 9950000060 244"/>
    <x v="0"/>
    <x v="0"/>
    <s v="03"/>
    <x v="0"/>
    <s v="99"/>
    <x v="0"/>
    <x v="0"/>
    <s v="5"/>
    <s v="Процессная часть перечня мероприятий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730.5"/>
    <n v="18.513999999999999"/>
    <n v="18.513999999999999"/>
    <n v="711.98599999999999"/>
    <n v="3"/>
  </r>
  <r>
    <x v="1"/>
    <x v="1"/>
    <s v="  0103 9950000060 247"/>
    <x v="0"/>
    <x v="0"/>
    <s v="03"/>
    <x v="0"/>
    <s v="99"/>
    <x v="0"/>
    <x v="0"/>
    <s v="5"/>
    <s v="Процессная часть перечня мероприятий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32.5"/>
    <n v="0"/>
    <n v="0"/>
    <n v="32.5"/>
    <n v="0"/>
  </r>
  <r>
    <x v="1"/>
    <x v="1"/>
    <s v="  0113 0650090100 530"/>
    <x v="1"/>
    <x v="0"/>
    <s v="13"/>
    <x v="1"/>
    <s v="06"/>
    <x v="1"/>
    <x v="1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7.2"/>
    <n v="0"/>
    <n v="0"/>
    <n v="67.2"/>
    <n v="0"/>
  </r>
  <r>
    <x v="1"/>
    <x v="1"/>
    <s v="  0113 0650090830 244"/>
    <x v="1"/>
    <x v="0"/>
    <s v="13"/>
    <x v="1"/>
    <s v="06"/>
    <x v="1"/>
    <x v="1"/>
    <s v="5"/>
    <s v="Процессная часть перечня мероприятий государственной программы"/>
    <s v="0650090830"/>
    <s v="Расходы, связанные с изъятием вещей и документов при производстве по делам об административных правонарушениях"/>
    <s v="244"/>
    <s v="Прочая закупка товаров, работ и услуг"/>
    <s v="Администрация Кировского района Санкт-Петербурга"/>
    <s v="7805059546"/>
    <n v="61.9"/>
    <n v="0"/>
    <n v="0"/>
    <n v="61.9"/>
    <n v="0"/>
  </r>
  <r>
    <x v="1"/>
    <x v="1"/>
    <s v="  0113 1650099220 244"/>
    <x v="1"/>
    <x v="0"/>
    <s v="13"/>
    <x v="1"/>
    <s v="16"/>
    <x v="2"/>
    <x v="2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216.9"/>
    <n v="21"/>
    <n v="21"/>
    <n v="195.9"/>
    <n v="10"/>
  </r>
  <r>
    <x v="1"/>
    <x v="1"/>
    <s v="  0113 1750098720 244"/>
    <x v="1"/>
    <x v="0"/>
    <s v="13"/>
    <x v="1"/>
    <s v="17"/>
    <x v="3"/>
    <x v="3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57.5"/>
    <n v="0"/>
    <n v="0"/>
    <n v="557.5"/>
    <n v="0"/>
  </r>
  <r>
    <x v="1"/>
    <x v="1"/>
    <s v="  0113 9950000090 121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349800.7"/>
    <n v="42070.590400000001"/>
    <n v="24343.963299999999"/>
    <n v="307730.10960000003"/>
    <n v="12"/>
  </r>
  <r>
    <x v="1"/>
    <x v="1"/>
    <s v="  0113 9950000090 122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40.5"/>
    <n v="0.47899999999999998"/>
    <n v="0"/>
    <n v="140.02099999999999"/>
    <n v="0"/>
  </r>
  <r>
    <x v="1"/>
    <x v="1"/>
    <s v="  0113 9950000090 129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105260"/>
    <n v="14970.7837"/>
    <n v="6900.6733000000004"/>
    <n v="90289.2163"/>
    <n v="14"/>
  </r>
  <r>
    <x v="1"/>
    <x v="1"/>
    <s v="  0113 9950000090 242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0"/>
    <n v="0"/>
    <n v="300"/>
    <n v="0"/>
  </r>
  <r>
    <x v="1"/>
    <x v="1"/>
    <s v="  0113 9950000090 243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318.8"/>
    <n v="0"/>
    <n v="0"/>
    <n v="318.8"/>
    <n v="0"/>
  </r>
  <r>
    <x v="1"/>
    <x v="1"/>
    <s v="  0113 9950000090 244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100142.1"/>
    <n v="1990.9701"/>
    <n v="1141.9204"/>
    <n v="98151.1299"/>
    <n v="2"/>
  </r>
  <r>
    <x v="1"/>
    <x v="1"/>
    <s v="  0113 9950000090 247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962"/>
    <n v="3452.7280999999998"/>
    <n v="3016.0945000000002"/>
    <n v="13509.2719"/>
    <n v="20"/>
  </r>
  <r>
    <x v="1"/>
    <x v="1"/>
    <s v="  0113 9950000090 831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4.5"/>
    <n v="4.5"/>
    <n v="4.5"/>
    <n v="0"/>
    <n v="100"/>
  </r>
  <r>
    <x v="1"/>
    <x v="1"/>
    <s v="  0113 9950000320 111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216958.1"/>
    <n v="32804.154699999999"/>
    <n v="20353.8279"/>
    <n v="184153.94529999999"/>
    <n v="15"/>
  </r>
  <r>
    <x v="1"/>
    <x v="1"/>
    <s v="  0113 9950000320 119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65400.7"/>
    <n v="7223.9620999999997"/>
    <n v="5547.5258999999996"/>
    <n v="58176.7379"/>
    <n v="11"/>
  </r>
  <r>
    <x v="1"/>
    <x v="1"/>
    <s v="  0113 9950000320 244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4394"/>
    <n v="692.05870000000004"/>
    <n v="677.72929999999997"/>
    <n v="3701.9413"/>
    <n v="16"/>
  </r>
  <r>
    <x v="1"/>
    <x v="1"/>
    <s v="  0113 9950000320 852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0.91700000000000004"/>
    <n v="0.91700000000000004"/>
    <n v="2.7829999999999999"/>
    <n v="25"/>
  </r>
  <r>
    <x v="1"/>
    <x v="1"/>
    <s v="  0113 9950000530 611"/>
    <x v="1"/>
    <x v="0"/>
    <s v="13"/>
    <x v="1"/>
    <s v="99"/>
    <x v="0"/>
    <x v="0"/>
    <s v="5"/>
    <s v="Процессная часть перечня мероприятий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1533.600000000006"/>
    <n v="10786.1237"/>
    <n v="7067.7610000000004"/>
    <n v="70747.476299999995"/>
    <n v="13"/>
  </r>
  <r>
    <x v="1"/>
    <x v="1"/>
    <s v="  0113 9950001480 244"/>
    <x v="1"/>
    <x v="0"/>
    <s v="13"/>
    <x v="1"/>
    <s v="99"/>
    <x v="0"/>
    <x v="0"/>
    <s v="5"/>
    <s v="Процессная часть перечня мероприятий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6933"/>
    <n v="1044.7482"/>
    <n v="546.08159999999998"/>
    <n v="5888.2518"/>
    <n v="15"/>
  </r>
  <r>
    <x v="1"/>
    <x v="1"/>
    <s v="  0309 0650090880 244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7193.2"/>
    <n v="1525.3012000000001"/>
    <n v="1525.3012000000001"/>
    <n v="5667.8987999999999"/>
    <n v="21"/>
  </r>
  <r>
    <x v="1"/>
    <x v="1"/>
    <s v="  0309 0650090880 247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9131.9"/>
    <n v="0"/>
    <n v="0"/>
    <n v="9131.9"/>
    <n v="0"/>
  </r>
  <r>
    <x v="1"/>
    <x v="1"/>
    <s v="  0309 0650090880 851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7025.2"/>
    <n v="655.77149999999995"/>
    <n v="655.77149999999995"/>
    <n v="6369.4285"/>
    <n v="9"/>
  </r>
  <r>
    <x v="1"/>
    <x v="1"/>
    <s v="  0309 0650090880 853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3"/>
    <s v="Уплата иных платежей"/>
    <s v="Администрация Кировского района Санкт-Петербурга"/>
    <s v="7805059546"/>
    <n v="3050"/>
    <n v="318.58760000000001"/>
    <n v="318.58760000000001"/>
    <n v="2731.4124000000002"/>
    <n v="10"/>
  </r>
  <r>
    <x v="1"/>
    <x v="1"/>
    <s v="  0309 0650091060 243"/>
    <x v="2"/>
    <x v="1"/>
    <s v="09"/>
    <x v="2"/>
    <s v="06"/>
    <x v="1"/>
    <x v="1"/>
    <s v="5"/>
    <s v="Процессная часть перечня мероприятий государственной программы"/>
    <s v="0650091060"/>
    <s v="Расходы на выполнение мероприятий по обследованию и ремонту защитных сооружений гражданской обороны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33821.9"/>
    <n v="0"/>
    <n v="0"/>
    <n v="33821.9"/>
    <n v="0"/>
  </r>
  <r>
    <x v="1"/>
    <x v="1"/>
    <s v="  0314 0650090690 244"/>
    <x v="3"/>
    <x v="1"/>
    <s v="14"/>
    <x v="3"/>
    <s v="06"/>
    <x v="1"/>
    <x v="1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3.1"/>
    <n v="0"/>
    <n v="0"/>
    <n v="23.1"/>
    <n v="0"/>
  </r>
  <r>
    <x v="1"/>
    <x v="1"/>
    <s v="  0410 9950096170 242"/>
    <x v="4"/>
    <x v="2"/>
    <s v="10"/>
    <x v="4"/>
    <s v="99"/>
    <x v="0"/>
    <x v="0"/>
    <s v="5"/>
    <s v="Процессная часть перечня мероприятий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5651.9"/>
    <n v="78.907399999999996"/>
    <n v="0"/>
    <n v="5572.9925999999996"/>
    <n v="1"/>
  </r>
  <r>
    <x v="1"/>
    <x v="1"/>
    <s v="  0501 0950083380 244"/>
    <x v="5"/>
    <x v="3"/>
    <s v="01"/>
    <x v="5"/>
    <s v="09"/>
    <x v="4"/>
    <x v="4"/>
    <s v="5"/>
    <s v="Процессная часть перечня мероприятий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465.8"/>
    <n v="0"/>
    <n v="0"/>
    <n v="5465.8"/>
    <n v="0"/>
  </r>
  <r>
    <x v="1"/>
    <x v="1"/>
    <s v="  0501 0950083470 244"/>
    <x v="5"/>
    <x v="3"/>
    <s v="01"/>
    <x v="5"/>
    <s v="09"/>
    <x v="4"/>
    <x v="4"/>
    <s v="5"/>
    <s v="Процессная часть перечня мероприятий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35373.199999999997"/>
    <n v="0"/>
    <n v="0"/>
    <n v="35373.199999999997"/>
    <n v="0"/>
  </r>
  <r>
    <x v="1"/>
    <x v="1"/>
    <s v="  0501 0950083480 244"/>
    <x v="5"/>
    <x v="3"/>
    <s v="01"/>
    <x v="5"/>
    <s v="09"/>
    <x v="4"/>
    <x v="4"/>
    <s v="5"/>
    <s v="Процессная часть перечня мероприятий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3442.8"/>
    <n v="0"/>
    <n v="0"/>
    <n v="3442.8"/>
    <n v="0"/>
  </r>
  <r>
    <x v="1"/>
    <x v="1"/>
    <s v="  0501 0950083480 853"/>
    <x v="5"/>
    <x v="3"/>
    <s v="01"/>
    <x v="5"/>
    <s v="09"/>
    <x v="4"/>
    <x v="4"/>
    <s v="5"/>
    <s v="Процессная часть перечня мероприятий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110377"/>
    <n v="1495.5988"/>
    <n v="1495.5988"/>
    <n v="108881.40119999999"/>
    <n v="1"/>
  </r>
  <r>
    <x v="1"/>
    <x v="1"/>
    <s v="  0501 0950083490 244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21046"/>
    <n v="51.616199999999999"/>
    <n v="51.616199999999999"/>
    <n v="20994.3838"/>
    <n v="0"/>
  </r>
  <r>
    <x v="1"/>
    <x v="1"/>
    <s v="  0501 0950083490 247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10536.1"/>
    <n v="908.7722"/>
    <n v="908.7722"/>
    <n v="9627.3277999999991"/>
    <n v="9"/>
  </r>
  <r>
    <x v="1"/>
    <x v="1"/>
    <s v="  0501 0950083490 853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782.6000000000004"/>
    <n v="493.51130000000001"/>
    <n v="493.51130000000001"/>
    <n v="4289.0887000000002"/>
    <n v="10"/>
  </r>
  <r>
    <x v="1"/>
    <x v="1"/>
    <s v="  0503 105008791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Санкт-Петербурга"/>
    <s v="244"/>
    <s v="Прочая закупка товаров, работ и услуг"/>
    <s v="Администрация Кировского района Санкт-Петербурга"/>
    <s v="7805059546"/>
    <n v="521.20000000000005"/>
    <n v="0"/>
    <n v="0"/>
    <n v="521.20000000000005"/>
    <n v="0"/>
  </r>
  <r>
    <x v="1"/>
    <x v="1"/>
    <s v="  0503 105008793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39330.300000000003"/>
    <n v="1030.9217000000001"/>
    <n v="1030.9217000000001"/>
    <n v="38299.378299999997"/>
    <n v="3"/>
  </r>
  <r>
    <x v="1"/>
    <x v="1"/>
    <s v="  0503 105008827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244"/>
    <s v="Прочая закупка товаров, работ и услуг"/>
    <s v="Администрация Кировского района Санкт-Петербурга"/>
    <s v="7805059546"/>
    <n v="1577.6"/>
    <n v="0"/>
    <n v="0"/>
    <n v="1577.6"/>
    <n v="0"/>
  </r>
  <r>
    <x v="1"/>
    <x v="1"/>
    <s v="  0505 0950083140 111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648619.1"/>
    <n v="89880.130399999995"/>
    <n v="47803.433100000002"/>
    <n v="558738.96959999995"/>
    <n v="14"/>
  </r>
  <r>
    <x v="1"/>
    <x v="1"/>
    <s v="  0505 0950083140 119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95242.9"/>
    <n v="32140.974699999999"/>
    <n v="15511.8442"/>
    <n v="163101.9253"/>
    <n v="16"/>
  </r>
  <r>
    <x v="1"/>
    <x v="1"/>
    <s v="  0505 0950083140 244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55984.5"/>
    <n v="4842.2534999999998"/>
    <n v="3912.0481"/>
    <n v="151142.24650000001"/>
    <n v="3"/>
  </r>
  <r>
    <x v="1"/>
    <x v="1"/>
    <s v="  0505 0950083140 247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8102"/>
    <n v="117.3809"/>
    <n v="117.3809"/>
    <n v="7984.6190999999999"/>
    <n v="1"/>
  </r>
  <r>
    <x v="1"/>
    <x v="1"/>
    <s v="  0505 0950083140 851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83.2"/>
    <n v="0"/>
    <n v="0"/>
    <n v="183.2"/>
    <n v="0"/>
  </r>
  <r>
    <x v="1"/>
    <x v="1"/>
    <s v="  0505 0950083140 852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631.4"/>
    <n v="513.553"/>
    <n v="419.053"/>
    <n v="117.84699999999999"/>
    <n v="81"/>
  </r>
  <r>
    <x v="1"/>
    <x v="1"/>
    <s v="  0701 0250020010 611"/>
    <x v="8"/>
    <x v="4"/>
    <s v="01"/>
    <x v="8"/>
    <s v="02"/>
    <x v="6"/>
    <x v="6"/>
    <s v="5"/>
    <s v="Процессная часть перечня мероприятий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665542.5999999996"/>
    <n v="618098.93500000006"/>
    <n v="323627.80680000002"/>
    <n v="5047443.665"/>
    <n v="11"/>
  </r>
  <r>
    <x v="1"/>
    <x v="1"/>
    <s v="  0701 0250020110 612"/>
    <x v="8"/>
    <x v="4"/>
    <s v="01"/>
    <x v="8"/>
    <s v="02"/>
    <x v="6"/>
    <x v="6"/>
    <s v="5"/>
    <s v="Процессная часть перечня мероприятий"/>
    <s v="0250020110"/>
    <s v="Расходы на оснащение образовательных организаций современными средствами обучения и воспитания с целью повышения качества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4200"/>
    <n v="0"/>
    <n v="0"/>
    <n v="4200"/>
    <n v="0"/>
  </r>
  <r>
    <x v="1"/>
    <x v="1"/>
    <s v="  0701 0250021450 612"/>
    <x v="8"/>
    <x v="4"/>
    <s v="01"/>
    <x v="8"/>
    <s v="02"/>
    <x v="6"/>
    <x v="6"/>
    <s v="5"/>
    <s v="Процессная часть перечня мероприятий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9486.7"/>
    <n v="0"/>
    <n v="0"/>
    <n v="19486.7"/>
    <n v="0"/>
  </r>
  <r>
    <x v="1"/>
    <x v="1"/>
    <s v="  0702 021Ю455590 612"/>
    <x v="9"/>
    <x v="4"/>
    <s v="02"/>
    <x v="9"/>
    <s v="02"/>
    <x v="6"/>
    <x v="7"/>
    <s v="1"/>
    <s v="Региональные проекты, входящие в состав национальных проектов"/>
    <s v="021Ю455590"/>
    <s v="Расходы на оснащение предметных кабинетов общеобразовательных организаций средствами обучения и воспитания"/>
    <s v="612"/>
    <s v="Субсидии бюджетным учреждениям на иные цели"/>
    <s v="Администрация Кировского района Санкт-Петербурга"/>
    <s v="7805059546"/>
    <n v="6609.5"/>
    <n v="0"/>
    <n v="0"/>
    <n v="6609.5"/>
    <n v="0"/>
  </r>
  <r>
    <x v="1"/>
    <x v="1"/>
    <s v="  0702 021Ю651790 612"/>
    <x v="9"/>
    <x v="4"/>
    <s v="02"/>
    <x v="9"/>
    <s v="02"/>
    <x v="6"/>
    <x v="7"/>
    <s v="1"/>
    <s v="Региональные проекты, входящие в состав национальных проектов"/>
    <s v="021Ю6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9701.3"/>
    <n v="3283.192"/>
    <n v="3283.192"/>
    <n v="16418.108"/>
    <n v="17"/>
  </r>
  <r>
    <x v="1"/>
    <x v="1"/>
    <s v="  0702 021Ю653030 612"/>
    <x v="9"/>
    <x v="4"/>
    <s v="02"/>
    <x v="9"/>
    <s v="02"/>
    <x v="6"/>
    <x v="7"/>
    <s v="1"/>
    <s v="Региональные проекты, входящие в состав национальных проектов"/>
    <s v="021Ю6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98275"/>
    <n v="8189.6"/>
    <n v="8189.6"/>
    <n v="90085.4"/>
    <n v="8"/>
  </r>
  <r>
    <x v="1"/>
    <x v="1"/>
    <s v="  0702 0250020030 611"/>
    <x v="9"/>
    <x v="4"/>
    <s v="02"/>
    <x v="9"/>
    <s v="02"/>
    <x v="6"/>
    <x v="6"/>
    <s v="5"/>
    <s v="Процессная часть перечня мероприятий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474469.7000000002"/>
    <n v="770602.40410000004"/>
    <n v="447480.0638"/>
    <n v="4703867.2959000003"/>
    <n v="14"/>
  </r>
  <r>
    <x v="1"/>
    <x v="1"/>
    <s v="  0702 0250020060 611"/>
    <x v="9"/>
    <x v="4"/>
    <s v="02"/>
    <x v="9"/>
    <s v="02"/>
    <x v="6"/>
    <x v="6"/>
    <s v="5"/>
    <s v="Процессная часть перечня мероприятий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013.6"/>
    <n v="19733.4912"/>
    <n v="10871.8678"/>
    <n v="163280.10879999999"/>
    <n v="11"/>
  </r>
  <r>
    <x v="1"/>
    <x v="1"/>
    <s v="  0702 0250020070 611"/>
    <x v="9"/>
    <x v="4"/>
    <s v="02"/>
    <x v="9"/>
    <s v="02"/>
    <x v="6"/>
    <x v="6"/>
    <s v="5"/>
    <s v="Процессная часть перечня мероприятий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8494.399999999994"/>
    <n v="14586.2178"/>
    <n v="9412.2147000000004"/>
    <n v="73908.182199999996"/>
    <n v="16"/>
  </r>
  <r>
    <x v="1"/>
    <x v="1"/>
    <s v="  0702 0250020080 631"/>
    <x v="9"/>
    <x v="4"/>
    <s v="02"/>
    <x v="9"/>
    <s v="02"/>
    <x v="6"/>
    <x v="6"/>
    <s v="5"/>
    <s v="Процессная часть перечня мероприятий"/>
    <s v="0250020080"/>
    <s v="Субсидии частным образовательным организациям для реализации основных общеобразовательных программ"/>
    <s v="631"/>
    <s v="Субсидии на возмещение недополученных доходов и (или) возмещение фактически понесенных затрат"/>
    <s v="Администрация Кировского района Санкт-Петербурга"/>
    <s v="7805059546"/>
    <n v="1102.9000000000001"/>
    <n v="0"/>
    <n v="0"/>
    <n v="1102.9000000000001"/>
    <n v="0"/>
  </r>
  <r>
    <x v="1"/>
    <x v="1"/>
    <s v="  0702 0250020090 612"/>
    <x v="9"/>
    <x v="4"/>
    <s v="02"/>
    <x v="9"/>
    <s v="02"/>
    <x v="6"/>
    <x v="6"/>
    <s v="5"/>
    <s v="Процессная часть перечня мероприятий"/>
    <s v="0250020090"/>
    <s v="Расходы на обеспечение книгами и учебными изданиями для комплектования библиотек государственных образовательных учреждений, реализующих образовательные программы начального общего образования, основного общего образования, среднего общего образования, ср"/>
    <s v="612"/>
    <s v="Субсидии бюджетным учреждениям на иные цели"/>
    <s v="Администрация Кировского района Санкт-Петербурга"/>
    <s v="7805059546"/>
    <n v="123977.4"/>
    <n v="0"/>
    <n v="0"/>
    <n v="123977.4"/>
    <n v="0"/>
  </r>
  <r>
    <x v="1"/>
    <x v="1"/>
    <s v="  0702 0250020110 612"/>
    <x v="9"/>
    <x v="4"/>
    <s v="02"/>
    <x v="9"/>
    <s v="02"/>
    <x v="6"/>
    <x v="6"/>
    <s v="5"/>
    <s v="Процессная часть перечня мероприятий"/>
    <s v="0250020110"/>
    <s v="Расходы на оснащение образовательных организаций современными средствами обучения и воспитания с целью повышения качества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23605.9"/>
    <n v="0"/>
    <n v="0"/>
    <n v="23605.9"/>
    <n v="0"/>
  </r>
  <r>
    <x v="1"/>
    <x v="1"/>
    <s v="  0702 0250020940 612"/>
    <x v="9"/>
    <x v="4"/>
    <s v="02"/>
    <x v="9"/>
    <s v="02"/>
    <x v="6"/>
    <x v="6"/>
    <s v="5"/>
    <s v="Процессная часть перечня мероприятий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15733.1"/>
    <n v="0"/>
    <n v="0"/>
    <n v="115733.1"/>
    <n v="0"/>
  </r>
  <r>
    <x v="1"/>
    <x v="1"/>
    <s v="  0702 0250021450 612"/>
    <x v="9"/>
    <x v="4"/>
    <s v="02"/>
    <x v="9"/>
    <s v="02"/>
    <x v="6"/>
    <x v="6"/>
    <s v="5"/>
    <s v="Процессная часть перечня мероприятий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9599.599999999999"/>
    <n v="0"/>
    <n v="0"/>
    <n v="29599.599999999999"/>
    <n v="0"/>
  </r>
  <r>
    <x v="1"/>
    <x v="1"/>
    <s v="  0702 0250021460 612"/>
    <x v="9"/>
    <x v="4"/>
    <s v="02"/>
    <x v="9"/>
    <s v="02"/>
    <x v="6"/>
    <x v="6"/>
    <s v="5"/>
    <s v="Процессная часть перечня мероприятий"/>
    <s v="0250021460"/>
    <s v="Расходы на реализацию мероприятий проекта по вовлечению учащихся в развитие школьной инфраструктуры"/>
    <s v="612"/>
    <s v="Субсидии бюджетным учреждениям на иные цели"/>
    <s v="Администрация Кировского района Санкт-Петербурга"/>
    <s v="7805059546"/>
    <n v="14900"/>
    <n v="0"/>
    <n v="0"/>
    <n v="14900"/>
    <n v="0"/>
  </r>
  <r>
    <x v="1"/>
    <x v="1"/>
    <s v="  0702 0350040650 612"/>
    <x v="9"/>
    <x v="4"/>
    <s v="02"/>
    <x v="9"/>
    <s v="03"/>
    <x v="7"/>
    <x v="8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340444.3"/>
    <n v="45665.545700000002"/>
    <n v="37006.289400000001"/>
    <n v="294778.75429999997"/>
    <n v="13"/>
  </r>
  <r>
    <x v="1"/>
    <x v="1"/>
    <s v="  0702 03500R3040 612"/>
    <x v="9"/>
    <x v="4"/>
    <s v="02"/>
    <x v="9"/>
    <s v="03"/>
    <x v="7"/>
    <x v="8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88979.20000000001"/>
    <n v="32819.3079"/>
    <n v="13921.3889"/>
    <n v="156159.8921"/>
    <n v="17"/>
  </r>
  <r>
    <x v="1"/>
    <x v="1"/>
    <s v="  0703 0250020300 611"/>
    <x v="10"/>
    <x v="4"/>
    <s v="03"/>
    <x v="10"/>
    <s v="02"/>
    <x v="6"/>
    <x v="6"/>
    <s v="5"/>
    <s v="Процессная часть перечня мероприятий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00340.90000000002"/>
    <n v="31760.9807"/>
    <n v="12148.089"/>
    <n v="268579.91930000001"/>
    <n v="11"/>
  </r>
  <r>
    <x v="1"/>
    <x v="1"/>
    <s v="  0707 1750078010 611"/>
    <x v="11"/>
    <x v="4"/>
    <s v="07"/>
    <x v="11"/>
    <s v="17"/>
    <x v="3"/>
    <x v="3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41260.4"/>
    <n v="13413.8734"/>
    <n v="1209.6596"/>
    <n v="227846.52660000001"/>
    <n v="6"/>
  </r>
  <r>
    <x v="1"/>
    <x v="1"/>
    <s v="  0707 175007856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82757.8"/>
    <n v="0"/>
    <n v="0"/>
    <n v="82757.8"/>
    <n v="0"/>
  </r>
  <r>
    <x v="1"/>
    <x v="1"/>
    <s v="  0707 175007945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724.3"/>
    <n v="0"/>
    <n v="0"/>
    <n v="1724.3"/>
    <n v="0"/>
  </r>
  <r>
    <x v="1"/>
    <x v="1"/>
    <s v="  0707 175007946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23957.3"/>
    <n v="0"/>
    <n v="0"/>
    <n v="23957.3"/>
    <n v="0"/>
  </r>
  <r>
    <x v="1"/>
    <x v="1"/>
    <s v="  0709 021Ю650500 612"/>
    <x v="12"/>
    <x v="4"/>
    <s v="09"/>
    <x v="12"/>
    <s v="02"/>
    <x v="6"/>
    <x v="7"/>
    <s v="1"/>
    <s v="Региональные проекты, входящие в состав национальных проектов"/>
    <s v="021Ю650500"/>
    <s v="Расходы на ежемесячное денежное вознаграждение советникам директоров по воспитанию и взаимодействию с детскими общественными объединениями государственных общеобразовательных организаций, профессиональных образовательных организац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437.3"/>
    <n v="572.88"/>
    <n v="572.88"/>
    <n v="2864.42"/>
    <n v="17"/>
  </r>
  <r>
    <x v="1"/>
    <x v="1"/>
    <s v="  0709 0250020100 612"/>
    <x v="12"/>
    <x v="4"/>
    <s v="09"/>
    <x v="12"/>
    <s v="02"/>
    <x v="6"/>
    <x v="6"/>
    <s v="5"/>
    <s v="Процессная часть перечня мероприятий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718.3"/>
    <n v="0"/>
    <n v="0"/>
    <n v="1718.3"/>
    <n v="0"/>
  </r>
  <r>
    <x v="1"/>
    <x v="1"/>
    <s v="  0709 0250020370 244"/>
    <x v="12"/>
    <x v="4"/>
    <s v="09"/>
    <x v="12"/>
    <s v="02"/>
    <x v="6"/>
    <x v="6"/>
    <s v="5"/>
    <s v="Процессная часть перечня мероприятий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5084.9"/>
    <n v="0"/>
    <n v="0"/>
    <n v="95084.9"/>
    <n v="0"/>
  </r>
  <r>
    <x v="1"/>
    <x v="1"/>
    <s v="  0709 0250020370 612"/>
    <x v="12"/>
    <x v="4"/>
    <s v="09"/>
    <x v="12"/>
    <s v="02"/>
    <x v="6"/>
    <x v="6"/>
    <s v="5"/>
    <s v="Процессная часть перечня мероприятий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4782.4"/>
    <n v="0"/>
    <n v="0"/>
    <n v="14782.4"/>
    <n v="0"/>
  </r>
  <r>
    <x v="1"/>
    <x v="1"/>
    <s v="  0709 0250020430 611"/>
    <x v="12"/>
    <x v="4"/>
    <s v="09"/>
    <x v="12"/>
    <s v="02"/>
    <x v="6"/>
    <x v="6"/>
    <s v="5"/>
    <s v="Процессная часть перечня мероприятий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6883.7"/>
    <n v="8508.4567999999999"/>
    <n v="4215.9976999999999"/>
    <n v="38375.243199999997"/>
    <n v="18"/>
  </r>
  <r>
    <x v="1"/>
    <x v="1"/>
    <s v="  0709 0250020440 611"/>
    <x v="12"/>
    <x v="4"/>
    <s v="09"/>
    <x v="12"/>
    <s v="02"/>
    <x v="6"/>
    <x v="6"/>
    <s v="5"/>
    <s v="Процессная часть перечня мероприятий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6303.8"/>
    <n v="9169.3608000000004"/>
    <n v="5800.1315000000004"/>
    <n v="57134.439200000001"/>
    <n v="14"/>
  </r>
  <r>
    <x v="1"/>
    <x v="1"/>
    <s v="  0709 0250021190 612"/>
    <x v="12"/>
    <x v="4"/>
    <s v="09"/>
    <x v="12"/>
    <s v="02"/>
    <x v="6"/>
    <x v="6"/>
    <s v="5"/>
    <s v="Процессная часть перечня мероприятий"/>
    <s v="0250021190"/>
    <s v="Расходы на ремонт и оснащение спортивных сооружений (стадионов) государственных образовательных учрежден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5928.5"/>
    <n v="0"/>
    <n v="0"/>
    <n v="5928.5"/>
    <n v="0"/>
  </r>
  <r>
    <x v="1"/>
    <x v="1"/>
    <s v="  0709 0250021770 612"/>
    <x v="12"/>
    <x v="4"/>
    <s v="09"/>
    <x v="12"/>
    <s v="02"/>
    <x v="6"/>
    <x v="6"/>
    <s v="5"/>
    <s v="Процессная часть перечня мероприятий"/>
    <s v="0250021770"/>
    <s v="Расходы на прочие мероприятия в области образования"/>
    <s v="612"/>
    <s v="Субсидии бюджетным учреждениям на иные цели"/>
    <s v="Администрация Кировского района Санкт-Петербурга"/>
    <s v="7805059546"/>
    <n v="7523.1"/>
    <n v="0"/>
    <n v="0"/>
    <n v="7523.1"/>
    <n v="0"/>
  </r>
  <r>
    <x v="1"/>
    <x v="1"/>
    <s v="  0709 1750078650 612"/>
    <x v="12"/>
    <x v="4"/>
    <s v="09"/>
    <x v="12"/>
    <s v="17"/>
    <x v="3"/>
    <x v="3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0"/>
    <n v="0"/>
    <n v="500"/>
    <n v="0"/>
  </r>
  <r>
    <x v="1"/>
    <x v="1"/>
    <s v="  0709 9950003450 244"/>
    <x v="12"/>
    <x v="4"/>
    <s v="09"/>
    <x v="12"/>
    <s v="99"/>
    <x v="0"/>
    <x v="0"/>
    <s v="5"/>
    <s v="Процессная часть перечня мероприятий"/>
    <s v="9950003450"/>
    <s v="Расходы на материальное обеспечение деятельности регионального отделения Движения первых Санкт-Петербурга"/>
    <s v="244"/>
    <s v="Прочая закупка товаров, работ и услуг"/>
    <s v="Администрация Кировского района Санкт-Петербурга"/>
    <s v="7805059546"/>
    <n v="900.4"/>
    <n v="0"/>
    <n v="0"/>
    <n v="900.4"/>
    <n v="0"/>
  </r>
  <r>
    <x v="1"/>
    <x v="1"/>
    <s v="  0709 9950003450 247"/>
    <x v="12"/>
    <x v="4"/>
    <s v="09"/>
    <x v="12"/>
    <s v="99"/>
    <x v="0"/>
    <x v="0"/>
    <s v="5"/>
    <s v="Процессная часть перечня мероприятий"/>
    <s v="9950003450"/>
    <s v="Расходы на материальное обеспечение деятельности регионального отделения Движения первых Санкт-Петербурга"/>
    <s v="247"/>
    <s v="Закупка энергетических ресурсов"/>
    <s v="Администрация Кировского района Санкт-Петербурга"/>
    <s v="7805059546"/>
    <n v="67.400000000000006"/>
    <n v="0"/>
    <n v="0"/>
    <n v="67.400000000000006"/>
    <n v="0"/>
  </r>
  <r>
    <x v="1"/>
    <x v="1"/>
    <s v="  0801 085007008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080"/>
    <s v="Субсидии бюджетным 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63750"/>
    <n v="35031.250899999999"/>
    <n v="26325.425800000001"/>
    <n v="228718.74909999999"/>
    <n v="13"/>
  </r>
  <r>
    <x v="1"/>
    <x v="1"/>
    <s v="  0801 085007009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090"/>
    <s v="Субсидии бюджетным 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93678.1"/>
    <n v="11282.422699999999"/>
    <n v="6245.6587"/>
    <n v="82395.677299999996"/>
    <n v="12"/>
  </r>
  <r>
    <x v="1"/>
    <x v="1"/>
    <s v="  0801 085007017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170"/>
    <s v="Субсидии бюджетным 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07715.20000000001"/>
    <n v="25477.925599999999"/>
    <n v="18044.705699999999"/>
    <n v="182237.27439999999"/>
    <n v="12"/>
  </r>
  <r>
    <x v="1"/>
    <x v="1"/>
    <s v="  0801 085007027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270"/>
    <s v="Субсидии бюджетным 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7050.7"/>
    <n v="11469.7109"/>
    <n v="7892.2329"/>
    <n v="75580.989100000006"/>
    <n v="13"/>
  </r>
  <r>
    <x v="1"/>
    <x v="1"/>
    <s v="  0801 0850070470 244"/>
    <x v="13"/>
    <x v="5"/>
    <s v="01"/>
    <x v="13"/>
    <s v="08"/>
    <x v="8"/>
    <x v="9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9529.5"/>
    <n v="1043.2039"/>
    <n v="1043.2039"/>
    <n v="8486.2960999999996"/>
    <n v="11"/>
  </r>
  <r>
    <x v="1"/>
    <x v="1"/>
    <s v="  0801 085007047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612"/>
    <s v="Субсидии бюджетным учреждениям на иные цели"/>
    <s v="Администрация Кировского района Санкт-Петербурга"/>
    <s v="7805059546"/>
    <n v="2252"/>
    <n v="0"/>
    <n v="0"/>
    <n v="2252"/>
    <n v="0"/>
  </r>
  <r>
    <x v="1"/>
    <x v="1"/>
    <s v="  0801 085007096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0264.799999999999"/>
    <n v="0"/>
    <n v="0"/>
    <n v="10264.799999999999"/>
    <n v="0"/>
  </r>
  <r>
    <x v="1"/>
    <x v="1"/>
    <s v="  0801 085007161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128.69999999999999"/>
    <n v="0"/>
    <n v="0"/>
    <n v="128.69999999999999"/>
    <n v="0"/>
  </r>
  <r>
    <x v="1"/>
    <x v="1"/>
    <s v="  0804 0850070060 244"/>
    <x v="14"/>
    <x v="5"/>
    <s v="04"/>
    <x v="14"/>
    <s v="08"/>
    <x v="8"/>
    <x v="9"/>
    <s v="5"/>
    <s v="Процессная часть перечня мероприятий государственной программы"/>
    <s v="0850070060"/>
    <s v="Расходы на содержание и ремонт памятников ансамбля «Зеленый пояс Славы»"/>
    <s v="244"/>
    <s v="Прочая закупка товаров, работ и услуг"/>
    <s v="Администрация Кировского района Санкт-Петербурга"/>
    <s v="7805059546"/>
    <n v="16495.3"/>
    <n v="0"/>
    <n v="0"/>
    <n v="16495.3"/>
    <n v="0"/>
  </r>
  <r>
    <x v="1"/>
    <x v="1"/>
    <s v="  0804 0850071320 612"/>
    <x v="14"/>
    <x v="5"/>
    <s v="04"/>
    <x v="14"/>
    <s v="08"/>
    <x v="8"/>
    <x v="9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8766.7000000000007"/>
    <n v="0"/>
    <n v="0"/>
    <n v="8766.7000000000007"/>
    <n v="0"/>
  </r>
  <r>
    <x v="1"/>
    <x v="1"/>
    <s v="  0902 0150010080 611"/>
    <x v="15"/>
    <x v="6"/>
    <s v="02"/>
    <x v="15"/>
    <s v="01"/>
    <x v="9"/>
    <x v="10"/>
    <s v="5"/>
    <s v="Процессная часть перечня мероприятий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62520.5"/>
    <n v="78405.111799999999"/>
    <n v="55187.921399999999"/>
    <n v="584115.38820000004"/>
    <n v="12"/>
  </r>
  <r>
    <x v="1"/>
    <x v="1"/>
    <s v="  0902 0150010080 614"/>
    <x v="15"/>
    <x v="6"/>
    <s v="02"/>
    <x v="15"/>
    <s v="01"/>
    <x v="9"/>
    <x v="10"/>
    <s v="5"/>
    <s v="Процессная часть перечня мероприятий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379.7"/>
    <n v="235.0727"/>
    <n v="207.94550000000001"/>
    <n v="5144.6273000000001"/>
    <n v="4"/>
  </r>
  <r>
    <x v="1"/>
    <x v="1"/>
    <s v="  0909 011Д153652 612"/>
    <x v="16"/>
    <x v="6"/>
    <s v="09"/>
    <x v="16"/>
    <s v="01"/>
    <x v="9"/>
    <x v="11"/>
    <s v="1"/>
    <s v="Региональные проекты, входящие в состав национальных проектов"/>
    <s v="011Д1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104471.3"/>
    <n v="40251.122000000003"/>
    <n v="40251.122000000003"/>
    <n v="64220.178"/>
    <n v="39"/>
  </r>
  <r>
    <x v="1"/>
    <x v="1"/>
    <s v="  0909 0150010020 612"/>
    <x v="16"/>
    <x v="6"/>
    <s v="09"/>
    <x v="16"/>
    <s v="01"/>
    <x v="9"/>
    <x v="10"/>
    <s v="5"/>
    <s v="Процессная часть перечня мероприятий"/>
    <s v="0150010020"/>
    <s v="Расходы на профилактику инфекционных заболеваний, включая иммунопрофилактику"/>
    <s v="612"/>
    <s v="Субсидии бюджетным учреждениям на иные цели"/>
    <s v="Администрация Кировского района Санкт-Петербурга"/>
    <s v="7805059546"/>
    <n v="34518.6"/>
    <n v="0"/>
    <n v="0"/>
    <n v="34518.6"/>
    <n v="0"/>
  </r>
  <r>
    <x v="1"/>
    <x v="1"/>
    <s v="  0909 0150010100 244"/>
    <x v="16"/>
    <x v="6"/>
    <s v="09"/>
    <x v="16"/>
    <s v="01"/>
    <x v="9"/>
    <x v="10"/>
    <s v="5"/>
    <s v="Процессная часть перечня мероприятий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48.2"/>
    <n v="0"/>
    <n v="0"/>
    <n v="48.2"/>
    <n v="0"/>
  </r>
  <r>
    <x v="1"/>
    <x v="1"/>
    <s v="  0909 0150010520 612"/>
    <x v="16"/>
    <x v="6"/>
    <s v="09"/>
    <x v="16"/>
    <s v="01"/>
    <x v="9"/>
    <x v="10"/>
    <s v="5"/>
    <s v="Процессная часть перечня мероприятий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223871.4"/>
    <n v="0"/>
    <n v="0"/>
    <n v="223871.4"/>
    <n v="0"/>
  </r>
  <r>
    <x v="1"/>
    <x v="1"/>
    <s v="  0909 0150010650 612"/>
    <x v="16"/>
    <x v="6"/>
    <s v="09"/>
    <x v="16"/>
    <s v="01"/>
    <x v="9"/>
    <x v="10"/>
    <s v="5"/>
    <s v="Процессная часть перечня мероприятий"/>
    <s v="0150010650"/>
    <s v="Расходы на приобретение немонтируемого оборудования и инвентаря для оснащения вводных объектов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29779.9"/>
    <n v="0"/>
    <n v="0"/>
    <n v="29779.9"/>
    <n v="0"/>
  </r>
  <r>
    <x v="1"/>
    <x v="1"/>
    <s v="  0909 0150010660 612"/>
    <x v="16"/>
    <x v="6"/>
    <s v="09"/>
    <x v="16"/>
    <s v="01"/>
    <x v="9"/>
    <x v="10"/>
    <s v="5"/>
    <s v="Процессная часть перечня мероприятий"/>
    <s v="0150010660"/>
    <s v="Расходы на обеспечение доступности учреждений здравоохранения для инвалидов и других маломобильных групп населения"/>
    <s v="612"/>
    <s v="Субсидии бюджетным учреждениям на иные цели"/>
    <s v="Администрация Кировского района Санкт-Петербурга"/>
    <s v="7805059546"/>
    <n v="7460.5"/>
    <n v="0"/>
    <n v="0"/>
    <n v="7460.5"/>
    <n v="0"/>
  </r>
  <r>
    <x v="1"/>
    <x v="1"/>
    <s v="  0909 0150011000 612"/>
    <x v="16"/>
    <x v="6"/>
    <s v="09"/>
    <x v="16"/>
    <s v="01"/>
    <x v="9"/>
    <x v="10"/>
    <s v="5"/>
    <s v="Процессная часть перечня мероприятий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45132.3"/>
    <n v="2327.4059999999999"/>
    <n v="2327.4059999999999"/>
    <n v="42804.894"/>
    <n v="5"/>
  </r>
  <r>
    <x v="1"/>
    <x v="1"/>
    <s v="  0909 0150054680 612"/>
    <x v="16"/>
    <x v="6"/>
    <s v="09"/>
    <x v="16"/>
    <s v="01"/>
    <x v="9"/>
    <x v="10"/>
    <s v="5"/>
    <s v="Процессная часть перечня мероприятий"/>
    <s v="01500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113.2"/>
    <n v="0"/>
    <n v="0"/>
    <n v="113.2"/>
    <n v="0"/>
  </r>
  <r>
    <x v="1"/>
    <x v="1"/>
    <s v="  0909 0650090160 612"/>
    <x v="16"/>
    <x v="6"/>
    <s v="09"/>
    <x v="16"/>
    <s v="06"/>
    <x v="1"/>
    <x v="1"/>
    <s v="5"/>
    <s v="Процессная часть перечня мероприятий государственной программы"/>
    <s v="0650090160"/>
    <s v="Расходы на мероприятия по пожарной безопасности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3155.1"/>
    <n v="0"/>
    <n v="0"/>
    <n v="3155.1"/>
    <n v="0"/>
  </r>
  <r>
    <x v="1"/>
    <x v="1"/>
    <s v="  1002 035004046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11289.8"/>
    <n v="30577.698700000001"/>
    <n v="15618.8783"/>
    <n v="180712.10130000001"/>
    <n v="14"/>
  </r>
  <r>
    <x v="1"/>
    <x v="1"/>
    <s v="  1002 035004046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21225"/>
    <n v="2234.9659999999999"/>
    <n v="1117.4829999999999"/>
    <n v="18990.034"/>
    <n v="11"/>
  </r>
  <r>
    <x v="1"/>
    <x v="1"/>
    <s v="  1002 035004048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994.2"/>
    <n v="625.32039999999995"/>
    <n v="376.62220000000002"/>
    <n v="3368.8796000000002"/>
    <n v="16"/>
  </r>
  <r>
    <x v="1"/>
    <x v="1"/>
    <s v="  1002 035004048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28356.9"/>
    <n v="22105.130799999999"/>
    <n v="12979.9504"/>
    <n v="106251.7692"/>
    <n v="17"/>
  </r>
  <r>
    <x v="1"/>
    <x v="1"/>
    <s v="  1002 035004053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21376.1"/>
    <n v="0"/>
    <n v="0"/>
    <n v="21376.1"/>
    <n v="0"/>
  </r>
  <r>
    <x v="1"/>
    <x v="1"/>
    <s v="  1002 035004063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630"/>
    <s v="Субсидии бюджетным учреждениям - комплексным центрам социального обслуживания населения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0959"/>
    <n v="496.43610000000001"/>
    <n v="352.68130000000002"/>
    <n v="10462.563899999999"/>
    <n v="5"/>
  </r>
  <r>
    <x v="1"/>
    <x v="1"/>
    <s v="  1002 035004063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630"/>
    <s v="Субсидии бюджетным учреждениям - комплексным центрам социального обслуживания населения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3202"/>
    <n v="84646.763800000001"/>
    <n v="42514.518700000001"/>
    <n v="428555.23619999998"/>
    <n v="16"/>
  </r>
  <r>
    <x v="1"/>
    <x v="1"/>
    <s v="  1002 035004064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541.7"/>
    <n v="506.07060000000001"/>
    <n v="292.25749999999999"/>
    <n v="4035.6293999999998"/>
    <n v="11"/>
  </r>
  <r>
    <x v="1"/>
    <x v="1"/>
    <s v="  1002 035004064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9802"/>
    <n v="9246.4855000000007"/>
    <n v="4775.3982999999998"/>
    <n v="50555.514499999997"/>
    <n v="15"/>
  </r>
  <r>
    <x v="1"/>
    <x v="1"/>
    <s v="  1002 035004120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41200"/>
    <s v="Расходы на приобретение немонтируемого оборудования и инвентаря для оснащения вводных объектов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3856.7"/>
    <n v="0"/>
    <n v="0"/>
    <n v="3856.7"/>
    <n v="0"/>
  </r>
  <r>
    <x v="1"/>
    <x v="1"/>
    <s v="  1002 03500R514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R5140"/>
    <s v="Расходы на реализацию мероприятий по формированию системы комплексной реабилитации и абилитации инвалидов, в том числе детей-инвалидов"/>
    <s v="612"/>
    <s v="Субсидии бюджетным учреждениям на иные цели"/>
    <s v="Администрация Кировского района Санкт-Петербурга"/>
    <s v="7805059546"/>
    <n v="2500"/>
    <n v="0"/>
    <n v="0"/>
    <n v="2500"/>
    <n v="0"/>
  </r>
  <r>
    <x v="1"/>
    <x v="1"/>
    <s v="  1003 0350040240 612"/>
    <x v="18"/>
    <x v="7"/>
    <s v="03"/>
    <x v="18"/>
    <s v="03"/>
    <x v="7"/>
    <x v="8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51205.3"/>
    <n v="1367.5889999999999"/>
    <n v="1367.5889999999999"/>
    <n v="49837.711000000003"/>
    <n v="3"/>
  </r>
  <r>
    <x v="1"/>
    <x v="1"/>
    <s v="  1004 0950083620 323"/>
    <x v="19"/>
    <x v="7"/>
    <s v="04"/>
    <x v="19"/>
    <s v="09"/>
    <x v="4"/>
    <x v="4"/>
    <s v="5"/>
    <s v="Процессная часть перечня мероприятий"/>
    <s v="0950083620"/>
    <s v="Расходы на предоставление дополнительной меры социальной поддержки по оборудованию предметами первой необходимости жилых помещений специализированного жилищного фонда, предоставляемых детям-сиротам и детям, оставшимся без попечения родителей, лицам из их "/>
    <s v="323"/>
    <s v="Приобретение товаров, работ, услуг в пользу граждан в целях их социального обеспечения"/>
    <s v="Администрация Кировского района Санкт-Петербурга"/>
    <s v="7805059546"/>
    <n v="1328.7"/>
    <n v="0"/>
    <n v="0"/>
    <n v="1328.7"/>
    <n v="0"/>
  </r>
  <r>
    <x v="1"/>
    <x v="1"/>
    <s v="  1101 0450045020 611"/>
    <x v="20"/>
    <x v="8"/>
    <s v="01"/>
    <x v="20"/>
    <s v="04"/>
    <x v="10"/>
    <x v="12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03804.2"/>
    <n v="26568.674900000002"/>
    <n v="15786.6749"/>
    <n v="177235.5251"/>
    <n v="13"/>
  </r>
  <r>
    <x v="1"/>
    <x v="1"/>
    <s v="  1101 0450045060 612"/>
    <x v="20"/>
    <x v="8"/>
    <s v="01"/>
    <x v="20"/>
    <s v="04"/>
    <x v="10"/>
    <x v="12"/>
    <s v="5"/>
    <s v="Процессная часть перечня мероприятий государственной программы"/>
    <s v="0450045060"/>
    <s v="Расходы на проектирование, ремонт и оснащение оборудованием внутридворовых спортивных площадок для занятий физической культурой и спортом населения"/>
    <s v="612"/>
    <s v="Субсидии бюджетным учреждениям на иные цели"/>
    <s v="Администрация Кировского района Санкт-Петербурга"/>
    <s v="7805059546"/>
    <n v="22865.1"/>
    <n v="0"/>
    <n v="0"/>
    <n v="22865.1"/>
    <n v="0"/>
  </r>
  <r>
    <x v="1"/>
    <x v="1"/>
    <s v="  1102 0450045010 612"/>
    <x v="21"/>
    <x v="8"/>
    <s v="02"/>
    <x v="21"/>
    <s v="04"/>
    <x v="10"/>
    <x v="12"/>
    <s v="5"/>
    <s v="Процессная часть перечня мероприятий государственной программы"/>
    <s v="04500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693.1"/>
    <n v="0"/>
    <n v="0"/>
    <n v="3693.1"/>
    <n v="0"/>
  </r>
  <r>
    <x v="1"/>
    <x v="1"/>
    <s v="  1103 0450045090 611"/>
    <x v="22"/>
    <x v="8"/>
    <s v="03"/>
    <x v="22"/>
    <s v="04"/>
    <x v="10"/>
    <x v="12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56415.3"/>
    <n v="44464.731099999997"/>
    <n v="26709.516199999998"/>
    <n v="311950.56890000001"/>
    <n v="12"/>
  </r>
  <r>
    <x v="2"/>
    <x v="2"/>
    <s v="  0103 9950000060 244"/>
    <x v="0"/>
    <x v="0"/>
    <s v="03"/>
    <x v="0"/>
    <s v="99"/>
    <x v="0"/>
    <x v="0"/>
    <s v="5"/>
    <s v="Процессная часть перечня мероприятий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730.5"/>
    <n v="37.028100000000002"/>
    <n v="18.514099999999999"/>
    <n v="693.47190000000001"/>
    <n v="5"/>
  </r>
  <r>
    <x v="2"/>
    <x v="2"/>
    <s v="  0103 9950000060 247"/>
    <x v="0"/>
    <x v="0"/>
    <s v="03"/>
    <x v="0"/>
    <s v="99"/>
    <x v="0"/>
    <x v="0"/>
    <s v="5"/>
    <s v="Процессная часть перечня мероприятий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32.5"/>
    <n v="0.2034"/>
    <n v="0.2034"/>
    <n v="32.296599999999998"/>
    <n v="1"/>
  </r>
  <r>
    <x v="2"/>
    <x v="2"/>
    <s v="  0113 0650090100 530"/>
    <x v="1"/>
    <x v="0"/>
    <s v="13"/>
    <x v="1"/>
    <s v="06"/>
    <x v="1"/>
    <x v="1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7.2"/>
    <n v="0"/>
    <n v="0"/>
    <n v="67.2"/>
    <n v="0"/>
  </r>
  <r>
    <x v="2"/>
    <x v="2"/>
    <s v="  0113 0650090830 244"/>
    <x v="1"/>
    <x v="0"/>
    <s v="13"/>
    <x v="1"/>
    <s v="06"/>
    <x v="1"/>
    <x v="1"/>
    <s v="5"/>
    <s v="Процессная часть перечня мероприятий государственной программы"/>
    <s v="0650090830"/>
    <s v="Расходы, связанные с изъятием вещей и документов при производстве по делам об административных правонарушениях"/>
    <s v="244"/>
    <s v="Прочая закупка товаров, работ и услуг"/>
    <s v="Администрация Кировского района Санкт-Петербурга"/>
    <s v="7805059546"/>
    <n v="61.9"/>
    <n v="0"/>
    <n v="0"/>
    <n v="61.9"/>
    <n v="0"/>
  </r>
  <r>
    <x v="2"/>
    <x v="2"/>
    <s v="  0113 1650099220 244"/>
    <x v="1"/>
    <x v="0"/>
    <s v="13"/>
    <x v="1"/>
    <s v="16"/>
    <x v="2"/>
    <x v="2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216.9"/>
    <n v="70"/>
    <n v="49"/>
    <n v="146.9"/>
    <n v="32"/>
  </r>
  <r>
    <x v="2"/>
    <x v="2"/>
    <s v="  0113 1750098720 244"/>
    <x v="1"/>
    <x v="0"/>
    <s v="13"/>
    <x v="1"/>
    <s v="17"/>
    <x v="3"/>
    <x v="3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57.5"/>
    <n v="0"/>
    <n v="0"/>
    <n v="557.5"/>
    <n v="0"/>
  </r>
  <r>
    <x v="2"/>
    <x v="2"/>
    <s v="  0113 9950000090 121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349800.7"/>
    <n v="73469.082999999999"/>
    <n v="31398.492600000001"/>
    <n v="276331.61700000003"/>
    <n v="21"/>
  </r>
  <r>
    <x v="2"/>
    <x v="2"/>
    <s v="  0113 9950000090 122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40.5"/>
    <n v="3.9790000000000001"/>
    <n v="3.5"/>
    <n v="136.52099999999999"/>
    <n v="3"/>
  </r>
  <r>
    <x v="2"/>
    <x v="2"/>
    <s v="  0113 9950000090 129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105260"/>
    <n v="22503.672500000001"/>
    <n v="7532.8887999999997"/>
    <n v="82756.327499999999"/>
    <n v="21"/>
  </r>
  <r>
    <x v="2"/>
    <x v="2"/>
    <s v="  0113 9950000090 242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0"/>
    <n v="0"/>
    <n v="300"/>
    <n v="0"/>
  </r>
  <r>
    <x v="2"/>
    <x v="2"/>
    <s v="  0113 9950000090 243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31.2"/>
    <n v="0"/>
    <n v="0"/>
    <n v="31.2"/>
    <n v="0"/>
  </r>
  <r>
    <x v="2"/>
    <x v="2"/>
    <s v="  0113 9950000090 244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100142.1"/>
    <n v="3706.8669"/>
    <n v="1715.8968"/>
    <n v="96435.233099999998"/>
    <n v="4"/>
  </r>
  <r>
    <x v="2"/>
    <x v="2"/>
    <s v="  0113 9950000090 247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962"/>
    <n v="5587.33"/>
    <n v="2134.6019000000001"/>
    <n v="11374.67"/>
    <n v="33"/>
  </r>
  <r>
    <x v="2"/>
    <x v="2"/>
    <s v="  0113 9950000090 831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292.10000000000002"/>
    <n v="292.09859999999998"/>
    <n v="287.59859999999998"/>
    <n v="1.4E-3"/>
    <n v="100"/>
  </r>
  <r>
    <x v="2"/>
    <x v="2"/>
    <s v="  0113 9950000320 111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216958.1"/>
    <n v="49072.653100000003"/>
    <n v="16268.4984"/>
    <n v="167885.44690000001"/>
    <n v="23"/>
  </r>
  <r>
    <x v="2"/>
    <x v="2"/>
    <s v="  0113 9950000320 119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65400.7"/>
    <n v="11953.025299999999"/>
    <n v="4729.0631999999996"/>
    <n v="53447.674700000003"/>
    <n v="18"/>
  </r>
  <r>
    <x v="2"/>
    <x v="2"/>
    <s v="  0113 9950000320 244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4394"/>
    <n v="1274.9148"/>
    <n v="582.85609999999997"/>
    <n v="3119.0852"/>
    <n v="29"/>
  </r>
  <r>
    <x v="2"/>
    <x v="2"/>
    <s v="  0113 9950000320 852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0.91700000000000004"/>
    <n v="0"/>
    <n v="2.7829999999999999"/>
    <n v="25"/>
  </r>
  <r>
    <x v="2"/>
    <x v="2"/>
    <s v="  0113 9950000530 611"/>
    <x v="1"/>
    <x v="0"/>
    <s v="13"/>
    <x v="1"/>
    <s v="99"/>
    <x v="0"/>
    <x v="0"/>
    <s v="5"/>
    <s v="Процессная часть перечня мероприятий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1533.600000000006"/>
    <n v="17315.922900000001"/>
    <n v="6529.7992000000004"/>
    <n v="64217.677100000001"/>
    <n v="21"/>
  </r>
  <r>
    <x v="2"/>
    <x v="2"/>
    <s v="  0113 9950001480 244"/>
    <x v="1"/>
    <x v="0"/>
    <s v="13"/>
    <x v="1"/>
    <s v="99"/>
    <x v="0"/>
    <x v="0"/>
    <s v="5"/>
    <s v="Процессная часть перечня мероприятий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6933"/>
    <n v="2186.8789000000002"/>
    <n v="1142.1306999999999"/>
    <n v="4746.1211000000003"/>
    <n v="32"/>
  </r>
  <r>
    <x v="2"/>
    <x v="2"/>
    <s v="  0309 0650090880 244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7193.2"/>
    <n v="2421.1071999999999"/>
    <n v="895.80600000000004"/>
    <n v="4772.0928000000004"/>
    <n v="34"/>
  </r>
  <r>
    <x v="2"/>
    <x v="2"/>
    <s v="  0309 0650090880 247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9131.9"/>
    <n v="0"/>
    <n v="0"/>
    <n v="9131.9"/>
    <n v="0"/>
  </r>
  <r>
    <x v="2"/>
    <x v="2"/>
    <s v="  0309 0650090880 851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7025.2"/>
    <n v="655.77149999999995"/>
    <n v="0"/>
    <n v="6369.4285"/>
    <n v="9"/>
  </r>
  <r>
    <x v="2"/>
    <x v="2"/>
    <s v="  0309 0650090880 853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3"/>
    <s v="Уплата иных платежей"/>
    <s v="Администрация Кировского района Санкт-Петербурга"/>
    <s v="7805059546"/>
    <n v="3050"/>
    <n v="1276.2552000000001"/>
    <n v="957.66759999999999"/>
    <n v="1773.7447999999999"/>
    <n v="42"/>
  </r>
  <r>
    <x v="2"/>
    <x v="2"/>
    <s v="  0309 0650091060 243"/>
    <x v="2"/>
    <x v="1"/>
    <s v="09"/>
    <x v="2"/>
    <s v="06"/>
    <x v="1"/>
    <x v="1"/>
    <s v="5"/>
    <s v="Процессная часть перечня мероприятий государственной программы"/>
    <s v="0650091060"/>
    <s v="Расходы на выполнение мероприятий по обследованию и ремонту защитных сооружений гражданской обороны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33821.9"/>
    <n v="0"/>
    <n v="0"/>
    <n v="33821.9"/>
    <n v="0"/>
  </r>
  <r>
    <x v="2"/>
    <x v="2"/>
    <s v="  0314 0650090690 244"/>
    <x v="3"/>
    <x v="1"/>
    <s v="14"/>
    <x v="3"/>
    <s v="06"/>
    <x v="1"/>
    <x v="1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3.1"/>
    <n v="0"/>
    <n v="0"/>
    <n v="23.1"/>
    <n v="0"/>
  </r>
  <r>
    <x v="2"/>
    <x v="2"/>
    <s v="  0410 0650090810 244"/>
    <x v="4"/>
    <x v="2"/>
    <s v="10"/>
    <x v="4"/>
    <s v="06"/>
    <x v="1"/>
    <x v="1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244"/>
    <s v="Прочая закупка товаров, работ и услуг"/>
    <s v="Администрация Кировского района Санкт-Петербурга"/>
    <s v="7805059546"/>
    <n v="455.4"/>
    <n v="0"/>
    <n v="0"/>
    <n v="455.4"/>
    <n v="0"/>
  </r>
  <r>
    <x v="2"/>
    <x v="2"/>
    <s v="  0410 0650090810 612"/>
    <x v="4"/>
    <x v="2"/>
    <s v="10"/>
    <x v="4"/>
    <s v="06"/>
    <x v="1"/>
    <x v="1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612"/>
    <s v="Субсидии бюджетным учреждениям на иные цели"/>
    <s v="Администрация Кировского района Санкт-Петербурга"/>
    <s v="7805059546"/>
    <n v="36425.800000000003"/>
    <n v="0"/>
    <n v="0"/>
    <n v="36425.800000000003"/>
    <n v="0"/>
  </r>
  <r>
    <x v="2"/>
    <x v="2"/>
    <s v="  0410 9950096170 242"/>
    <x v="4"/>
    <x v="2"/>
    <s v="10"/>
    <x v="4"/>
    <s v="99"/>
    <x v="0"/>
    <x v="0"/>
    <s v="5"/>
    <s v="Процессная часть перечня мероприятий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5651.9"/>
    <n v="804.9896"/>
    <n v="726.08219999999994"/>
    <n v="4846.9103999999998"/>
    <n v="14"/>
  </r>
  <r>
    <x v="2"/>
    <x v="2"/>
    <s v="  0501 0950083380 244"/>
    <x v="5"/>
    <x v="3"/>
    <s v="01"/>
    <x v="5"/>
    <s v="09"/>
    <x v="4"/>
    <x v="4"/>
    <s v="5"/>
    <s v="Процессная часть перечня мероприятий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465.8"/>
    <n v="0"/>
    <n v="0"/>
    <n v="5465.8"/>
    <n v="0"/>
  </r>
  <r>
    <x v="2"/>
    <x v="2"/>
    <s v="  0501 0950083470 244"/>
    <x v="5"/>
    <x v="3"/>
    <s v="01"/>
    <x v="5"/>
    <s v="09"/>
    <x v="4"/>
    <x v="4"/>
    <s v="5"/>
    <s v="Процессная часть перечня мероприятий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35373.199999999997"/>
    <n v="0"/>
    <n v="0"/>
    <n v="35373.199999999997"/>
    <n v="0"/>
  </r>
  <r>
    <x v="2"/>
    <x v="2"/>
    <s v="  0501 0950083480 244"/>
    <x v="5"/>
    <x v="3"/>
    <s v="01"/>
    <x v="5"/>
    <s v="09"/>
    <x v="4"/>
    <x v="4"/>
    <s v="5"/>
    <s v="Процессная часть перечня мероприятий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3442.8"/>
    <n v="66.115799999999993"/>
    <n v="66.115799999999993"/>
    <n v="3376.6842000000001"/>
    <n v="2"/>
  </r>
  <r>
    <x v="2"/>
    <x v="2"/>
    <s v="  0501 0950083480 853"/>
    <x v="5"/>
    <x v="3"/>
    <s v="01"/>
    <x v="5"/>
    <s v="09"/>
    <x v="4"/>
    <x v="4"/>
    <s v="5"/>
    <s v="Процессная часть перечня мероприятий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110377"/>
    <n v="23853.0579"/>
    <n v="22357.4591"/>
    <n v="86523.9421"/>
    <n v="22"/>
  </r>
  <r>
    <x v="2"/>
    <x v="2"/>
    <s v="  0501 0950083490 244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21046"/>
    <n v="1138.7828"/>
    <n v="1087.1666"/>
    <n v="19907.217199999999"/>
    <n v="5"/>
  </r>
  <r>
    <x v="2"/>
    <x v="2"/>
    <s v="  0501 0950083490 247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10536.1"/>
    <n v="908.7722"/>
    <n v="0"/>
    <n v="9627.3277999999991"/>
    <n v="9"/>
  </r>
  <r>
    <x v="2"/>
    <x v="2"/>
    <s v="  0501 0950083490 853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782.6000000000004"/>
    <n v="1388.6953000000001"/>
    <n v="895.18399999999997"/>
    <n v="3393.9047"/>
    <n v="29"/>
  </r>
  <r>
    <x v="2"/>
    <x v="2"/>
    <s v="  0503 105008791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Санкт-Петербурга"/>
    <s v="244"/>
    <s v="Прочая закупка товаров, работ и услуг"/>
    <s v="Администрация Кировского района Санкт-Петербурга"/>
    <s v="7805059546"/>
    <n v="521.20000000000005"/>
    <n v="0"/>
    <n v="0"/>
    <n v="521.20000000000005"/>
    <n v="0"/>
  </r>
  <r>
    <x v="2"/>
    <x v="2"/>
    <s v="  0503 105008793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39330.300000000003"/>
    <n v="3144.8901999999998"/>
    <n v="2113.9684999999999"/>
    <n v="36185.409800000001"/>
    <n v="8"/>
  </r>
  <r>
    <x v="2"/>
    <x v="2"/>
    <s v="  0503 105008827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244"/>
    <s v="Прочая закупка товаров, работ и услуг"/>
    <s v="Администрация Кировского района Санкт-Петербурга"/>
    <s v="7805059546"/>
    <n v="1577.6"/>
    <n v="0"/>
    <n v="0"/>
    <n v="1577.6"/>
    <n v="0"/>
  </r>
  <r>
    <x v="2"/>
    <x v="2"/>
    <s v="  0505 0950083140 111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648619.1"/>
    <n v="147885.6292"/>
    <n v="58005.498800000001"/>
    <n v="500733.47080000001"/>
    <n v="23"/>
  </r>
  <r>
    <x v="2"/>
    <x v="2"/>
    <s v="  0505 0950083140 119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95242.9"/>
    <n v="43919.904199999997"/>
    <n v="11778.9295"/>
    <n v="151322.9958"/>
    <n v="22"/>
  </r>
  <r>
    <x v="2"/>
    <x v="2"/>
    <s v="  0505 0950083140 244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55984.5"/>
    <n v="19977.8442"/>
    <n v="15135.590700000001"/>
    <n v="136006.65580000001"/>
    <n v="13"/>
  </r>
  <r>
    <x v="2"/>
    <x v="2"/>
    <s v="  0505 0950083140 247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8102"/>
    <n v="510.63209999999998"/>
    <n v="393.25119999999998"/>
    <n v="7591.3679000000002"/>
    <n v="6"/>
  </r>
  <r>
    <x v="2"/>
    <x v="2"/>
    <s v="  0505 0950083140 851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83.2"/>
    <n v="0"/>
    <n v="0"/>
    <n v="183.2"/>
    <n v="0"/>
  </r>
  <r>
    <x v="2"/>
    <x v="2"/>
    <s v="  0505 0950083140 852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631.4"/>
    <n v="563.85299999999995"/>
    <n v="50.3"/>
    <n v="67.546999999999997"/>
    <n v="89"/>
  </r>
  <r>
    <x v="2"/>
    <x v="2"/>
    <s v="  0701 0250020010 611"/>
    <x v="8"/>
    <x v="4"/>
    <s v="01"/>
    <x v="8"/>
    <s v="02"/>
    <x v="6"/>
    <x v="6"/>
    <s v="5"/>
    <s v="Процессная часть перечня мероприятий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665542.5999999996"/>
    <n v="1096142.4236000001"/>
    <n v="478043.48859999998"/>
    <n v="4569400.1764000002"/>
    <n v="19"/>
  </r>
  <r>
    <x v="2"/>
    <x v="2"/>
    <s v="  0701 0250020110 612"/>
    <x v="8"/>
    <x v="4"/>
    <s v="01"/>
    <x v="8"/>
    <s v="02"/>
    <x v="6"/>
    <x v="6"/>
    <s v="5"/>
    <s v="Процессная часть перечня мероприятий"/>
    <s v="0250020110"/>
    <s v="Расходы на оснащение образовательных организаций современными средствами обучения и воспитания с целью повышения качества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4200"/>
    <n v="0"/>
    <n v="0"/>
    <n v="4200"/>
    <n v="0"/>
  </r>
  <r>
    <x v="2"/>
    <x v="2"/>
    <s v="  0701 0250021450 612"/>
    <x v="8"/>
    <x v="4"/>
    <s v="01"/>
    <x v="8"/>
    <s v="02"/>
    <x v="6"/>
    <x v="6"/>
    <s v="5"/>
    <s v="Процессная часть перечня мероприятий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9486.7"/>
    <n v="0"/>
    <n v="0"/>
    <n v="19486.7"/>
    <n v="0"/>
  </r>
  <r>
    <x v="2"/>
    <x v="2"/>
    <s v="  0701 0250021760 612"/>
    <x v="8"/>
    <x v="4"/>
    <s v="01"/>
    <x v="8"/>
    <s v="02"/>
    <x v="6"/>
    <x v="6"/>
    <s v="5"/>
    <s v="Процессная часть перечня мероприятий"/>
    <s v="0250021760"/>
    <s v="Расходы на оснащение детских площадок образовательных учреждений, реализующих программы дошкольно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5400"/>
    <n v="0"/>
    <n v="0"/>
    <n v="25400"/>
    <n v="0"/>
  </r>
  <r>
    <x v="2"/>
    <x v="2"/>
    <s v="  0702 021Ю455590 612"/>
    <x v="9"/>
    <x v="4"/>
    <s v="02"/>
    <x v="9"/>
    <s v="02"/>
    <x v="6"/>
    <x v="7"/>
    <s v="1"/>
    <s v="Региональные проекты, входящие в состав национальных проектов"/>
    <s v="021Ю455590"/>
    <s v="Расходы на оснащение предметных кабинетов общеобразовательных организаций средствами обучения и воспитания"/>
    <s v="612"/>
    <s v="Субсидии бюджетным учреждениям на иные цели"/>
    <s v="Администрация Кировского района Санкт-Петербурга"/>
    <s v="7805059546"/>
    <n v="6609.5"/>
    <n v="6609.2078000000001"/>
    <n v="6609.2078000000001"/>
    <n v="0.29220000000000002"/>
    <n v="100"/>
  </r>
  <r>
    <x v="2"/>
    <x v="2"/>
    <s v="  0702 021Ю651790 612"/>
    <x v="9"/>
    <x v="4"/>
    <s v="02"/>
    <x v="9"/>
    <s v="02"/>
    <x v="6"/>
    <x v="7"/>
    <s v="1"/>
    <s v="Региональные проекты, входящие в состав национальных проектов"/>
    <s v="021Ю6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9701.3"/>
    <n v="4924.8942999999999"/>
    <n v="1641.7022999999999"/>
    <n v="14776.405699999999"/>
    <n v="25"/>
  </r>
  <r>
    <x v="2"/>
    <x v="2"/>
    <s v="  0702 021Ю653030 612"/>
    <x v="9"/>
    <x v="4"/>
    <s v="02"/>
    <x v="9"/>
    <s v="02"/>
    <x v="6"/>
    <x v="7"/>
    <s v="1"/>
    <s v="Региональные проекты, входящие в состав национальных проектов"/>
    <s v="021Ю6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98275"/>
    <n v="32789.599999999999"/>
    <n v="24600"/>
    <n v="65485.4"/>
    <n v="33"/>
  </r>
  <r>
    <x v="2"/>
    <x v="2"/>
    <s v="  0702 0250020030 611"/>
    <x v="9"/>
    <x v="4"/>
    <s v="02"/>
    <x v="9"/>
    <s v="02"/>
    <x v="6"/>
    <x v="6"/>
    <s v="5"/>
    <s v="Процессная часть перечня мероприятий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474469.7000000002"/>
    <n v="1216022.5549000001"/>
    <n v="445420.1508"/>
    <n v="4258447.1451000003"/>
    <n v="22"/>
  </r>
  <r>
    <x v="2"/>
    <x v="2"/>
    <s v="  0702 0250020060 611"/>
    <x v="9"/>
    <x v="4"/>
    <s v="02"/>
    <x v="9"/>
    <s v="02"/>
    <x v="6"/>
    <x v="6"/>
    <s v="5"/>
    <s v="Процессная часть перечня мероприятий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013.6"/>
    <n v="35480.6659"/>
    <n v="15747.1747"/>
    <n v="147532.93410000001"/>
    <n v="19"/>
  </r>
  <r>
    <x v="2"/>
    <x v="2"/>
    <s v="  0702 0250020070 611"/>
    <x v="9"/>
    <x v="4"/>
    <s v="02"/>
    <x v="9"/>
    <s v="02"/>
    <x v="6"/>
    <x v="6"/>
    <s v="5"/>
    <s v="Процессная часть перечня мероприятий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8494.399999999994"/>
    <n v="21160.498800000001"/>
    <n v="6574.2809999999999"/>
    <n v="67333.901199999993"/>
    <n v="24"/>
  </r>
  <r>
    <x v="2"/>
    <x v="2"/>
    <s v="  0702 0250020080 631"/>
    <x v="9"/>
    <x v="4"/>
    <s v="02"/>
    <x v="9"/>
    <s v="02"/>
    <x v="6"/>
    <x v="6"/>
    <s v="5"/>
    <s v="Процессная часть перечня мероприятий"/>
    <s v="0250020080"/>
    <s v="Субсидии частным образовательным организациям для реализации основных общеобразовательных программ"/>
    <s v="631"/>
    <s v="Субсидии на возмещение недополученных доходов и (или) возмещение фактически понесенных затрат"/>
    <s v="Администрация Кировского района Санкт-Петербурга"/>
    <s v="7805059546"/>
    <n v="1102.9000000000001"/>
    <n v="0"/>
    <n v="0"/>
    <n v="1102.9000000000001"/>
    <n v="0"/>
  </r>
  <r>
    <x v="2"/>
    <x v="2"/>
    <s v="  0702 0250020090 612"/>
    <x v="9"/>
    <x v="4"/>
    <s v="02"/>
    <x v="9"/>
    <s v="02"/>
    <x v="6"/>
    <x v="6"/>
    <s v="5"/>
    <s v="Процессная часть перечня мероприятий"/>
    <s v="0250020090"/>
    <s v="Расходы на обеспечение книгами и учебными изданиями для комплектования библиотек государственных образовательных учреждений, реализующих образовательные программы начального общего образования, основного общего образования, среднего общего образования, ср"/>
    <s v="612"/>
    <s v="Субсидии бюджетным учреждениям на иные цели"/>
    <s v="Администрация Кировского района Санкт-Петербурга"/>
    <s v="7805059546"/>
    <n v="123977.4"/>
    <n v="0"/>
    <n v="0"/>
    <n v="123977.4"/>
    <n v="0"/>
  </r>
  <r>
    <x v="2"/>
    <x v="2"/>
    <s v="  0702 0250020110 612"/>
    <x v="9"/>
    <x v="4"/>
    <s v="02"/>
    <x v="9"/>
    <s v="02"/>
    <x v="6"/>
    <x v="6"/>
    <s v="5"/>
    <s v="Процессная часть перечня мероприятий"/>
    <s v="0250020110"/>
    <s v="Расходы на оснащение образовательных организаций современными средствами обучения и воспитания с целью повышения качества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23605.9"/>
    <n v="44.14"/>
    <n v="44.14"/>
    <n v="23561.759999999998"/>
    <n v="0"/>
  </r>
  <r>
    <x v="2"/>
    <x v="2"/>
    <s v="  0702 0250020940 612"/>
    <x v="9"/>
    <x v="4"/>
    <s v="02"/>
    <x v="9"/>
    <s v="02"/>
    <x v="6"/>
    <x v="6"/>
    <s v="5"/>
    <s v="Процессная часть перечня мероприятий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15733.1"/>
    <n v="526.04999999999995"/>
    <n v="526.04999999999995"/>
    <n v="115207.05"/>
    <n v="0"/>
  </r>
  <r>
    <x v="2"/>
    <x v="2"/>
    <s v="  0702 0250021450 612"/>
    <x v="9"/>
    <x v="4"/>
    <s v="02"/>
    <x v="9"/>
    <s v="02"/>
    <x v="6"/>
    <x v="6"/>
    <s v="5"/>
    <s v="Процессная часть перечня мероприятий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9599.599999999999"/>
    <n v="0"/>
    <n v="0"/>
    <n v="29599.599999999999"/>
    <n v="0"/>
  </r>
  <r>
    <x v="2"/>
    <x v="2"/>
    <s v="  0702 0250021460 612"/>
    <x v="9"/>
    <x v="4"/>
    <s v="02"/>
    <x v="9"/>
    <s v="02"/>
    <x v="6"/>
    <x v="6"/>
    <s v="5"/>
    <s v="Процессная часть перечня мероприятий"/>
    <s v="0250021460"/>
    <s v="Расходы на реализацию мероприятий проекта по вовлечению учащихся в развитие школьной инфраструктуры"/>
    <s v="612"/>
    <s v="Субсидии бюджетным учреждениям на иные цели"/>
    <s v="Администрация Кировского района Санкт-Петербурга"/>
    <s v="7805059546"/>
    <n v="14900"/>
    <n v="0"/>
    <n v="0"/>
    <n v="14900"/>
    <n v="0"/>
  </r>
  <r>
    <x v="2"/>
    <x v="2"/>
    <s v="  0702 0350040650 612"/>
    <x v="9"/>
    <x v="4"/>
    <s v="02"/>
    <x v="9"/>
    <s v="03"/>
    <x v="7"/>
    <x v="8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340444.3"/>
    <n v="79178.498699999996"/>
    <n v="33512.953000000001"/>
    <n v="261265.80129999999"/>
    <n v="23"/>
  </r>
  <r>
    <x v="2"/>
    <x v="2"/>
    <s v="  0702 03500R3040 612"/>
    <x v="9"/>
    <x v="4"/>
    <s v="02"/>
    <x v="9"/>
    <s v="03"/>
    <x v="7"/>
    <x v="8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88979.20000000001"/>
    <n v="74513.410900000003"/>
    <n v="41694.103000000003"/>
    <n v="114465.78909999999"/>
    <n v="39"/>
  </r>
  <r>
    <x v="2"/>
    <x v="2"/>
    <s v="  0703 0250020300 611"/>
    <x v="10"/>
    <x v="4"/>
    <s v="03"/>
    <x v="10"/>
    <s v="02"/>
    <x v="6"/>
    <x v="6"/>
    <s v="5"/>
    <s v="Процессная часть перечня мероприятий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00340.90000000002"/>
    <n v="55950.7402"/>
    <n v="24189.7595"/>
    <n v="244390.15979999999"/>
    <n v="19"/>
  </r>
  <r>
    <x v="2"/>
    <x v="2"/>
    <s v="  0707 1750078010 611"/>
    <x v="11"/>
    <x v="4"/>
    <s v="07"/>
    <x v="11"/>
    <s v="17"/>
    <x v="3"/>
    <x v="3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41260.4"/>
    <n v="26687.333600000002"/>
    <n v="13273.4602"/>
    <n v="214573.06640000001"/>
    <n v="11"/>
  </r>
  <r>
    <x v="2"/>
    <x v="2"/>
    <s v="  0707 175007856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82757.8"/>
    <n v="0"/>
    <n v="0"/>
    <n v="82757.8"/>
    <n v="0"/>
  </r>
  <r>
    <x v="2"/>
    <x v="2"/>
    <s v="  0707 175007945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724.3"/>
    <n v="0"/>
    <n v="0"/>
    <n v="1724.3"/>
    <n v="0"/>
  </r>
  <r>
    <x v="2"/>
    <x v="2"/>
    <s v="  0707 175007946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23957.3"/>
    <n v="0"/>
    <n v="0"/>
    <n v="23957.3"/>
    <n v="0"/>
  </r>
  <r>
    <x v="2"/>
    <x v="2"/>
    <s v="  0709 021Ю650500 612"/>
    <x v="12"/>
    <x v="4"/>
    <s v="09"/>
    <x v="12"/>
    <s v="02"/>
    <x v="6"/>
    <x v="7"/>
    <s v="1"/>
    <s v="Региональные проекты, входящие в состав национальных проектов"/>
    <s v="021Ю650500"/>
    <s v="Расходы на ежемесячное денежное вознаграждение советникам директоров по воспитанию и взаимодействию с детскими общественными объединениями государственных общеобразовательных организаций, профессиональных образовательных организац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437.3"/>
    <n v="859.28"/>
    <n v="286.39999999999998"/>
    <n v="2578.02"/>
    <n v="25"/>
  </r>
  <r>
    <x v="2"/>
    <x v="2"/>
    <s v="  0709 0250020100 612"/>
    <x v="12"/>
    <x v="4"/>
    <s v="09"/>
    <x v="12"/>
    <s v="02"/>
    <x v="6"/>
    <x v="6"/>
    <s v="5"/>
    <s v="Процессная часть перечня мероприятий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718.3"/>
    <n v="0"/>
    <n v="0"/>
    <n v="1718.3"/>
    <n v="0"/>
  </r>
  <r>
    <x v="2"/>
    <x v="2"/>
    <s v="  0709 0250020370 244"/>
    <x v="12"/>
    <x v="4"/>
    <s v="09"/>
    <x v="12"/>
    <s v="02"/>
    <x v="6"/>
    <x v="6"/>
    <s v="5"/>
    <s v="Процессная часть перечня мероприятий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5084.9"/>
    <n v="0"/>
    <n v="0"/>
    <n v="95084.9"/>
    <n v="0"/>
  </r>
  <r>
    <x v="2"/>
    <x v="2"/>
    <s v="  0709 0250020370 612"/>
    <x v="12"/>
    <x v="4"/>
    <s v="09"/>
    <x v="12"/>
    <s v="02"/>
    <x v="6"/>
    <x v="6"/>
    <s v="5"/>
    <s v="Процессная часть перечня мероприятий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4782.4"/>
    <n v="0"/>
    <n v="0"/>
    <n v="14782.4"/>
    <n v="0"/>
  </r>
  <r>
    <x v="2"/>
    <x v="2"/>
    <s v="  0709 0250020430 611"/>
    <x v="12"/>
    <x v="4"/>
    <s v="09"/>
    <x v="12"/>
    <s v="02"/>
    <x v="6"/>
    <x v="6"/>
    <s v="5"/>
    <s v="Процессная часть перечня мероприятий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6883.7"/>
    <n v="12512.3997"/>
    <n v="4003.9429"/>
    <n v="34371.300300000003"/>
    <n v="27"/>
  </r>
  <r>
    <x v="2"/>
    <x v="2"/>
    <s v="  0709 0250020440 611"/>
    <x v="12"/>
    <x v="4"/>
    <s v="09"/>
    <x v="12"/>
    <s v="02"/>
    <x v="6"/>
    <x v="6"/>
    <s v="5"/>
    <s v="Процессная часть перечня мероприятий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6303.8"/>
    <n v="14689.3632"/>
    <n v="5520.0024000000003"/>
    <n v="51614.436800000003"/>
    <n v="22"/>
  </r>
  <r>
    <x v="2"/>
    <x v="2"/>
    <s v="  0709 0250021190 612"/>
    <x v="12"/>
    <x v="4"/>
    <s v="09"/>
    <x v="12"/>
    <s v="02"/>
    <x v="6"/>
    <x v="6"/>
    <s v="5"/>
    <s v="Процессная часть перечня мероприятий"/>
    <s v="0250021190"/>
    <s v="Расходы на ремонт и оснащение спортивных сооружений (стадионов) государственных образовательных учрежден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5928.5"/>
    <n v="0"/>
    <n v="0"/>
    <n v="5928.5"/>
    <n v="0"/>
  </r>
  <r>
    <x v="2"/>
    <x v="2"/>
    <s v="  0709 0250021770 612"/>
    <x v="12"/>
    <x v="4"/>
    <s v="09"/>
    <x v="12"/>
    <s v="02"/>
    <x v="6"/>
    <x v="6"/>
    <s v="5"/>
    <s v="Процессная часть перечня мероприятий"/>
    <s v="0250021770"/>
    <s v="Расходы на прочие мероприятия в области образования"/>
    <s v="612"/>
    <s v="Субсидии бюджетным учреждениям на иные цели"/>
    <s v="Администрация Кировского района Санкт-Петербурга"/>
    <s v="7805059546"/>
    <n v="7523.1"/>
    <n v="0"/>
    <n v="0"/>
    <n v="7523.1"/>
    <n v="0"/>
  </r>
  <r>
    <x v="2"/>
    <x v="2"/>
    <s v="  0709 1750078650 612"/>
    <x v="12"/>
    <x v="4"/>
    <s v="09"/>
    <x v="12"/>
    <s v="17"/>
    <x v="3"/>
    <x v="3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8"/>
    <n v="8"/>
    <n v="492"/>
    <n v="2"/>
  </r>
  <r>
    <x v="2"/>
    <x v="2"/>
    <s v="  0709 9950003450 244"/>
    <x v="12"/>
    <x v="4"/>
    <s v="09"/>
    <x v="12"/>
    <s v="99"/>
    <x v="0"/>
    <x v="0"/>
    <s v="5"/>
    <s v="Процессная часть перечня мероприятий"/>
    <s v="9950003450"/>
    <s v="Расходы на материальное обеспечение деятельности регионального отделения Движения первых Санкт-Петербурга"/>
    <s v="244"/>
    <s v="Прочая закупка товаров, работ и услуг"/>
    <s v="Администрация Кировского района Санкт-Петербурга"/>
    <s v="7805059546"/>
    <n v="900.4"/>
    <n v="0"/>
    <n v="0"/>
    <n v="900.4"/>
    <n v="0"/>
  </r>
  <r>
    <x v="2"/>
    <x v="2"/>
    <s v="  0709 9950003450 247"/>
    <x v="12"/>
    <x v="4"/>
    <s v="09"/>
    <x v="12"/>
    <s v="99"/>
    <x v="0"/>
    <x v="0"/>
    <s v="5"/>
    <s v="Процессная часть перечня мероприятий"/>
    <s v="9950003450"/>
    <s v="Расходы на материальное обеспечение деятельности регионального отделения Движения первых Санкт-Петербурга"/>
    <s v="247"/>
    <s v="Закупка энергетических ресурсов"/>
    <s v="Администрация Кировского района Санкт-Петербурга"/>
    <s v="7805059546"/>
    <n v="67.400000000000006"/>
    <n v="0"/>
    <n v="0"/>
    <n v="67.400000000000006"/>
    <n v="0"/>
  </r>
  <r>
    <x v="2"/>
    <x v="2"/>
    <s v="  0801 085007008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080"/>
    <s v="Субсидии бюджетным 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63750"/>
    <n v="62069.678099999997"/>
    <n v="27038.427199999998"/>
    <n v="201680.32190000001"/>
    <n v="24"/>
  </r>
  <r>
    <x v="2"/>
    <x v="2"/>
    <s v="  0801 085007009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090"/>
    <s v="Субсидии бюджетным 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93678.1"/>
    <n v="21695.859400000001"/>
    <n v="10413.4367"/>
    <n v="71982.240600000005"/>
    <n v="23"/>
  </r>
  <r>
    <x v="2"/>
    <x v="2"/>
    <s v="  0801 085007017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170"/>
    <s v="Субсидии бюджетным 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07715.20000000001"/>
    <n v="45608.057999999997"/>
    <n v="20130.132399999999"/>
    <n v="162107.14199999999"/>
    <n v="22"/>
  </r>
  <r>
    <x v="2"/>
    <x v="2"/>
    <s v="  0801 085007027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270"/>
    <s v="Субсидии бюджетным 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7050.7"/>
    <n v="20646.161499999998"/>
    <n v="9176.4506000000001"/>
    <n v="66404.538499999995"/>
    <n v="24"/>
  </r>
  <r>
    <x v="2"/>
    <x v="2"/>
    <s v="  0801 0850070470 244"/>
    <x v="13"/>
    <x v="5"/>
    <s v="01"/>
    <x v="13"/>
    <s v="08"/>
    <x v="8"/>
    <x v="9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9529.5"/>
    <n v="1619.0733"/>
    <n v="575.86940000000004"/>
    <n v="7910.4267"/>
    <n v="17"/>
  </r>
  <r>
    <x v="2"/>
    <x v="2"/>
    <s v="  0801 085007047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612"/>
    <s v="Субсидии бюджетным учреждениям на иные цели"/>
    <s v="Администрация Кировского района Санкт-Петербурга"/>
    <s v="7805059546"/>
    <n v="2252"/>
    <n v="0"/>
    <n v="0"/>
    <n v="2252"/>
    <n v="0"/>
  </r>
  <r>
    <x v="2"/>
    <x v="2"/>
    <s v="  0801 085007096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0264.799999999999"/>
    <n v="0"/>
    <n v="0"/>
    <n v="10264.799999999999"/>
    <n v="0"/>
  </r>
  <r>
    <x v="2"/>
    <x v="2"/>
    <s v="  0801 085007161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128.69999999999999"/>
    <n v="0"/>
    <n v="0"/>
    <n v="128.69999999999999"/>
    <n v="0"/>
  </r>
  <r>
    <x v="2"/>
    <x v="2"/>
    <s v="  0804 0850070060 244"/>
    <x v="14"/>
    <x v="5"/>
    <s v="04"/>
    <x v="14"/>
    <s v="08"/>
    <x v="8"/>
    <x v="9"/>
    <s v="5"/>
    <s v="Процессная часть перечня мероприятий государственной программы"/>
    <s v="0850070060"/>
    <s v="Расходы на содержание и ремонт памятников ансамбля «Зеленый пояс Славы»"/>
    <s v="244"/>
    <s v="Прочая закупка товаров, работ и услуг"/>
    <s v="Администрация Кировского района Санкт-Петербурга"/>
    <s v="7805059546"/>
    <n v="16495.3"/>
    <n v="0"/>
    <n v="0"/>
    <n v="16495.3"/>
    <n v="0"/>
  </r>
  <r>
    <x v="2"/>
    <x v="2"/>
    <s v="  0804 0850071320 612"/>
    <x v="14"/>
    <x v="5"/>
    <s v="04"/>
    <x v="14"/>
    <s v="08"/>
    <x v="8"/>
    <x v="9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8766.7000000000007"/>
    <n v="0"/>
    <n v="0"/>
    <n v="8766.7000000000007"/>
    <n v="0"/>
  </r>
  <r>
    <x v="2"/>
    <x v="2"/>
    <s v="  0902 0150010080 611"/>
    <x v="15"/>
    <x v="6"/>
    <s v="02"/>
    <x v="15"/>
    <s v="01"/>
    <x v="9"/>
    <x v="10"/>
    <s v="5"/>
    <s v="Процессная часть перечня мероприятий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62520.5"/>
    <n v="142332.68090000001"/>
    <n v="63927.569100000001"/>
    <n v="520187.81910000002"/>
    <n v="21"/>
  </r>
  <r>
    <x v="2"/>
    <x v="2"/>
    <s v="  0902 0150010080 614"/>
    <x v="15"/>
    <x v="6"/>
    <s v="02"/>
    <x v="15"/>
    <s v="01"/>
    <x v="9"/>
    <x v="10"/>
    <s v="5"/>
    <s v="Процессная часть перечня мероприятий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379.7"/>
    <n v="569.38300000000004"/>
    <n v="334.31029999999998"/>
    <n v="4810.317"/>
    <n v="11"/>
  </r>
  <r>
    <x v="2"/>
    <x v="2"/>
    <s v="  0909 011Д153652 612"/>
    <x v="16"/>
    <x v="6"/>
    <s v="09"/>
    <x v="16"/>
    <s v="01"/>
    <x v="9"/>
    <x v="11"/>
    <s v="1"/>
    <s v="Региональные проекты, входящие в состав национальных проектов"/>
    <s v="011Д1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104471.3"/>
    <n v="75795.346600000004"/>
    <n v="35544.224600000001"/>
    <n v="28675.953399999999"/>
    <n v="73"/>
  </r>
  <r>
    <x v="2"/>
    <x v="2"/>
    <s v="  0909 011Д757520 612"/>
    <x v="16"/>
    <x v="6"/>
    <s v="09"/>
    <x v="16"/>
    <s v="01"/>
    <x v="9"/>
    <x v="11"/>
    <s v="1"/>
    <s v="Региональные проекты, входящие в состав национальных проектов"/>
    <s v="011Д757520"/>
    <s v="Расходы на оснащение (дооснащение и (или) переоснащение) медицинскими изделиями медицинских организаций, имеющих в своей структуре подразделения, оказывающие медицинскую помощь по медицинской реабилитации"/>
    <s v="612"/>
    <s v="Субсидии бюджетным учреждениям на иные цели"/>
    <s v="Администрация Кировского района Санкт-Петербурга"/>
    <s v="7805059546"/>
    <n v="12819.6"/>
    <n v="0"/>
    <n v="0"/>
    <n v="12819.6"/>
    <n v="0"/>
  </r>
  <r>
    <x v="2"/>
    <x v="2"/>
    <s v="  0909 0150010020 612"/>
    <x v="16"/>
    <x v="6"/>
    <s v="09"/>
    <x v="16"/>
    <s v="01"/>
    <x v="9"/>
    <x v="10"/>
    <s v="5"/>
    <s v="Процессная часть перечня мероприятий"/>
    <s v="0150010020"/>
    <s v="Расходы на профилактику инфекционных заболеваний, включая иммунопрофилактику"/>
    <s v="612"/>
    <s v="Субсидии бюджетным учреждениям на иные цели"/>
    <s v="Администрация Кировского района Санкт-Петербурга"/>
    <s v="7805059546"/>
    <n v="34518.6"/>
    <n v="0"/>
    <n v="0"/>
    <n v="34518.6"/>
    <n v="0"/>
  </r>
  <r>
    <x v="2"/>
    <x v="2"/>
    <s v="  0909 0150010100 244"/>
    <x v="16"/>
    <x v="6"/>
    <s v="09"/>
    <x v="16"/>
    <s v="01"/>
    <x v="9"/>
    <x v="10"/>
    <s v="5"/>
    <s v="Процессная часть перечня мероприятий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48.2"/>
    <n v="0"/>
    <n v="0"/>
    <n v="48.2"/>
    <n v="0"/>
  </r>
  <r>
    <x v="2"/>
    <x v="2"/>
    <s v="  0909 0150010520 612"/>
    <x v="16"/>
    <x v="6"/>
    <s v="09"/>
    <x v="16"/>
    <s v="01"/>
    <x v="9"/>
    <x v="10"/>
    <s v="5"/>
    <s v="Процессная часть перечня мероприятий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223871.4"/>
    <n v="10773.652099999999"/>
    <n v="10773.652099999999"/>
    <n v="213097.74789999999"/>
    <n v="5"/>
  </r>
  <r>
    <x v="2"/>
    <x v="2"/>
    <s v="  0909 0150010650 612"/>
    <x v="16"/>
    <x v="6"/>
    <s v="09"/>
    <x v="16"/>
    <s v="01"/>
    <x v="9"/>
    <x v="10"/>
    <s v="5"/>
    <s v="Процессная часть перечня мероприятий"/>
    <s v="0150010650"/>
    <s v="Расходы на приобретение немонтируемого оборудования и инвентаря для оснащения вводных объектов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29779.9"/>
    <n v="0"/>
    <n v="0"/>
    <n v="29779.9"/>
    <n v="0"/>
  </r>
  <r>
    <x v="2"/>
    <x v="2"/>
    <s v="  0909 0150010660 612"/>
    <x v="16"/>
    <x v="6"/>
    <s v="09"/>
    <x v="16"/>
    <s v="01"/>
    <x v="9"/>
    <x v="10"/>
    <s v="5"/>
    <s v="Процессная часть перечня мероприятий"/>
    <s v="0150010660"/>
    <s v="Расходы на обеспечение доступности учреждений здравоохранения для инвалидов и других маломобильных групп населения"/>
    <s v="612"/>
    <s v="Субсидии бюджетным учреждениям на иные цели"/>
    <s v="Администрация Кировского района Санкт-Петербурга"/>
    <s v="7805059546"/>
    <n v="7460.5"/>
    <n v="0"/>
    <n v="0"/>
    <n v="7460.5"/>
    <n v="0"/>
  </r>
  <r>
    <x v="2"/>
    <x v="2"/>
    <s v="  0909 0150010880 612"/>
    <x v="16"/>
    <x v="6"/>
    <s v="09"/>
    <x v="16"/>
    <s v="01"/>
    <x v="9"/>
    <x v="10"/>
    <s v="5"/>
    <s v="Процессная часть перечня мероприятий"/>
    <s v="0150010880"/>
    <s v="Субсидии государственным учреждениям здравоохранения на оказание экстренной медицинской помощи иностранным гражданам и гражданам не идентифицированным и не застрахованным в системе ОМС при заболеваниях, включенных в базовую программу ОМС"/>
    <s v="612"/>
    <s v="Субсидии бюджетным учреждениям на иные цели"/>
    <s v="Администрация Кировского района Санкт-Петербурга"/>
    <s v="7805059546"/>
    <n v="1889.2"/>
    <n v="0"/>
    <n v="0"/>
    <n v="1889.2"/>
    <n v="0"/>
  </r>
  <r>
    <x v="2"/>
    <x v="2"/>
    <s v="  0909 0150011000 612"/>
    <x v="16"/>
    <x v="6"/>
    <s v="09"/>
    <x v="16"/>
    <s v="01"/>
    <x v="9"/>
    <x v="10"/>
    <s v="5"/>
    <s v="Процессная часть перечня мероприятий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45132.3"/>
    <n v="5776.1815999999999"/>
    <n v="3448.7755999999999"/>
    <n v="39356.118399999999"/>
    <n v="13"/>
  </r>
  <r>
    <x v="2"/>
    <x v="2"/>
    <s v="  0909 0150054680 612"/>
    <x v="16"/>
    <x v="6"/>
    <s v="09"/>
    <x v="16"/>
    <s v="01"/>
    <x v="9"/>
    <x v="10"/>
    <s v="5"/>
    <s v="Процессная часть перечня мероприятий"/>
    <s v="01500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113.2"/>
    <n v="0"/>
    <n v="0"/>
    <n v="113.2"/>
    <n v="0"/>
  </r>
  <r>
    <x v="2"/>
    <x v="2"/>
    <s v="  0909 0650090160 612"/>
    <x v="16"/>
    <x v="6"/>
    <s v="09"/>
    <x v="16"/>
    <s v="06"/>
    <x v="1"/>
    <x v="1"/>
    <s v="5"/>
    <s v="Процессная часть перечня мероприятий государственной программы"/>
    <s v="0650090160"/>
    <s v="Расходы на мероприятия по пожарной безопасности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3155.1"/>
    <n v="0"/>
    <n v="0"/>
    <n v="3155.1"/>
    <n v="0"/>
  </r>
  <r>
    <x v="2"/>
    <x v="2"/>
    <s v="  1002 035004046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11289.8"/>
    <n v="49094.681299999997"/>
    <n v="18516.982599999999"/>
    <n v="162195.11869999999"/>
    <n v="23"/>
  </r>
  <r>
    <x v="2"/>
    <x v="2"/>
    <s v="  1002 035004046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21225"/>
    <n v="3352.4490000000001"/>
    <n v="1117.4829999999999"/>
    <n v="17872.550999999999"/>
    <n v="16"/>
  </r>
  <r>
    <x v="2"/>
    <x v="2"/>
    <s v="  1002 035004048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994.2"/>
    <n v="941.89679999999998"/>
    <n v="316.57639999999998"/>
    <n v="3052.3031999999998"/>
    <n v="24"/>
  </r>
  <r>
    <x v="2"/>
    <x v="2"/>
    <s v="  1002 035004048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28356.9"/>
    <n v="31691.429700000001"/>
    <n v="9586.2988999999998"/>
    <n v="96665.470300000001"/>
    <n v="25"/>
  </r>
  <r>
    <x v="2"/>
    <x v="2"/>
    <s v="  1002 035004053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21376.1"/>
    <n v="0"/>
    <n v="0"/>
    <n v="21376.1"/>
    <n v="0"/>
  </r>
  <r>
    <x v="2"/>
    <x v="2"/>
    <s v="  1002 035004063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630"/>
    <s v="Субсидии бюджетным учреждениям - комплексным центрам социального обслуживания населения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0959"/>
    <n v="1608.7141999999999"/>
    <n v="1112.2781"/>
    <n v="9350.2857999999997"/>
    <n v="15"/>
  </r>
  <r>
    <x v="2"/>
    <x v="2"/>
    <s v="  1002 035004063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630"/>
    <s v="Субсидии бюджетным учреждениям - комплексным центрам социального обслуживания населения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3202"/>
    <n v="129431.7577"/>
    <n v="44784.993900000001"/>
    <n v="383770.24229999998"/>
    <n v="25"/>
  </r>
  <r>
    <x v="2"/>
    <x v="2"/>
    <s v="  1002 035004064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541.7"/>
    <n v="796.38750000000005"/>
    <n v="290.31689999999998"/>
    <n v="3745.3125"/>
    <n v="18"/>
  </r>
  <r>
    <x v="2"/>
    <x v="2"/>
    <s v="  1002 035004064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9802"/>
    <n v="13876.019899999999"/>
    <n v="4629.5343999999996"/>
    <n v="45925.980100000001"/>
    <n v="23"/>
  </r>
  <r>
    <x v="2"/>
    <x v="2"/>
    <s v="  1002 035004120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41200"/>
    <s v="Расходы на приобретение немонтируемого оборудования и инвентаря для оснащения вводных объектов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3856.7"/>
    <n v="0"/>
    <n v="0"/>
    <n v="3856.7"/>
    <n v="0"/>
  </r>
  <r>
    <x v="2"/>
    <x v="2"/>
    <s v="  1002 03500R514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R5140"/>
    <s v="Расходы на реализацию мероприятий по формированию системы комплексной реабилитации и абилитации инвалидов, в том числе детей-инвалидов"/>
    <s v="612"/>
    <s v="Субсидии бюджетным учреждениям на иные цели"/>
    <s v="Администрация Кировского района Санкт-Петербурга"/>
    <s v="7805059546"/>
    <n v="2500"/>
    <n v="0"/>
    <n v="0"/>
    <n v="2500"/>
    <n v="0"/>
  </r>
  <r>
    <x v="2"/>
    <x v="2"/>
    <s v="  1003 0350040240 612"/>
    <x v="18"/>
    <x v="7"/>
    <s v="03"/>
    <x v="18"/>
    <s v="03"/>
    <x v="7"/>
    <x v="8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51205.3"/>
    <n v="3338.1469999999999"/>
    <n v="1970.558"/>
    <n v="47867.152999999998"/>
    <n v="7"/>
  </r>
  <r>
    <x v="2"/>
    <x v="2"/>
    <s v="  1004 0950083620 323"/>
    <x v="19"/>
    <x v="7"/>
    <s v="04"/>
    <x v="19"/>
    <s v="09"/>
    <x v="4"/>
    <x v="4"/>
    <s v="5"/>
    <s v="Процессная часть перечня мероприятий"/>
    <s v="0950083620"/>
    <s v="Расходы на предоставление дополнительной меры социальной поддержки по оборудованию предметами первой необходимости жилых помещений специализированного жилищного фонда, предоставляемых детям-сиротам и детям, оставшимся без попечения родителей, лицам из их "/>
    <s v="323"/>
    <s v="Приобретение товаров, работ, услуг в пользу граждан в целях их социального обеспечения"/>
    <s v="Администрация Кировского района Санкт-Петербурга"/>
    <s v="7805059546"/>
    <n v="1328.7"/>
    <n v="0"/>
    <n v="0"/>
    <n v="1328.7"/>
    <n v="0"/>
  </r>
  <r>
    <x v="2"/>
    <x v="2"/>
    <s v="  1101 0450045020 611"/>
    <x v="20"/>
    <x v="8"/>
    <s v="01"/>
    <x v="20"/>
    <s v="04"/>
    <x v="10"/>
    <x v="12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91160.4"/>
    <n v="44685.174899999998"/>
    <n v="18116.5"/>
    <n v="146475.22510000001"/>
    <n v="23"/>
  </r>
  <r>
    <x v="2"/>
    <x v="2"/>
    <s v="  1101 0450045060 612"/>
    <x v="20"/>
    <x v="8"/>
    <s v="01"/>
    <x v="20"/>
    <s v="04"/>
    <x v="10"/>
    <x v="12"/>
    <s v="5"/>
    <s v="Процессная часть перечня мероприятий государственной программы"/>
    <s v="0450045060"/>
    <s v="Расходы на проектирование, ремонт и оснащение оборудованием внутридворовых спортивных площадок для занятий физической культурой и спортом населения"/>
    <s v="612"/>
    <s v="Субсидии бюджетным учреждениям на иные цели"/>
    <s v="Администрация Кировского района Санкт-Петербурга"/>
    <s v="7805059546"/>
    <n v="35508.9"/>
    <n v="0"/>
    <n v="0"/>
    <n v="35508.9"/>
    <n v="0"/>
  </r>
  <r>
    <x v="2"/>
    <x v="2"/>
    <s v="  1102 0450045010 612"/>
    <x v="21"/>
    <x v="8"/>
    <s v="02"/>
    <x v="21"/>
    <s v="04"/>
    <x v="10"/>
    <x v="12"/>
    <s v="5"/>
    <s v="Процессная часть перечня мероприятий государственной программы"/>
    <s v="04500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693.1"/>
    <n v="0"/>
    <n v="0"/>
    <n v="3693.1"/>
    <n v="0"/>
  </r>
  <r>
    <x v="2"/>
    <x v="2"/>
    <s v="  1103 0450045090 611"/>
    <x v="22"/>
    <x v="8"/>
    <s v="03"/>
    <x v="22"/>
    <s v="04"/>
    <x v="10"/>
    <x v="12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56415.3"/>
    <n v="65854.411800000002"/>
    <n v="21389.680700000001"/>
    <n v="290560.88819999999"/>
    <n v="18"/>
  </r>
  <r>
    <x v="3"/>
    <x v="3"/>
    <s v="  0103 9950000060 244"/>
    <x v="0"/>
    <x v="0"/>
    <s v="03"/>
    <x v="0"/>
    <s v="99"/>
    <x v="0"/>
    <x v="0"/>
    <s v="5"/>
    <s v="Процессная часть перечня мероприятий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730.5"/>
    <n v="66.945300000000003"/>
    <n v="29.917200000000001"/>
    <n v="663.55470000000003"/>
    <n v="9"/>
  </r>
  <r>
    <x v="3"/>
    <x v="3"/>
    <s v="  0103 9950000060 247"/>
    <x v="0"/>
    <x v="0"/>
    <s v="03"/>
    <x v="0"/>
    <s v="99"/>
    <x v="0"/>
    <x v="0"/>
    <s v="5"/>
    <s v="Процессная часть перечня мероприятий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32.5"/>
    <n v="10.576499999999999"/>
    <n v="10.373100000000001"/>
    <n v="21.923500000000001"/>
    <n v="33"/>
  </r>
  <r>
    <x v="3"/>
    <x v="3"/>
    <s v="  0113 0650090100 530"/>
    <x v="1"/>
    <x v="0"/>
    <s v="13"/>
    <x v="1"/>
    <s v="06"/>
    <x v="1"/>
    <x v="1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7.2"/>
    <n v="0"/>
    <n v="0"/>
    <n v="67.2"/>
    <n v="0"/>
  </r>
  <r>
    <x v="3"/>
    <x v="3"/>
    <s v="  0113 0650090830 244"/>
    <x v="1"/>
    <x v="0"/>
    <s v="13"/>
    <x v="1"/>
    <s v="06"/>
    <x v="1"/>
    <x v="1"/>
    <s v="5"/>
    <s v="Процессная часть перечня мероприятий государственной программы"/>
    <s v="0650090830"/>
    <s v="Расходы, связанные с изъятием вещей и документов при производстве по делам об административных правонарушениях"/>
    <s v="244"/>
    <s v="Прочая закупка товаров, работ и услуг"/>
    <s v="Администрация Кировского района Санкт-Петербурга"/>
    <s v="7805059546"/>
    <n v="61.9"/>
    <n v="0"/>
    <n v="0"/>
    <n v="61.9"/>
    <n v="0"/>
  </r>
  <r>
    <x v="3"/>
    <x v="3"/>
    <s v="  0113 1650099220 244"/>
    <x v="1"/>
    <x v="0"/>
    <s v="13"/>
    <x v="1"/>
    <s v="16"/>
    <x v="2"/>
    <x v="2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216.9"/>
    <n v="70"/>
    <n v="0"/>
    <n v="146.9"/>
    <n v="32"/>
  </r>
  <r>
    <x v="3"/>
    <x v="3"/>
    <s v="  0113 1750098720 244"/>
    <x v="1"/>
    <x v="0"/>
    <s v="13"/>
    <x v="1"/>
    <s v="17"/>
    <x v="3"/>
    <x v="3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57.5"/>
    <n v="125.4349"/>
    <n v="125.4349"/>
    <n v="432.06509999999997"/>
    <n v="22"/>
  </r>
  <r>
    <x v="3"/>
    <x v="3"/>
    <s v="  0113 9950000090 121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349800.7"/>
    <n v="97485.423699999999"/>
    <n v="24016.340700000001"/>
    <n v="252315.2763"/>
    <n v="28"/>
  </r>
  <r>
    <x v="3"/>
    <x v="3"/>
    <s v="  0113 9950000090 122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40.5"/>
    <n v="4.93"/>
    <n v="0.95099999999999996"/>
    <n v="135.57"/>
    <n v="4"/>
  </r>
  <r>
    <x v="3"/>
    <x v="3"/>
    <s v="  0113 9950000090 129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105260"/>
    <n v="31757.357100000001"/>
    <n v="9253.6846000000005"/>
    <n v="73502.642900000006"/>
    <n v="30"/>
  </r>
  <r>
    <x v="3"/>
    <x v="3"/>
    <s v="  0113 9950000090 242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66.191900000000004"/>
    <n v="66.191900000000004"/>
    <n v="233.8081"/>
    <n v="22"/>
  </r>
  <r>
    <x v="3"/>
    <x v="3"/>
    <s v="  0113 9950000090 243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30943.599999999999"/>
    <n v="0"/>
    <n v="0"/>
    <n v="30943.599999999999"/>
    <n v="0"/>
  </r>
  <r>
    <x v="3"/>
    <x v="3"/>
    <s v="  0113 9950000090 244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69229.7"/>
    <n v="6850.0493999999999"/>
    <n v="3143.1824999999999"/>
    <n v="62379.650600000001"/>
    <n v="10"/>
  </r>
  <r>
    <x v="3"/>
    <x v="3"/>
    <s v="  0113 9950000090 247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962"/>
    <n v="7224.4782999999998"/>
    <n v="1637.1483000000001"/>
    <n v="9737.5216999999993"/>
    <n v="43"/>
  </r>
  <r>
    <x v="3"/>
    <x v="3"/>
    <s v="  0113 9950000090 831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292.10000000000002"/>
    <n v="292.09859999999998"/>
    <n v="0"/>
    <n v="1.4E-3"/>
    <n v="100"/>
  </r>
  <r>
    <x v="3"/>
    <x v="3"/>
    <s v="  0113 9950000320 111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216958.1"/>
    <n v="67965.385500000004"/>
    <n v="18892.732400000001"/>
    <n v="148992.7145"/>
    <n v="31"/>
  </r>
  <r>
    <x v="3"/>
    <x v="3"/>
    <s v="  0113 9950000320 119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65400.7"/>
    <n v="17488.7124"/>
    <n v="5535.6871000000001"/>
    <n v="47911.9876"/>
    <n v="27"/>
  </r>
  <r>
    <x v="3"/>
    <x v="3"/>
    <s v="  0113 9950000320 244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4394"/>
    <n v="1329.9626000000001"/>
    <n v="55.047800000000002"/>
    <n v="3064.0374000000002"/>
    <n v="30"/>
  </r>
  <r>
    <x v="3"/>
    <x v="3"/>
    <s v="  0113 9950000320 852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1.8320000000000001"/>
    <n v="0.91500000000000004"/>
    <n v="1.8680000000000001"/>
    <n v="50"/>
  </r>
  <r>
    <x v="3"/>
    <x v="3"/>
    <s v="  0113 9950000530 611"/>
    <x v="1"/>
    <x v="0"/>
    <s v="13"/>
    <x v="1"/>
    <s v="99"/>
    <x v="0"/>
    <x v="0"/>
    <s v="5"/>
    <s v="Процессная часть перечня мероприятий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1533.600000000006"/>
    <n v="24000.6564"/>
    <n v="6684.7335000000003"/>
    <n v="57532.943599999999"/>
    <n v="29"/>
  </r>
  <r>
    <x v="3"/>
    <x v="3"/>
    <s v="  0113 9950001480 244"/>
    <x v="1"/>
    <x v="0"/>
    <s v="13"/>
    <x v="1"/>
    <s v="99"/>
    <x v="0"/>
    <x v="0"/>
    <s v="5"/>
    <s v="Процессная часть перечня мероприятий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6933"/>
    <n v="2624.8877000000002"/>
    <n v="438.00880000000001"/>
    <n v="4308.1122999999998"/>
    <n v="38"/>
  </r>
  <r>
    <x v="3"/>
    <x v="3"/>
    <s v="  0309 0650090880 244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7193.2"/>
    <n v="4457.1422000000002"/>
    <n v="2036.0350000000001"/>
    <n v="2736.0578"/>
    <n v="62"/>
  </r>
  <r>
    <x v="3"/>
    <x v="3"/>
    <s v="  0309 0650090880 247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9131.9"/>
    <n v="2242.3825000000002"/>
    <n v="2242.3825000000002"/>
    <n v="6889.5174999999999"/>
    <n v="25"/>
  </r>
  <r>
    <x v="3"/>
    <x v="3"/>
    <s v="  0309 0650090880 851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7025.2"/>
    <n v="3137.4485"/>
    <n v="2481.6770000000001"/>
    <n v="3887.7514999999999"/>
    <n v="45"/>
  </r>
  <r>
    <x v="3"/>
    <x v="3"/>
    <s v="  0309 0650090880 853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3"/>
    <s v="Уплата иных платежей"/>
    <s v="Администрация Кировского района Санкт-Петербурга"/>
    <s v="7805059546"/>
    <n v="3050"/>
    <n v="1276.2552000000001"/>
    <n v="0"/>
    <n v="1773.7447999999999"/>
    <n v="42"/>
  </r>
  <r>
    <x v="3"/>
    <x v="3"/>
    <s v="  0309 0650091060 243"/>
    <x v="2"/>
    <x v="1"/>
    <s v="09"/>
    <x v="2"/>
    <s v="06"/>
    <x v="1"/>
    <x v="1"/>
    <s v="5"/>
    <s v="Процессная часть перечня мероприятий государственной программы"/>
    <s v="0650091060"/>
    <s v="Расходы на выполнение мероприятий по обследованию и ремонту защитных сооружений гражданской обороны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33821.9"/>
    <n v="0"/>
    <n v="0"/>
    <n v="33821.9"/>
    <n v="0"/>
  </r>
  <r>
    <x v="3"/>
    <x v="3"/>
    <s v="  0314 0650090690 244"/>
    <x v="3"/>
    <x v="1"/>
    <s v="14"/>
    <x v="3"/>
    <s v="06"/>
    <x v="1"/>
    <x v="1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3.1"/>
    <n v="0"/>
    <n v="0"/>
    <n v="23.1"/>
    <n v="0"/>
  </r>
  <r>
    <x v="3"/>
    <x v="3"/>
    <s v="  0410 0650090810 244"/>
    <x v="4"/>
    <x v="2"/>
    <s v="10"/>
    <x v="4"/>
    <s v="06"/>
    <x v="1"/>
    <x v="1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244"/>
    <s v="Прочая закупка товаров, работ и услуг"/>
    <s v="Администрация Кировского района Санкт-Петербурга"/>
    <s v="7805059546"/>
    <n v="455.4"/>
    <n v="0"/>
    <n v="0"/>
    <n v="455.4"/>
    <n v="0"/>
  </r>
  <r>
    <x v="3"/>
    <x v="3"/>
    <s v="  0410 0650090810 612"/>
    <x v="4"/>
    <x v="2"/>
    <s v="10"/>
    <x v="4"/>
    <s v="06"/>
    <x v="1"/>
    <x v="1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612"/>
    <s v="Субсидии бюджетным учреждениям на иные цели"/>
    <s v="Администрация Кировского района Санкт-Петербурга"/>
    <s v="7805059546"/>
    <n v="36425.800000000003"/>
    <n v="0"/>
    <n v="0"/>
    <n v="36425.800000000003"/>
    <n v="0"/>
  </r>
  <r>
    <x v="3"/>
    <x v="3"/>
    <s v="  0410 9950096170 242"/>
    <x v="4"/>
    <x v="2"/>
    <s v="10"/>
    <x v="4"/>
    <s v="99"/>
    <x v="0"/>
    <x v="0"/>
    <s v="5"/>
    <s v="Процессная часть перечня мероприятий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5651.9"/>
    <n v="930.10730000000001"/>
    <n v="125.1177"/>
    <n v="4721.7927"/>
    <n v="16"/>
  </r>
  <r>
    <x v="3"/>
    <x v="3"/>
    <s v="  0501 0950083380 244"/>
    <x v="5"/>
    <x v="3"/>
    <s v="01"/>
    <x v="5"/>
    <s v="09"/>
    <x v="4"/>
    <x v="4"/>
    <s v="5"/>
    <s v="Процессная часть перечня мероприятий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465.8"/>
    <n v="0"/>
    <n v="0"/>
    <n v="5465.8"/>
    <n v="0"/>
  </r>
  <r>
    <x v="3"/>
    <x v="3"/>
    <s v="  0501 0950083470 244"/>
    <x v="5"/>
    <x v="3"/>
    <s v="01"/>
    <x v="5"/>
    <s v="09"/>
    <x v="4"/>
    <x v="4"/>
    <s v="5"/>
    <s v="Процессная часть перечня мероприятий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35373.199999999997"/>
    <n v="0"/>
    <n v="0"/>
    <n v="35373.199999999997"/>
    <n v="0"/>
  </r>
  <r>
    <x v="3"/>
    <x v="3"/>
    <s v="  0501 0950083480 244"/>
    <x v="5"/>
    <x v="3"/>
    <s v="01"/>
    <x v="5"/>
    <s v="09"/>
    <x v="4"/>
    <x v="4"/>
    <s v="5"/>
    <s v="Процессная часть перечня мероприятий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3442.8"/>
    <n v="78.325100000000006"/>
    <n v="12.209300000000001"/>
    <n v="3364.4749000000002"/>
    <n v="2"/>
  </r>
  <r>
    <x v="3"/>
    <x v="3"/>
    <s v="  0501 0950083480 853"/>
    <x v="5"/>
    <x v="3"/>
    <s v="01"/>
    <x v="5"/>
    <s v="09"/>
    <x v="4"/>
    <x v="4"/>
    <s v="5"/>
    <s v="Процессная часть перечня мероприятий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110377"/>
    <n v="27880.302500000002"/>
    <n v="4027.2446"/>
    <n v="82496.697499999995"/>
    <n v="25"/>
  </r>
  <r>
    <x v="3"/>
    <x v="3"/>
    <s v="  0501 0950083490 244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21046"/>
    <n v="2438.4135000000001"/>
    <n v="1299.6306999999999"/>
    <n v="18607.586500000001"/>
    <n v="12"/>
  </r>
  <r>
    <x v="3"/>
    <x v="3"/>
    <s v="  0501 0950083490 247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10536.1"/>
    <n v="1664.7104999999999"/>
    <n v="755.93830000000003"/>
    <n v="8871.3894999999993"/>
    <n v="16"/>
  </r>
  <r>
    <x v="3"/>
    <x v="3"/>
    <s v="  0501 0950083490 853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782.6000000000004"/>
    <n v="1388.6953000000001"/>
    <n v="0"/>
    <n v="3393.9047"/>
    <n v="29"/>
  </r>
  <r>
    <x v="3"/>
    <x v="3"/>
    <s v="  0503 105008791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Санкт-Петербурга"/>
    <s v="244"/>
    <s v="Прочая закупка товаров, работ и услуг"/>
    <s v="Администрация Кировского района Санкт-Петербурга"/>
    <s v="7805059546"/>
    <n v="694"/>
    <n v="0"/>
    <n v="0"/>
    <n v="694"/>
    <n v="0"/>
  </r>
  <r>
    <x v="3"/>
    <x v="3"/>
    <s v="  0503 105008793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39330.300000000003"/>
    <n v="4672.0141000000003"/>
    <n v="1527.1239"/>
    <n v="34658.285900000003"/>
    <n v="12"/>
  </r>
  <r>
    <x v="3"/>
    <x v="3"/>
    <s v="  0503 105008827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244"/>
    <s v="Прочая закупка товаров, работ и услуг"/>
    <s v="Администрация Кировского района Санкт-Петербурга"/>
    <s v="7805059546"/>
    <n v="8650"/>
    <n v="7072.3534"/>
    <n v="7072.3534"/>
    <n v="1577.6466"/>
    <n v="82"/>
  </r>
  <r>
    <x v="3"/>
    <x v="3"/>
    <s v="  0505 0950083140 111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643187.1"/>
    <n v="197068.31630000001"/>
    <n v="49182.687100000003"/>
    <n v="446118.78370000003"/>
    <n v="31"/>
  </r>
  <r>
    <x v="3"/>
    <x v="3"/>
    <s v="  0505 0950083140 119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93602.5"/>
    <n v="61217.019"/>
    <n v="17297.114799999999"/>
    <n v="132385.481"/>
    <n v="32"/>
  </r>
  <r>
    <x v="3"/>
    <x v="3"/>
    <s v="  0505 0950083140 244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55984.5"/>
    <n v="27522.064600000002"/>
    <n v="7544.2204000000002"/>
    <n v="128462.4354"/>
    <n v="18"/>
  </r>
  <r>
    <x v="3"/>
    <x v="3"/>
    <s v="  0505 0950083140 247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8102"/>
    <n v="1804.5891999999999"/>
    <n v="1293.9571000000001"/>
    <n v="6297.4107999999997"/>
    <n v="22"/>
  </r>
  <r>
    <x v="3"/>
    <x v="3"/>
    <s v="  0505 0950083140 851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83.2"/>
    <n v="44.75"/>
    <n v="44.75"/>
    <n v="138.44999999999999"/>
    <n v="24"/>
  </r>
  <r>
    <x v="3"/>
    <x v="3"/>
    <s v="  0505 0950083140 852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631.4"/>
    <n v="608.16399999999999"/>
    <n v="44.311"/>
    <n v="23.236000000000001"/>
    <n v="96"/>
  </r>
  <r>
    <x v="3"/>
    <x v="3"/>
    <s v="  0701 0250020010 611"/>
    <x v="8"/>
    <x v="4"/>
    <s v="01"/>
    <x v="8"/>
    <s v="02"/>
    <x v="6"/>
    <x v="6"/>
    <s v="5"/>
    <s v="Процессная часть перечня мероприятий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665542.5999999996"/>
    <n v="1510730.3892999999"/>
    <n v="414587.9657"/>
    <n v="4154812.2107000002"/>
    <n v="27"/>
  </r>
  <r>
    <x v="3"/>
    <x v="3"/>
    <s v="  0701 0250020110 612"/>
    <x v="8"/>
    <x v="4"/>
    <s v="01"/>
    <x v="8"/>
    <s v="02"/>
    <x v="6"/>
    <x v="6"/>
    <s v="5"/>
    <s v="Процессная часть перечня мероприятий"/>
    <s v="0250020110"/>
    <s v="Расходы на оснащение образовательных организаций современными средствами обучения и воспитания с целью повышения качества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4200"/>
    <n v="0"/>
    <n v="0"/>
    <n v="4200"/>
    <n v="0"/>
  </r>
  <r>
    <x v="3"/>
    <x v="3"/>
    <s v="  0701 0250021450 612"/>
    <x v="8"/>
    <x v="4"/>
    <s v="01"/>
    <x v="8"/>
    <s v="02"/>
    <x v="6"/>
    <x v="6"/>
    <s v="5"/>
    <s v="Процессная часть перечня мероприятий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9486.7"/>
    <n v="1380.6614"/>
    <n v="1380.6614"/>
    <n v="18106.0386"/>
    <n v="7"/>
  </r>
  <r>
    <x v="3"/>
    <x v="3"/>
    <s v="  0701 0250021760 612"/>
    <x v="8"/>
    <x v="4"/>
    <s v="01"/>
    <x v="8"/>
    <s v="02"/>
    <x v="6"/>
    <x v="6"/>
    <s v="5"/>
    <s v="Процессная часть перечня мероприятий"/>
    <s v="0250021760"/>
    <s v="Расходы на оснащение детских площадок образовательных учреждений, реализующих программы дошкольно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5400"/>
    <n v="0"/>
    <n v="0"/>
    <n v="25400"/>
    <n v="0"/>
  </r>
  <r>
    <x v="3"/>
    <x v="3"/>
    <s v="  0702 021Ю455590 612"/>
    <x v="9"/>
    <x v="4"/>
    <s v="02"/>
    <x v="9"/>
    <s v="02"/>
    <x v="6"/>
    <x v="7"/>
    <s v="1"/>
    <s v="Региональные проекты, входящие в состав национальных проектов"/>
    <s v="021Ю455590"/>
    <s v="Расходы на оснащение предметных кабинетов общеобразовательных организаций средствами обучения и воспитания"/>
    <s v="612"/>
    <s v="Субсидии бюджетным учреждениям на иные цели"/>
    <s v="Администрация Кировского района Санкт-Петербурга"/>
    <s v="7805059546"/>
    <n v="6609.5"/>
    <n v="6609.2078000000001"/>
    <n v="0"/>
    <n v="0.29220000000000002"/>
    <n v="100"/>
  </r>
  <r>
    <x v="3"/>
    <x v="3"/>
    <s v="  0702 021Ю651790 612"/>
    <x v="9"/>
    <x v="4"/>
    <s v="02"/>
    <x v="9"/>
    <s v="02"/>
    <x v="6"/>
    <x v="7"/>
    <s v="1"/>
    <s v="Региональные проекты, входящие в состав национальных проектов"/>
    <s v="021Ю6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9701.3"/>
    <n v="6566.5967000000001"/>
    <n v="1641.7023999999999"/>
    <n v="13134.703299999999"/>
    <n v="33"/>
  </r>
  <r>
    <x v="3"/>
    <x v="3"/>
    <s v="  0702 021Ю653030 612"/>
    <x v="9"/>
    <x v="4"/>
    <s v="02"/>
    <x v="9"/>
    <s v="02"/>
    <x v="6"/>
    <x v="7"/>
    <s v="1"/>
    <s v="Региональные проекты, входящие в состав национальных проектов"/>
    <s v="021Ю6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98275"/>
    <n v="36561.836000000003"/>
    <n v="3772.2359999999999"/>
    <n v="61713.163999999997"/>
    <n v="37"/>
  </r>
  <r>
    <x v="3"/>
    <x v="3"/>
    <s v="  0702 0250020030 611"/>
    <x v="9"/>
    <x v="4"/>
    <s v="02"/>
    <x v="9"/>
    <s v="02"/>
    <x v="6"/>
    <x v="6"/>
    <s v="5"/>
    <s v="Процессная часть перечня мероприятий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474469.7000000002"/>
    <n v="1626416.4072"/>
    <n v="410393.85230000003"/>
    <n v="3848053.2927999999"/>
    <n v="30"/>
  </r>
  <r>
    <x v="3"/>
    <x v="3"/>
    <s v="  0702 0250020060 611"/>
    <x v="9"/>
    <x v="4"/>
    <s v="02"/>
    <x v="9"/>
    <s v="02"/>
    <x v="6"/>
    <x v="6"/>
    <s v="5"/>
    <s v="Процессная часть перечня мероприятий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013.6"/>
    <n v="47880.3508"/>
    <n v="12399.6849"/>
    <n v="135133.24919999999"/>
    <n v="26"/>
  </r>
  <r>
    <x v="3"/>
    <x v="3"/>
    <s v="  0702 0250020070 611"/>
    <x v="9"/>
    <x v="4"/>
    <s v="02"/>
    <x v="9"/>
    <s v="02"/>
    <x v="6"/>
    <x v="6"/>
    <s v="5"/>
    <s v="Процессная часть перечня мероприятий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8494.399999999994"/>
    <n v="28181.246500000001"/>
    <n v="7020.7476999999999"/>
    <n v="60313.1535"/>
    <n v="32"/>
  </r>
  <r>
    <x v="3"/>
    <x v="3"/>
    <s v="  0702 0250020080 631"/>
    <x v="9"/>
    <x v="4"/>
    <s v="02"/>
    <x v="9"/>
    <s v="02"/>
    <x v="6"/>
    <x v="6"/>
    <s v="5"/>
    <s v="Процессная часть перечня мероприятий"/>
    <s v="0250020080"/>
    <s v="Субсидии частным образовательным организациям для реализации основных общеобразовательных программ"/>
    <s v="631"/>
    <s v="Субсидии на возмещение недополученных доходов и (или) возмещение фактически понесенных затрат"/>
    <s v="Администрация Кировского района Санкт-Петербурга"/>
    <s v="7805059546"/>
    <n v="1102.9000000000001"/>
    <n v="0"/>
    <n v="0"/>
    <n v="1102.9000000000001"/>
    <n v="0"/>
  </r>
  <r>
    <x v="3"/>
    <x v="3"/>
    <s v="  0702 0250020090 612"/>
    <x v="9"/>
    <x v="4"/>
    <s v="02"/>
    <x v="9"/>
    <s v="02"/>
    <x v="6"/>
    <x v="6"/>
    <s v="5"/>
    <s v="Процессная часть перечня мероприятий"/>
    <s v="0250020090"/>
    <s v="Расходы на обеспечение книгами и учебными изданиями для комплектования библиотек государственных образовательных учреждений, реализующих образовательные программы начального общего образования, основного общего образования, среднего общего образования, ср"/>
    <s v="612"/>
    <s v="Субсидии бюджетным учреждениям на иные цели"/>
    <s v="Администрация Кировского района Санкт-Петербурга"/>
    <s v="7805059546"/>
    <n v="123977.4"/>
    <n v="25389.365300000001"/>
    <n v="25389.365300000001"/>
    <n v="98588.034700000004"/>
    <n v="20"/>
  </r>
  <r>
    <x v="3"/>
    <x v="3"/>
    <s v="  0702 0250020110 612"/>
    <x v="9"/>
    <x v="4"/>
    <s v="02"/>
    <x v="9"/>
    <s v="02"/>
    <x v="6"/>
    <x v="6"/>
    <s v="5"/>
    <s v="Процессная часть перечня мероприятий"/>
    <s v="0250020110"/>
    <s v="Расходы на оснащение образовательных организаций современными средствами обучения и воспитания с целью повышения качества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23605.9"/>
    <n v="3167.6118999999999"/>
    <n v="3123.4719"/>
    <n v="20438.288100000002"/>
    <n v="13"/>
  </r>
  <r>
    <x v="3"/>
    <x v="3"/>
    <s v="  0702 0250020940 612"/>
    <x v="9"/>
    <x v="4"/>
    <s v="02"/>
    <x v="9"/>
    <s v="02"/>
    <x v="6"/>
    <x v="6"/>
    <s v="5"/>
    <s v="Процессная часть перечня мероприятий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15733.1"/>
    <n v="526.04999999999995"/>
    <n v="0"/>
    <n v="115207.05"/>
    <n v="0"/>
  </r>
  <r>
    <x v="3"/>
    <x v="3"/>
    <s v="  0702 0250021450 612"/>
    <x v="9"/>
    <x v="4"/>
    <s v="02"/>
    <x v="9"/>
    <s v="02"/>
    <x v="6"/>
    <x v="6"/>
    <s v="5"/>
    <s v="Процессная часть перечня мероприятий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9599.599999999999"/>
    <n v="385.70589999999999"/>
    <n v="385.70589999999999"/>
    <n v="29213.894100000001"/>
    <n v="1"/>
  </r>
  <r>
    <x v="3"/>
    <x v="3"/>
    <s v="  0702 0250021460 612"/>
    <x v="9"/>
    <x v="4"/>
    <s v="02"/>
    <x v="9"/>
    <s v="02"/>
    <x v="6"/>
    <x v="6"/>
    <s v="5"/>
    <s v="Процессная часть перечня мероприятий"/>
    <s v="0250021460"/>
    <s v="Расходы на реализацию мероприятий проекта по вовлечению учащихся в развитие школьной инфраструктуры"/>
    <s v="612"/>
    <s v="Субсидии бюджетным учреждениям на иные цели"/>
    <s v="Администрация Кировского района Санкт-Петербурга"/>
    <s v="7805059546"/>
    <n v="14900"/>
    <n v="0"/>
    <n v="0"/>
    <n v="14900"/>
    <n v="0"/>
  </r>
  <r>
    <x v="3"/>
    <x v="3"/>
    <s v="  0702 0350040650 612"/>
    <x v="9"/>
    <x v="4"/>
    <s v="02"/>
    <x v="9"/>
    <s v="03"/>
    <x v="7"/>
    <x v="8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340444.3"/>
    <n v="104609.6767"/>
    <n v="25431.178"/>
    <n v="235834.62330000001"/>
    <n v="31"/>
  </r>
  <r>
    <x v="3"/>
    <x v="3"/>
    <s v="  0702 03500R3040 612"/>
    <x v="9"/>
    <x v="4"/>
    <s v="02"/>
    <x v="9"/>
    <s v="03"/>
    <x v="7"/>
    <x v="8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88979.20000000001"/>
    <n v="87537.7353"/>
    <n v="13024.3244"/>
    <n v="101441.4647"/>
    <n v="46"/>
  </r>
  <r>
    <x v="3"/>
    <x v="3"/>
    <s v="  0703 0250020300 611"/>
    <x v="10"/>
    <x v="4"/>
    <s v="03"/>
    <x v="10"/>
    <s v="02"/>
    <x v="6"/>
    <x v="6"/>
    <s v="5"/>
    <s v="Процессная часть перечня мероприятий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00340.90000000002"/>
    <n v="82617.821599999996"/>
    <n v="26667.081399999999"/>
    <n v="217723.0784"/>
    <n v="28"/>
  </r>
  <r>
    <x v="3"/>
    <x v="3"/>
    <s v="  0707 1750078010 611"/>
    <x v="11"/>
    <x v="4"/>
    <s v="07"/>
    <x v="11"/>
    <s v="17"/>
    <x v="3"/>
    <x v="3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41260.4"/>
    <n v="42048.339899999999"/>
    <n v="15361.006299999999"/>
    <n v="199212.0601"/>
    <n v="17"/>
  </r>
  <r>
    <x v="3"/>
    <x v="3"/>
    <s v="  0707 175007856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82757.8"/>
    <n v="0"/>
    <n v="0"/>
    <n v="82757.8"/>
    <n v="0"/>
  </r>
  <r>
    <x v="3"/>
    <x v="3"/>
    <s v="  0707 175007945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724.3"/>
    <n v="0"/>
    <n v="0"/>
    <n v="1724.3"/>
    <n v="0"/>
  </r>
  <r>
    <x v="3"/>
    <x v="3"/>
    <s v="  0707 175007946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23957.3"/>
    <n v="0"/>
    <n v="0"/>
    <n v="23957.3"/>
    <n v="0"/>
  </r>
  <r>
    <x v="3"/>
    <x v="3"/>
    <s v="  0709 021Ю650500 612"/>
    <x v="12"/>
    <x v="4"/>
    <s v="09"/>
    <x v="12"/>
    <s v="02"/>
    <x v="6"/>
    <x v="7"/>
    <s v="1"/>
    <s v="Региональные проекты, входящие в состав национальных проектов"/>
    <s v="021Ю650500"/>
    <s v="Расходы на ежемесячное денежное вознаграждение советникам директоров по воспитанию и взаимодействию с детскими общественными объединениями государственных общеобразовательных организаций, профессиональных образовательных организац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437.3"/>
    <n v="1145.68"/>
    <n v="286.39999999999998"/>
    <n v="2291.62"/>
    <n v="33"/>
  </r>
  <r>
    <x v="3"/>
    <x v="3"/>
    <s v="  0709 0250020100 612"/>
    <x v="12"/>
    <x v="4"/>
    <s v="09"/>
    <x v="12"/>
    <s v="02"/>
    <x v="6"/>
    <x v="6"/>
    <s v="5"/>
    <s v="Процессная часть перечня мероприятий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718.3"/>
    <n v="1718.3"/>
    <n v="1718.3"/>
    <n v="0"/>
    <n v="100"/>
  </r>
  <r>
    <x v="3"/>
    <x v="3"/>
    <s v="  0709 0250020370 244"/>
    <x v="12"/>
    <x v="4"/>
    <s v="09"/>
    <x v="12"/>
    <s v="02"/>
    <x v="6"/>
    <x v="6"/>
    <s v="5"/>
    <s v="Процессная часть перечня мероприятий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5084.9"/>
    <n v="2447.6"/>
    <n v="2447.6"/>
    <n v="92637.3"/>
    <n v="3"/>
  </r>
  <r>
    <x v="3"/>
    <x v="3"/>
    <s v="  0709 0250020370 612"/>
    <x v="12"/>
    <x v="4"/>
    <s v="09"/>
    <x v="12"/>
    <s v="02"/>
    <x v="6"/>
    <x v="6"/>
    <s v="5"/>
    <s v="Процессная часть перечня мероприятий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4782.4"/>
    <n v="241.25409999999999"/>
    <n v="241.25409999999999"/>
    <n v="14541.1459"/>
    <n v="2"/>
  </r>
  <r>
    <x v="3"/>
    <x v="3"/>
    <s v="  0709 0250020430 611"/>
    <x v="12"/>
    <x v="4"/>
    <s v="09"/>
    <x v="12"/>
    <s v="02"/>
    <x v="6"/>
    <x v="6"/>
    <s v="5"/>
    <s v="Процессная часть перечня мероприятий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6883.7"/>
    <n v="16432.6315"/>
    <n v="3920.2318"/>
    <n v="30451.068500000001"/>
    <n v="35"/>
  </r>
  <r>
    <x v="3"/>
    <x v="3"/>
    <s v="  0709 0250020440 611"/>
    <x v="12"/>
    <x v="4"/>
    <s v="09"/>
    <x v="12"/>
    <s v="02"/>
    <x v="6"/>
    <x v="6"/>
    <s v="5"/>
    <s v="Процессная часть перечня мероприятий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6303.8"/>
    <n v="21020.1204"/>
    <n v="6330.7572"/>
    <n v="45283.679600000003"/>
    <n v="32"/>
  </r>
  <r>
    <x v="3"/>
    <x v="3"/>
    <s v="  0709 0250021090 612"/>
    <x v="12"/>
    <x v="4"/>
    <s v="09"/>
    <x v="12"/>
    <s v="02"/>
    <x v="6"/>
    <x v="6"/>
    <s v="5"/>
    <s v="Процессная часть перечня мероприятий"/>
    <s v="0250021090"/>
    <s v="Расходы на подготовку и проведение государственной итоговой аттестации по образовательным программам основного общего и среднего обще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1095.5"/>
    <n v="0"/>
    <n v="0"/>
    <n v="21095.5"/>
    <n v="0"/>
  </r>
  <r>
    <x v="3"/>
    <x v="3"/>
    <s v="  0709 0250021190 612"/>
    <x v="12"/>
    <x v="4"/>
    <s v="09"/>
    <x v="12"/>
    <s v="02"/>
    <x v="6"/>
    <x v="6"/>
    <s v="5"/>
    <s v="Процессная часть перечня мероприятий"/>
    <s v="0250021190"/>
    <s v="Расходы на ремонт и оснащение спортивных сооружений (стадионов) государственных образовательных учрежден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5928.5"/>
    <n v="0"/>
    <n v="0"/>
    <n v="5928.5"/>
    <n v="0"/>
  </r>
  <r>
    <x v="3"/>
    <x v="3"/>
    <s v="  0709 0250021770 612"/>
    <x v="12"/>
    <x v="4"/>
    <s v="09"/>
    <x v="12"/>
    <s v="02"/>
    <x v="6"/>
    <x v="6"/>
    <s v="5"/>
    <s v="Процессная часть перечня мероприятий"/>
    <s v="0250021770"/>
    <s v="Расходы на прочие мероприятия в области образования"/>
    <s v="612"/>
    <s v="Субсидии бюджетным учреждениям на иные цели"/>
    <s v="Администрация Кировского района Санкт-Петербурга"/>
    <s v="7805059546"/>
    <n v="7523.1"/>
    <n v="0"/>
    <n v="0"/>
    <n v="7523.1"/>
    <n v="0"/>
  </r>
  <r>
    <x v="3"/>
    <x v="3"/>
    <s v="  0709 1750078650 612"/>
    <x v="12"/>
    <x v="4"/>
    <s v="09"/>
    <x v="12"/>
    <s v="17"/>
    <x v="3"/>
    <x v="3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40"/>
    <n v="32"/>
    <n v="460"/>
    <n v="8"/>
  </r>
  <r>
    <x v="3"/>
    <x v="3"/>
    <s v="  0709 9950003450 244"/>
    <x v="12"/>
    <x v="4"/>
    <s v="09"/>
    <x v="12"/>
    <s v="99"/>
    <x v="0"/>
    <x v="0"/>
    <s v="5"/>
    <s v="Процессная часть перечня мероприятий"/>
    <s v="9950003450"/>
    <s v="Расходы на материальное обеспечение деятельности регионального отделения Движения первых Санкт-Петербурга"/>
    <s v="244"/>
    <s v="Прочая закупка товаров, работ и услуг"/>
    <s v="Администрация Кировского района Санкт-Петербурга"/>
    <s v="7805059546"/>
    <n v="900.4"/>
    <n v="0"/>
    <n v="0"/>
    <n v="900.4"/>
    <n v="0"/>
  </r>
  <r>
    <x v="3"/>
    <x v="3"/>
    <s v="  0709 9950003450 247"/>
    <x v="12"/>
    <x v="4"/>
    <s v="09"/>
    <x v="12"/>
    <s v="99"/>
    <x v="0"/>
    <x v="0"/>
    <s v="5"/>
    <s v="Процессная часть перечня мероприятий"/>
    <s v="9950003450"/>
    <s v="Расходы на материальное обеспечение деятельности регионального отделения Движения первых Санкт-Петербурга"/>
    <s v="247"/>
    <s v="Закупка энергетических ресурсов"/>
    <s v="Администрация Кировского района Санкт-Петербурга"/>
    <s v="7805059546"/>
    <n v="67.400000000000006"/>
    <n v="0"/>
    <n v="0"/>
    <n v="67.400000000000006"/>
    <n v="0"/>
  </r>
  <r>
    <x v="3"/>
    <x v="3"/>
    <s v="  0801 085007008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080"/>
    <s v="Субсидии бюджетным 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63750"/>
    <n v="83028.868000000002"/>
    <n v="20959.189900000001"/>
    <n v="180721.13200000001"/>
    <n v="31"/>
  </r>
  <r>
    <x v="3"/>
    <x v="3"/>
    <s v="  0801 085007009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090"/>
    <s v="Субсидии бюджетным 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93678.1"/>
    <n v="28385.323499999999"/>
    <n v="6689.4641000000001"/>
    <n v="65292.7765"/>
    <n v="30"/>
  </r>
  <r>
    <x v="3"/>
    <x v="3"/>
    <s v="  0801 085007017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170"/>
    <s v="Субсидии бюджетным 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07715.20000000001"/>
    <n v="71028.137499999997"/>
    <n v="25420.0795"/>
    <n v="136687.0625"/>
    <n v="34"/>
  </r>
  <r>
    <x v="3"/>
    <x v="3"/>
    <s v="  0801 085007027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270"/>
    <s v="Субсидии бюджетным 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7050.7"/>
    <n v="25934.721099999999"/>
    <n v="5288.5595999999996"/>
    <n v="61115.978900000002"/>
    <n v="30"/>
  </r>
  <r>
    <x v="3"/>
    <x v="3"/>
    <s v="  0801 0850070470 244"/>
    <x v="13"/>
    <x v="5"/>
    <s v="01"/>
    <x v="13"/>
    <s v="08"/>
    <x v="8"/>
    <x v="9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9529.5"/>
    <n v="1619.0733"/>
    <n v="0"/>
    <n v="7910.4267"/>
    <n v="17"/>
  </r>
  <r>
    <x v="3"/>
    <x v="3"/>
    <s v="  0801 085007047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612"/>
    <s v="Субсидии бюджетным учреждениям на иные цели"/>
    <s v="Администрация Кировского района Санкт-Петербурга"/>
    <s v="7805059546"/>
    <n v="2252"/>
    <n v="0"/>
    <n v="0"/>
    <n v="2252"/>
    <n v="0"/>
  </r>
  <r>
    <x v="3"/>
    <x v="3"/>
    <s v="  0801 085007096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0264.799999999999"/>
    <n v="0"/>
    <n v="0"/>
    <n v="10264.799999999999"/>
    <n v="0"/>
  </r>
  <r>
    <x v="3"/>
    <x v="3"/>
    <s v="  0801 085007161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128.69999999999999"/>
    <n v="0"/>
    <n v="0"/>
    <n v="128.69999999999999"/>
    <n v="0"/>
  </r>
  <r>
    <x v="3"/>
    <x v="3"/>
    <s v="  0804 0850070060 244"/>
    <x v="14"/>
    <x v="5"/>
    <s v="04"/>
    <x v="14"/>
    <s v="08"/>
    <x v="8"/>
    <x v="9"/>
    <s v="5"/>
    <s v="Процессная часть перечня мероприятий государственной программы"/>
    <s v="0850070060"/>
    <s v="Расходы на содержание и ремонт памятников ансамбля «Зеленый пояс Славы»"/>
    <s v="244"/>
    <s v="Прочая закупка товаров, работ и услуг"/>
    <s v="Администрация Кировского района Санкт-Петербурга"/>
    <s v="7805059546"/>
    <n v="16495.3"/>
    <n v="0"/>
    <n v="0"/>
    <n v="16495.3"/>
    <n v="0"/>
  </r>
  <r>
    <x v="3"/>
    <x v="3"/>
    <s v="  0804 0850071320 612"/>
    <x v="14"/>
    <x v="5"/>
    <s v="04"/>
    <x v="14"/>
    <s v="08"/>
    <x v="8"/>
    <x v="9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8766.7000000000007"/>
    <n v="0"/>
    <n v="0"/>
    <n v="8766.7000000000007"/>
    <n v="0"/>
  </r>
  <r>
    <x v="3"/>
    <x v="3"/>
    <s v="  0902 0150010080 611"/>
    <x v="15"/>
    <x v="6"/>
    <s v="02"/>
    <x v="15"/>
    <s v="01"/>
    <x v="9"/>
    <x v="10"/>
    <s v="5"/>
    <s v="Процессная часть перечня мероприятий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62520.5"/>
    <n v="198592.7378"/>
    <n v="56260.056900000003"/>
    <n v="463927.7622"/>
    <n v="30"/>
  </r>
  <r>
    <x v="3"/>
    <x v="3"/>
    <s v="  0902 0150010080 614"/>
    <x v="15"/>
    <x v="6"/>
    <s v="02"/>
    <x v="15"/>
    <s v="01"/>
    <x v="9"/>
    <x v="10"/>
    <s v="5"/>
    <s v="Процессная часть перечня мероприятий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379.7"/>
    <n v="866.95519999999999"/>
    <n v="297.57220000000001"/>
    <n v="4512.7448000000004"/>
    <n v="16"/>
  </r>
  <r>
    <x v="3"/>
    <x v="3"/>
    <s v="  0909 011Д153652 612"/>
    <x v="16"/>
    <x v="6"/>
    <s v="09"/>
    <x v="16"/>
    <s v="01"/>
    <x v="9"/>
    <x v="11"/>
    <s v="1"/>
    <s v="Региональные проекты, входящие в состав национальных проектов"/>
    <s v="011Д1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104471.3"/>
    <n v="78028.679900000003"/>
    <n v="2233.3332999999998"/>
    <n v="26442.6201"/>
    <n v="75"/>
  </r>
  <r>
    <x v="3"/>
    <x v="3"/>
    <s v="  0909 011Д757520 612"/>
    <x v="16"/>
    <x v="6"/>
    <s v="09"/>
    <x v="16"/>
    <s v="01"/>
    <x v="9"/>
    <x v="11"/>
    <s v="1"/>
    <s v="Региональные проекты, входящие в состав национальных проектов"/>
    <s v="011Д757520"/>
    <s v="Расходы на оснащение (дооснащение и (или) переоснащение) медицинскими изделиями медицинских организаций, имеющих в своей структуре подразделения, оказывающие медицинскую помощь по медицинской реабилитации"/>
    <s v="612"/>
    <s v="Субсидии бюджетным учреждениям на иные цели"/>
    <s v="Администрация Кировского района Санкт-Петербурга"/>
    <s v="7805059546"/>
    <n v="12819.6"/>
    <n v="0"/>
    <n v="0"/>
    <n v="12819.6"/>
    <n v="0"/>
  </r>
  <r>
    <x v="3"/>
    <x v="3"/>
    <s v="  0909 0150010020 612"/>
    <x v="16"/>
    <x v="6"/>
    <s v="09"/>
    <x v="16"/>
    <s v="01"/>
    <x v="9"/>
    <x v="10"/>
    <s v="5"/>
    <s v="Процессная часть перечня мероприятий"/>
    <s v="0150010020"/>
    <s v="Расходы на профилактику инфекционных заболеваний, включая иммунопрофилактику"/>
    <s v="612"/>
    <s v="Субсидии бюджетным учреждениям на иные цели"/>
    <s v="Администрация Кировского района Санкт-Петербурга"/>
    <s v="7805059546"/>
    <n v="34518.6"/>
    <n v="4704.7129000000004"/>
    <n v="4704.7129000000004"/>
    <n v="29813.8871"/>
    <n v="14"/>
  </r>
  <r>
    <x v="3"/>
    <x v="3"/>
    <s v="  0909 0150010100 244"/>
    <x v="16"/>
    <x v="6"/>
    <s v="09"/>
    <x v="16"/>
    <s v="01"/>
    <x v="9"/>
    <x v="10"/>
    <s v="5"/>
    <s v="Процессная часть перечня мероприятий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48.2"/>
    <n v="0"/>
    <n v="0"/>
    <n v="48.2"/>
    <n v="0"/>
  </r>
  <r>
    <x v="3"/>
    <x v="3"/>
    <s v="  0909 0150010520 612"/>
    <x v="16"/>
    <x v="6"/>
    <s v="09"/>
    <x v="16"/>
    <s v="01"/>
    <x v="9"/>
    <x v="10"/>
    <s v="5"/>
    <s v="Процессная часть перечня мероприятий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223871.4"/>
    <n v="20522.109100000001"/>
    <n v="9748.4570000000003"/>
    <n v="203349.29089999999"/>
    <n v="9"/>
  </r>
  <r>
    <x v="3"/>
    <x v="3"/>
    <s v="  0909 0150010650 612"/>
    <x v="16"/>
    <x v="6"/>
    <s v="09"/>
    <x v="16"/>
    <s v="01"/>
    <x v="9"/>
    <x v="10"/>
    <s v="5"/>
    <s v="Процессная часть перечня мероприятий"/>
    <s v="0150010650"/>
    <s v="Расходы на приобретение немонтируемого оборудования и инвентаря для оснащения вводных объектов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29779.9"/>
    <n v="0"/>
    <n v="0"/>
    <n v="29779.9"/>
    <n v="0"/>
  </r>
  <r>
    <x v="3"/>
    <x v="3"/>
    <s v="  0909 0150010660 612"/>
    <x v="16"/>
    <x v="6"/>
    <s v="09"/>
    <x v="16"/>
    <s v="01"/>
    <x v="9"/>
    <x v="10"/>
    <s v="5"/>
    <s v="Процессная часть перечня мероприятий"/>
    <s v="0150010660"/>
    <s v="Расходы на обеспечение доступности учреждений здравоохранения для инвалидов и других маломобильных групп населения"/>
    <s v="612"/>
    <s v="Субсидии бюджетным учреждениям на иные цели"/>
    <s v="Администрация Кировского района Санкт-Петербурга"/>
    <s v="7805059546"/>
    <n v="7460.5"/>
    <n v="0"/>
    <n v="0"/>
    <n v="7460.5"/>
    <n v="0"/>
  </r>
  <r>
    <x v="3"/>
    <x v="3"/>
    <s v="  0909 0150010880 612"/>
    <x v="16"/>
    <x v="6"/>
    <s v="09"/>
    <x v="16"/>
    <s v="01"/>
    <x v="9"/>
    <x v="10"/>
    <s v="5"/>
    <s v="Процессная часть перечня мероприятий"/>
    <s v="0150010880"/>
    <s v="Субсидии государственным учреждениям здравоохранения на оказание экстренной медицинской помощи иностранным гражданам и гражданам не идентифицированным и не застрахованным в системе ОМС при заболеваниях, включенных в базовую программу ОМС"/>
    <s v="612"/>
    <s v="Субсидии бюджетным учреждениям на иные цели"/>
    <s v="Администрация Кировского района Санкт-Петербурга"/>
    <s v="7805059546"/>
    <n v="1889.2"/>
    <n v="0"/>
    <n v="0"/>
    <n v="1889.2"/>
    <n v="0"/>
  </r>
  <r>
    <x v="3"/>
    <x v="3"/>
    <s v="  0909 0150011000 612"/>
    <x v="16"/>
    <x v="6"/>
    <s v="09"/>
    <x v="16"/>
    <s v="01"/>
    <x v="9"/>
    <x v="10"/>
    <s v="5"/>
    <s v="Процессная часть перечня мероприятий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45132.3"/>
    <n v="8650.9076999999997"/>
    <n v="2874.7260999999999"/>
    <n v="36481.3923"/>
    <n v="19"/>
  </r>
  <r>
    <x v="3"/>
    <x v="3"/>
    <s v="  0909 0150011010 612"/>
    <x v="16"/>
    <x v="6"/>
    <s v="09"/>
    <x v="16"/>
    <s v="01"/>
    <x v="9"/>
    <x v="10"/>
    <s v="5"/>
    <s v="Процессная часть перечня мероприятий"/>
    <s v="0150011010"/>
    <s v="Субсидии государственным учреждениям здравоохранения Санкт-Петербурга в целях поддержания высокого уровня оказания медицинской помощи и усиления кадрового потенциала в государственных учреждениях здравоохранения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5997.5"/>
    <n v="0"/>
    <n v="0"/>
    <n v="5997.5"/>
    <n v="0"/>
  </r>
  <r>
    <x v="3"/>
    <x v="3"/>
    <s v="  0909 0150054680 612"/>
    <x v="16"/>
    <x v="6"/>
    <s v="09"/>
    <x v="16"/>
    <s v="01"/>
    <x v="9"/>
    <x v="10"/>
    <s v="5"/>
    <s v="Процессная часть перечня мероприятий"/>
    <s v="01500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113.2"/>
    <n v="100.11799999999999"/>
    <n v="100.11799999999999"/>
    <n v="13.082000000000001"/>
    <n v="88"/>
  </r>
  <r>
    <x v="3"/>
    <x v="3"/>
    <s v="  0909 0650090160 612"/>
    <x v="16"/>
    <x v="6"/>
    <s v="09"/>
    <x v="16"/>
    <s v="06"/>
    <x v="1"/>
    <x v="1"/>
    <s v="5"/>
    <s v="Процессная часть перечня мероприятий государственной программы"/>
    <s v="0650090160"/>
    <s v="Расходы на мероприятия по пожарной безопасности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3155.1"/>
    <n v="0"/>
    <n v="0"/>
    <n v="3155.1"/>
    <n v="0"/>
  </r>
  <r>
    <x v="3"/>
    <x v="3"/>
    <s v="  1002 035004046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11289.8"/>
    <n v="67060.674899999998"/>
    <n v="17965.993600000002"/>
    <n v="144229.1251"/>
    <n v="32"/>
  </r>
  <r>
    <x v="3"/>
    <x v="3"/>
    <s v="  1002 035004046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21225"/>
    <n v="4744.3553000000002"/>
    <n v="1391.9063000000001"/>
    <n v="16480.644700000001"/>
    <n v="22"/>
  </r>
  <r>
    <x v="3"/>
    <x v="3"/>
    <s v="  1002 035004048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994.2"/>
    <n v="1306.3361"/>
    <n v="364.4393"/>
    <n v="2687.8638999999998"/>
    <n v="33"/>
  </r>
  <r>
    <x v="3"/>
    <x v="3"/>
    <s v="  1002 035004048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28356.9"/>
    <n v="43829.428800000002"/>
    <n v="12137.999100000001"/>
    <n v="84527.4712"/>
    <n v="34"/>
  </r>
  <r>
    <x v="3"/>
    <x v="3"/>
    <s v="  1002 035004053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21376.1"/>
    <n v="0"/>
    <n v="0"/>
    <n v="21376.1"/>
    <n v="0"/>
  </r>
  <r>
    <x v="3"/>
    <x v="3"/>
    <s v="  1002 035004063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630"/>
    <s v="Субсидии бюджетным учреждениям - комплексным центрам социального обслуживания населения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0959"/>
    <n v="2051.9474"/>
    <n v="443.23320000000001"/>
    <n v="8907.0526000000009"/>
    <n v="19"/>
  </r>
  <r>
    <x v="3"/>
    <x v="3"/>
    <s v="  1002 035004063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630"/>
    <s v="Субсидии бюджетным учреждениям - комплексным центрам социального обслуживания населения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3202"/>
    <n v="170230.3425"/>
    <n v="40798.584799999997"/>
    <n v="342971.65749999997"/>
    <n v="33"/>
  </r>
  <r>
    <x v="3"/>
    <x v="3"/>
    <s v="  1002 035004064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541.7"/>
    <n v="1125.9201"/>
    <n v="329.5326"/>
    <n v="3415.7799"/>
    <n v="25"/>
  </r>
  <r>
    <x v="3"/>
    <x v="3"/>
    <s v="  1002 035004064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9802"/>
    <n v="18286.338800000001"/>
    <n v="4410.3189000000002"/>
    <n v="41515.661200000002"/>
    <n v="31"/>
  </r>
  <r>
    <x v="3"/>
    <x v="3"/>
    <s v="  1002 035004120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41200"/>
    <s v="Расходы на приобретение немонтируемого оборудования и инвентаря для оснащения вводных объектов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3856.7"/>
    <n v="0"/>
    <n v="0"/>
    <n v="3856.7"/>
    <n v="0"/>
  </r>
  <r>
    <x v="3"/>
    <x v="3"/>
    <s v="  1002 03500R514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R5140"/>
    <s v="Расходы на реализацию мероприятий по формированию системы комплексной реабилитации и абилитации инвалидов, в том числе детей-инвалидов"/>
    <s v="612"/>
    <s v="Субсидии бюджетным учреждениям на иные цели"/>
    <s v="Администрация Кировского района Санкт-Петербурга"/>
    <s v="7805059546"/>
    <n v="2500"/>
    <n v="0"/>
    <n v="0"/>
    <n v="2500"/>
    <n v="0"/>
  </r>
  <r>
    <x v="3"/>
    <x v="3"/>
    <s v="  1003 0350040240 612"/>
    <x v="18"/>
    <x v="7"/>
    <s v="03"/>
    <x v="18"/>
    <s v="03"/>
    <x v="7"/>
    <x v="8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51205.3"/>
    <n v="33202.46"/>
    <n v="29864.312999999998"/>
    <n v="18002.84"/>
    <n v="65"/>
  </r>
  <r>
    <x v="3"/>
    <x v="3"/>
    <s v="  1004 0950083620 323"/>
    <x v="19"/>
    <x v="7"/>
    <s v="04"/>
    <x v="19"/>
    <s v="09"/>
    <x v="4"/>
    <x v="4"/>
    <s v="5"/>
    <s v="Процессная часть перечня мероприятий"/>
    <s v="0950083620"/>
    <s v="Расходы на предоставление дополнительной меры социальной поддержки по оборудованию предметами первой необходимости жилых помещений специализированного жилищного фонда, предоставляемых детям-сиротам и детям, оставшимся без попечения родителей, лицам из их "/>
    <s v="323"/>
    <s v="Приобретение товаров, работ, услуг в пользу граждан в целях их социального обеспечения"/>
    <s v="Администрация Кировского района Санкт-Петербурга"/>
    <s v="7805059546"/>
    <n v="1328.7"/>
    <n v="349.23329999999999"/>
    <n v="349.23329999999999"/>
    <n v="979.46669999999995"/>
    <n v="26"/>
  </r>
  <r>
    <x v="3"/>
    <x v="3"/>
    <s v="  1101 0450045020 611"/>
    <x v="20"/>
    <x v="8"/>
    <s v="01"/>
    <x v="20"/>
    <s v="04"/>
    <x v="10"/>
    <x v="12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91160.4"/>
    <n v="57943.261400000003"/>
    <n v="13258.086499999999"/>
    <n v="133217.13860000001"/>
    <n v="30"/>
  </r>
  <r>
    <x v="3"/>
    <x v="3"/>
    <s v="  1101 0450045060 612"/>
    <x v="20"/>
    <x v="8"/>
    <s v="01"/>
    <x v="20"/>
    <s v="04"/>
    <x v="10"/>
    <x v="12"/>
    <s v="5"/>
    <s v="Процессная часть перечня мероприятий государственной программы"/>
    <s v="0450045060"/>
    <s v="Расходы на проектирование, ремонт и оснащение оборудованием внутридворовых спортивных площадок для занятий физической культурой и спортом населения"/>
    <s v="612"/>
    <s v="Субсидии бюджетным учреждениям на иные цели"/>
    <s v="Администрация Кировского района Санкт-Петербурга"/>
    <s v="7805059546"/>
    <n v="35508.9"/>
    <n v="0"/>
    <n v="0"/>
    <n v="35508.9"/>
    <n v="0"/>
  </r>
  <r>
    <x v="3"/>
    <x v="3"/>
    <s v="  1102 0450045010 612"/>
    <x v="21"/>
    <x v="8"/>
    <s v="02"/>
    <x v="21"/>
    <s v="04"/>
    <x v="10"/>
    <x v="12"/>
    <s v="5"/>
    <s v="Процессная часть перечня мероприятий государственной программы"/>
    <s v="04500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693.1"/>
    <n v="0"/>
    <n v="0"/>
    <n v="3693.1"/>
    <n v="0"/>
  </r>
  <r>
    <x v="3"/>
    <x v="3"/>
    <s v="  1103 0450045090 611"/>
    <x v="22"/>
    <x v="8"/>
    <s v="03"/>
    <x v="22"/>
    <s v="04"/>
    <x v="10"/>
    <x v="12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56415.3"/>
    <n v="89253.117400000003"/>
    <n v="23398.705600000001"/>
    <n v="267162.1826"/>
    <n v="25"/>
  </r>
  <r>
    <x v="4"/>
    <x v="4"/>
    <s v="  0103 9950000060 244"/>
    <x v="0"/>
    <x v="0"/>
    <s v="03"/>
    <x v="0"/>
    <s v="99"/>
    <x v="0"/>
    <x v="0"/>
    <s v="5"/>
    <s v="Процессная часть перечня мероприятий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597.70000000000005"/>
    <n v="89.260400000000004"/>
    <n v="22.315100000000001"/>
    <n v="508.43959999999998"/>
    <n v="15"/>
  </r>
  <r>
    <x v="4"/>
    <x v="4"/>
    <s v="  0103 9950000060 247"/>
    <x v="0"/>
    <x v="0"/>
    <s v="03"/>
    <x v="0"/>
    <s v="99"/>
    <x v="0"/>
    <x v="0"/>
    <s v="5"/>
    <s v="Процессная часть перечня мероприятий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165.3"/>
    <n v="116.1657"/>
    <n v="105.58920000000001"/>
    <n v="49.134300000000003"/>
    <n v="70"/>
  </r>
  <r>
    <x v="4"/>
    <x v="4"/>
    <s v="  0113 0650090100 530"/>
    <x v="1"/>
    <x v="0"/>
    <s v="13"/>
    <x v="1"/>
    <s v="06"/>
    <x v="1"/>
    <x v="1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7.2"/>
    <n v="0"/>
    <n v="0"/>
    <n v="67.2"/>
    <n v="0"/>
  </r>
  <r>
    <x v="4"/>
    <x v="4"/>
    <s v="  0113 0650090830 244"/>
    <x v="1"/>
    <x v="0"/>
    <s v="13"/>
    <x v="1"/>
    <s v="06"/>
    <x v="1"/>
    <x v="1"/>
    <s v="5"/>
    <s v="Процессная часть перечня мероприятий государственной программы"/>
    <s v="0650090830"/>
    <s v="Расходы, связанные с изъятием вещей и документов при производстве по делам об административных правонарушениях"/>
    <s v="244"/>
    <s v="Прочая закупка товаров, работ и услуг"/>
    <s v="Администрация Кировского района Санкт-Петербурга"/>
    <s v="7805059546"/>
    <n v="61.9"/>
    <n v="0"/>
    <n v="0"/>
    <n v="61.9"/>
    <n v="0"/>
  </r>
  <r>
    <x v="4"/>
    <x v="4"/>
    <s v="  0113 1650099220 244"/>
    <x v="1"/>
    <x v="0"/>
    <s v="13"/>
    <x v="1"/>
    <s v="16"/>
    <x v="2"/>
    <x v="2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216.9"/>
    <n v="94.1"/>
    <n v="24.1"/>
    <n v="122.8"/>
    <n v="43"/>
  </r>
  <r>
    <x v="4"/>
    <x v="4"/>
    <s v="  0113 1750098720 244"/>
    <x v="1"/>
    <x v="0"/>
    <s v="13"/>
    <x v="1"/>
    <s v="17"/>
    <x v="3"/>
    <x v="3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57.5"/>
    <n v="239.91919999999999"/>
    <n v="114.4843"/>
    <n v="317.58080000000001"/>
    <n v="43"/>
  </r>
  <r>
    <x v="4"/>
    <x v="4"/>
    <s v="  0113 9950000090 121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349800.7"/>
    <n v="121865.5362"/>
    <n v="24380.112499999999"/>
    <n v="227935.16380000001"/>
    <n v="35"/>
  </r>
  <r>
    <x v="4"/>
    <x v="4"/>
    <s v="  0113 9950000090 122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00.2"/>
    <n v="7.9930000000000003"/>
    <n v="3.0630000000000002"/>
    <n v="92.206999999999994"/>
    <n v="8"/>
  </r>
  <r>
    <x v="4"/>
    <x v="4"/>
    <s v="  0113 9950000090 129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105260"/>
    <n v="38744.914799999999"/>
    <n v="6987.5577000000003"/>
    <n v="66515.085200000001"/>
    <n v="37"/>
  </r>
  <r>
    <x v="4"/>
    <x v="4"/>
    <s v="  0113 9950000090 242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91.710599999999999"/>
    <n v="25.518699999999999"/>
    <n v="208.2894"/>
    <n v="31"/>
  </r>
  <r>
    <x v="4"/>
    <x v="4"/>
    <s v="  0113 9950000090 243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30943.599999999999"/>
    <n v="4636.8482000000004"/>
    <n v="4636.8482000000004"/>
    <n v="26306.751799999998"/>
    <n v="15"/>
  </r>
  <r>
    <x v="4"/>
    <x v="4"/>
    <s v="  0113 9950000090 244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68702.399999999994"/>
    <n v="10266.077799999999"/>
    <n v="3416.0284000000001"/>
    <n v="58436.322200000002"/>
    <n v="15"/>
  </r>
  <r>
    <x v="4"/>
    <x v="4"/>
    <s v="  0113 9950000090 247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962"/>
    <n v="7874.6126000000004"/>
    <n v="650.13430000000005"/>
    <n v="9087.3873999999996"/>
    <n v="46"/>
  </r>
  <r>
    <x v="4"/>
    <x v="4"/>
    <s v="  0113 9950000090 831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859.7"/>
    <n v="480.87240000000003"/>
    <n v="188.77379999999999"/>
    <n v="378.82760000000002"/>
    <n v="56"/>
  </r>
  <r>
    <x v="4"/>
    <x v="4"/>
    <s v="  0113 9950000320 111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216958.1"/>
    <n v="83629.150399999999"/>
    <n v="15663.7649"/>
    <n v="133328.94959999999"/>
    <n v="39"/>
  </r>
  <r>
    <x v="4"/>
    <x v="4"/>
    <s v="  0113 9950000320 119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65398.5"/>
    <n v="22757.0167"/>
    <n v="5268.3042999999998"/>
    <n v="42641.4833"/>
    <n v="35"/>
  </r>
  <r>
    <x v="4"/>
    <x v="4"/>
    <s v="  0113 9950000320 244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4394"/>
    <n v="2195.7217999999998"/>
    <n v="865.75919999999996"/>
    <n v="2198.2782000000002"/>
    <n v="50"/>
  </r>
  <r>
    <x v="4"/>
    <x v="4"/>
    <s v="  0113 9950000320 321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321"/>
    <s v="Пособия, компенсации и иные социальные выплаты_x000a_гражданам, кроме публичных нормативных обязательств"/>
    <s v="Администрация Кировского района Санкт-Петербурга"/>
    <s v="7805059546"/>
    <n v="2.2000000000000002"/>
    <n v="2.1716000000000002"/>
    <n v="2.1716000000000002"/>
    <n v="2.8400000000000002E-2"/>
    <n v="99"/>
  </r>
  <r>
    <x v="4"/>
    <x v="4"/>
    <s v="  0113 9950000320 852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1.8320000000000001"/>
    <n v="0"/>
    <n v="1.8680000000000001"/>
    <n v="50"/>
  </r>
  <r>
    <x v="4"/>
    <x v="4"/>
    <s v="  0113 9950000530 611"/>
    <x v="1"/>
    <x v="0"/>
    <s v="13"/>
    <x v="1"/>
    <s v="99"/>
    <x v="0"/>
    <x v="0"/>
    <s v="5"/>
    <s v="Процессная часть перечня мероприятий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1533.600000000006"/>
    <n v="30600.6564"/>
    <n v="6600"/>
    <n v="50932.943599999999"/>
    <n v="38"/>
  </r>
  <r>
    <x v="4"/>
    <x v="4"/>
    <s v="  0113 9950001480 244"/>
    <x v="1"/>
    <x v="0"/>
    <s v="13"/>
    <x v="1"/>
    <s v="99"/>
    <x v="0"/>
    <x v="0"/>
    <s v="5"/>
    <s v="Процессная часть перечня мероприятий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6933"/>
    <n v="3086.8831"/>
    <n v="461.99540000000002"/>
    <n v="3846.1169"/>
    <n v="45"/>
  </r>
  <r>
    <x v="4"/>
    <x v="4"/>
    <s v="  0309 0650090880 244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7193.2"/>
    <n v="4457.1422000000002"/>
    <n v="0"/>
    <n v="2736.0578"/>
    <n v="62"/>
  </r>
  <r>
    <x v="4"/>
    <x v="4"/>
    <s v="  0309 0650090880 247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9131.9"/>
    <n v="4517.7385999999997"/>
    <n v="2275.3561"/>
    <n v="4614.1614"/>
    <n v="49"/>
  </r>
  <r>
    <x v="4"/>
    <x v="4"/>
    <s v="  0309 0650090880 851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7025.2"/>
    <n v="5608.3874999999998"/>
    <n v="2470.9389999999999"/>
    <n v="1416.8125"/>
    <n v="80"/>
  </r>
  <r>
    <x v="4"/>
    <x v="4"/>
    <s v="  0309 0650090880 853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3"/>
    <s v="Уплата иных платежей"/>
    <s v="Администрация Кировского района Санкт-Петербурга"/>
    <s v="7805059546"/>
    <n v="3050"/>
    <n v="1595.319"/>
    <n v="319.06380000000001"/>
    <n v="1454.681"/>
    <n v="52"/>
  </r>
  <r>
    <x v="4"/>
    <x v="4"/>
    <s v="  0309 0650091060 243"/>
    <x v="2"/>
    <x v="1"/>
    <s v="09"/>
    <x v="2"/>
    <s v="06"/>
    <x v="1"/>
    <x v="1"/>
    <s v="5"/>
    <s v="Процессная часть перечня мероприятий государственной программы"/>
    <s v="0650091060"/>
    <s v="Расходы на выполнение мероприятий по обследованию и ремонту защитных сооружений гражданской обороны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19375.7"/>
    <n v="0"/>
    <n v="0"/>
    <n v="19375.7"/>
    <n v="0"/>
  </r>
  <r>
    <x v="4"/>
    <x v="4"/>
    <s v="  0314 0650090690 244"/>
    <x v="3"/>
    <x v="1"/>
    <s v="14"/>
    <x v="3"/>
    <s v="06"/>
    <x v="1"/>
    <x v="1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3.1"/>
    <n v="0"/>
    <n v="0"/>
    <n v="23.1"/>
    <n v="0"/>
  </r>
  <r>
    <x v="4"/>
    <x v="4"/>
    <s v="  0410 0650090810 244"/>
    <x v="4"/>
    <x v="2"/>
    <s v="10"/>
    <x v="4"/>
    <s v="06"/>
    <x v="1"/>
    <x v="1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244"/>
    <s v="Прочая закупка товаров, работ и услуг"/>
    <s v="Администрация Кировского района Санкт-Петербурга"/>
    <s v="7805059546"/>
    <n v="455.4"/>
    <n v="0"/>
    <n v="0"/>
    <n v="455.4"/>
    <n v="0"/>
  </r>
  <r>
    <x v="4"/>
    <x v="4"/>
    <s v="  0410 0650090810 612"/>
    <x v="4"/>
    <x v="2"/>
    <s v="10"/>
    <x v="4"/>
    <s v="06"/>
    <x v="1"/>
    <x v="1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612"/>
    <s v="Субсидии бюджетным учреждениям на иные цели"/>
    <s v="Администрация Кировского района Санкт-Петербурга"/>
    <s v="7805059546"/>
    <n v="36425.800000000003"/>
    <n v="1047.9381000000001"/>
    <n v="1047.9381000000001"/>
    <n v="35377.861900000004"/>
    <n v="3"/>
  </r>
  <r>
    <x v="4"/>
    <x v="4"/>
    <s v="  0410 9950096170 242"/>
    <x v="4"/>
    <x v="2"/>
    <s v="10"/>
    <x v="4"/>
    <s v="99"/>
    <x v="0"/>
    <x v="0"/>
    <s v="5"/>
    <s v="Процессная часть перечня мероприятий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5651.9"/>
    <n v="930.10730000000001"/>
    <n v="0"/>
    <n v="4721.7927"/>
    <n v="16"/>
  </r>
  <r>
    <x v="4"/>
    <x v="4"/>
    <s v="  0501 0950083380 244"/>
    <x v="5"/>
    <x v="3"/>
    <s v="01"/>
    <x v="5"/>
    <s v="09"/>
    <x v="4"/>
    <x v="4"/>
    <s v="5"/>
    <s v="Процессная часть перечня мероприятий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465.8"/>
    <n v="0"/>
    <n v="0"/>
    <n v="5465.8"/>
    <n v="0"/>
  </r>
  <r>
    <x v="4"/>
    <x v="4"/>
    <s v="  0501 0950083470 244"/>
    <x v="5"/>
    <x v="3"/>
    <s v="01"/>
    <x v="5"/>
    <s v="09"/>
    <x v="4"/>
    <x v="4"/>
    <s v="5"/>
    <s v="Процессная часть перечня мероприятий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35373.199999999997"/>
    <n v="2317.1379999999999"/>
    <n v="2317.1379999999999"/>
    <n v="33056.061999999998"/>
    <n v="7"/>
  </r>
  <r>
    <x v="4"/>
    <x v="4"/>
    <s v="  0501 0950083480 244"/>
    <x v="5"/>
    <x v="3"/>
    <s v="01"/>
    <x v="5"/>
    <s v="09"/>
    <x v="4"/>
    <x v="4"/>
    <s v="5"/>
    <s v="Процессная часть перечня мероприятий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3442.8"/>
    <n v="80.521100000000004"/>
    <n v="2.1960000000000002"/>
    <n v="3362.2788999999998"/>
    <n v="2"/>
  </r>
  <r>
    <x v="4"/>
    <x v="4"/>
    <s v="  0501 0950083480 853"/>
    <x v="5"/>
    <x v="3"/>
    <s v="01"/>
    <x v="5"/>
    <s v="09"/>
    <x v="4"/>
    <x v="4"/>
    <s v="5"/>
    <s v="Процессная часть перечня мероприятий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110377"/>
    <n v="35849.833200000001"/>
    <n v="7969.5307000000003"/>
    <n v="74527.166800000006"/>
    <n v="32"/>
  </r>
  <r>
    <x v="4"/>
    <x v="4"/>
    <s v="  0501 0950083490 244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21046"/>
    <n v="4579.7494999999999"/>
    <n v="2141.3359999999998"/>
    <n v="16466.250499999998"/>
    <n v="22"/>
  </r>
  <r>
    <x v="4"/>
    <x v="4"/>
    <s v="  0501 0950083490 247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10536.1"/>
    <n v="3914.8148999999999"/>
    <n v="2250.1044000000002"/>
    <n v="6621.2851000000001"/>
    <n v="37"/>
  </r>
  <r>
    <x v="4"/>
    <x v="4"/>
    <s v="  0501 0950083490 853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782.6000000000004"/>
    <n v="1780.5996"/>
    <n v="391.90429999999998"/>
    <n v="3002.0003999999999"/>
    <n v="37"/>
  </r>
  <r>
    <x v="4"/>
    <x v="4"/>
    <s v="  0503 105008791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Санкт-Петербурга"/>
    <s v="244"/>
    <s v="Прочая закупка товаров, работ и услуг"/>
    <s v="Администрация Кировского района Санкт-Петербурга"/>
    <s v="7805059546"/>
    <n v="694"/>
    <n v="0"/>
    <n v="0"/>
    <n v="694"/>
    <n v="0"/>
  </r>
  <r>
    <x v="4"/>
    <x v="4"/>
    <s v="  0503 105008793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39330.300000000003"/>
    <n v="4687.6853000000001"/>
    <n v="15.671200000000001"/>
    <n v="34642.614699999998"/>
    <n v="12"/>
  </r>
  <r>
    <x v="4"/>
    <x v="4"/>
    <s v="  0503 105008827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244"/>
    <s v="Прочая закупка товаров, работ и услуг"/>
    <s v="Администрация Кировского района Санкт-Петербурга"/>
    <s v="7805059546"/>
    <n v="8650"/>
    <n v="7072.3534"/>
    <n v="0"/>
    <n v="1577.6466"/>
    <n v="82"/>
  </r>
  <r>
    <x v="4"/>
    <x v="4"/>
    <s v="  0503 105008830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8300"/>
    <s v="Расходы на реализацию мероприятий по созданию и восстановлению мест (площадок) накопления твердых коммунальных отходов"/>
    <s v="244"/>
    <s v="Прочая закупка товаров, работ и услуг"/>
    <s v="Администрация Кировского района Санкт-Петербурга"/>
    <s v="7805059546"/>
    <n v="1591.6"/>
    <n v="0"/>
    <n v="0"/>
    <n v="1591.6"/>
    <n v="0"/>
  </r>
  <r>
    <x v="4"/>
    <x v="4"/>
    <s v="  0505 0950083140 111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643187.1"/>
    <n v="236462.1464"/>
    <n v="39393.830099999999"/>
    <n v="406724.95360000001"/>
    <n v="37"/>
  </r>
  <r>
    <x v="4"/>
    <x v="4"/>
    <s v="  0505 0950083140 119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93602.5"/>
    <n v="81835.013900000005"/>
    <n v="20617.994900000002"/>
    <n v="111767.48609999999"/>
    <n v="42"/>
  </r>
  <r>
    <x v="4"/>
    <x v="4"/>
    <s v="  0505 0950083140 244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55129.9"/>
    <n v="35374.213799999998"/>
    <n v="7852.1491999999998"/>
    <n v="119755.6862"/>
    <n v="23"/>
  </r>
  <r>
    <x v="4"/>
    <x v="4"/>
    <s v="  0505 0950083140 247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8102"/>
    <n v="2691.2512000000002"/>
    <n v="886.66200000000003"/>
    <n v="5410.7488000000003"/>
    <n v="33"/>
  </r>
  <r>
    <x v="4"/>
    <x v="4"/>
    <s v="  0505 0950083140 851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83.2"/>
    <n v="89.35"/>
    <n v="44.6"/>
    <n v="93.85"/>
    <n v="49"/>
  </r>
  <r>
    <x v="4"/>
    <x v="4"/>
    <s v="  0505 0950083140 852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661.4"/>
    <n v="638.16399999999999"/>
    <n v="30"/>
    <n v="23.236000000000001"/>
    <n v="96"/>
  </r>
  <r>
    <x v="4"/>
    <x v="4"/>
    <s v="  0505 0950083450 244"/>
    <x v="7"/>
    <x v="3"/>
    <s v="05"/>
    <x v="7"/>
    <s v="09"/>
    <x v="4"/>
    <x v="4"/>
    <s v="5"/>
    <s v="Процессная часть перечня мероприятий"/>
    <s v="0950083450"/>
    <s v="Расходы на проведение мероприятий по созданию условий доступности для инвалидов и иных маломобильных групп населения"/>
    <s v="244"/>
    <s v="Прочая закупка товаров, работ и услуг"/>
    <s v="Администрация Кировского района Санкт-Петербурга"/>
    <s v="7805059546"/>
    <n v="824.6"/>
    <n v="0"/>
    <n v="0"/>
    <n v="824.6"/>
    <n v="0"/>
  </r>
  <r>
    <x v="4"/>
    <x v="4"/>
    <s v="  0701 0250020010 611"/>
    <x v="8"/>
    <x v="4"/>
    <s v="01"/>
    <x v="8"/>
    <s v="02"/>
    <x v="6"/>
    <x v="6"/>
    <s v="5"/>
    <s v="Процессная часть перечня мероприятий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665542.5999999996"/>
    <n v="2085913.0467999999"/>
    <n v="575182.65749999997"/>
    <n v="3579629.5532"/>
    <n v="37"/>
  </r>
  <r>
    <x v="4"/>
    <x v="4"/>
    <s v="  0701 0250020110 612"/>
    <x v="8"/>
    <x v="4"/>
    <s v="01"/>
    <x v="8"/>
    <s v="02"/>
    <x v="6"/>
    <x v="6"/>
    <s v="5"/>
    <s v="Процессная часть перечня мероприятий"/>
    <s v="0250020110"/>
    <s v="Расходы на оснащение образовательных организаций современными средствами обучения и воспитания с целью повышения качества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4200"/>
    <n v="0"/>
    <n v="0"/>
    <n v="4200"/>
    <n v="0"/>
  </r>
  <r>
    <x v="4"/>
    <x v="4"/>
    <s v="  0701 0250021450 612"/>
    <x v="8"/>
    <x v="4"/>
    <s v="01"/>
    <x v="8"/>
    <s v="02"/>
    <x v="6"/>
    <x v="6"/>
    <s v="5"/>
    <s v="Процессная часть перечня мероприятий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9486.7"/>
    <n v="4731.9063999999998"/>
    <n v="3351.2449999999999"/>
    <n v="14754.793600000001"/>
    <n v="24"/>
  </r>
  <r>
    <x v="4"/>
    <x v="4"/>
    <s v="  0701 0250021760 612"/>
    <x v="8"/>
    <x v="4"/>
    <s v="01"/>
    <x v="8"/>
    <s v="02"/>
    <x v="6"/>
    <x v="6"/>
    <s v="5"/>
    <s v="Процессная часть перечня мероприятий"/>
    <s v="0250021760"/>
    <s v="Расходы на оснащение детских площадок образовательных учреждений, реализующих программы дошкольно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5400"/>
    <n v="0"/>
    <n v="0"/>
    <n v="25400"/>
    <n v="0"/>
  </r>
  <r>
    <x v="4"/>
    <x v="4"/>
    <s v="  0702 021Ю455590 612"/>
    <x v="9"/>
    <x v="4"/>
    <s v="02"/>
    <x v="9"/>
    <s v="02"/>
    <x v="6"/>
    <x v="7"/>
    <s v="1"/>
    <s v="Региональные проекты, входящие в состав национальных проектов"/>
    <s v="021Ю455590"/>
    <s v="Расходы на оснащение предметных кабинетов общеобразовательных организаций средствами обучения и воспитания"/>
    <s v="612"/>
    <s v="Субсидии бюджетным учреждениям на иные цели"/>
    <s v="Администрация Кировского района Санкт-Петербурга"/>
    <s v="7805059546"/>
    <n v="6609.5"/>
    <n v="6609.2277999999997"/>
    <n v="0.02"/>
    <n v="0.2722"/>
    <n v="100"/>
  </r>
  <r>
    <x v="4"/>
    <x v="4"/>
    <s v="  0702 021Ю651790 612"/>
    <x v="9"/>
    <x v="4"/>
    <s v="02"/>
    <x v="9"/>
    <s v="02"/>
    <x v="6"/>
    <x v="7"/>
    <s v="1"/>
    <s v="Региональные проекты, входящие в состав национальных проектов"/>
    <s v="021Ю6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9701.3"/>
    <n v="13133.406199999999"/>
    <n v="6566.8095000000003"/>
    <n v="6567.8937999999998"/>
    <n v="67"/>
  </r>
  <r>
    <x v="4"/>
    <x v="4"/>
    <s v="  0702 021Ю653030 612"/>
    <x v="9"/>
    <x v="4"/>
    <s v="02"/>
    <x v="9"/>
    <s v="02"/>
    <x v="6"/>
    <x v="7"/>
    <s v="1"/>
    <s v="Региональные проекты, входящие в состав национальных проектов"/>
    <s v="021Ю6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98275"/>
    <n v="66032.3"/>
    <n v="29470.464"/>
    <n v="32242.7"/>
    <n v="67"/>
  </r>
  <r>
    <x v="4"/>
    <x v="4"/>
    <s v="  0702 0250020030 611"/>
    <x v="9"/>
    <x v="4"/>
    <s v="02"/>
    <x v="9"/>
    <s v="02"/>
    <x v="6"/>
    <x v="6"/>
    <s v="5"/>
    <s v="Процессная часть перечня мероприятий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474469.7000000002"/>
    <n v="2094591.1384999999"/>
    <n v="468174.73129999998"/>
    <n v="3379878.5614999998"/>
    <n v="38"/>
  </r>
  <r>
    <x v="4"/>
    <x v="4"/>
    <s v="  0702 0250020060 611"/>
    <x v="9"/>
    <x v="4"/>
    <s v="02"/>
    <x v="9"/>
    <s v="02"/>
    <x v="6"/>
    <x v="6"/>
    <s v="5"/>
    <s v="Процессная часть перечня мероприятий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013.6"/>
    <n v="67176.137100000007"/>
    <n v="19295.7863"/>
    <n v="115837.4629"/>
    <n v="37"/>
  </r>
  <r>
    <x v="4"/>
    <x v="4"/>
    <s v="  0702 0250020070 611"/>
    <x v="9"/>
    <x v="4"/>
    <s v="02"/>
    <x v="9"/>
    <s v="02"/>
    <x v="6"/>
    <x v="6"/>
    <s v="5"/>
    <s v="Процессная часть перечня мероприятий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8494.399999999994"/>
    <n v="36851.493199999997"/>
    <n v="8670.2466999999997"/>
    <n v="51642.906799999997"/>
    <n v="42"/>
  </r>
  <r>
    <x v="4"/>
    <x v="4"/>
    <s v="  0702 0250020080 633"/>
    <x v="9"/>
    <x v="4"/>
    <s v="02"/>
    <x v="9"/>
    <s v="02"/>
    <x v="6"/>
    <x v="6"/>
    <s v="5"/>
    <s v="Процессная часть перечня мероприятий"/>
    <s v="0250020080"/>
    <s v="Субсидии частным образовательным организациям для реализации основных общеобразовательных программ"/>
    <s v="633"/>
    <s v="Субсидии (гранты в форме субсидий), не подлежащие казначейскому сопровождению"/>
    <s v="Администрация Кировского района Санкт-Петербурга"/>
    <s v="7805059546"/>
    <n v="1102.9000000000001"/>
    <n v="0"/>
    <n v="0"/>
    <n v="1102.9000000000001"/>
    <n v="0"/>
  </r>
  <r>
    <x v="4"/>
    <x v="4"/>
    <s v="  0702 0250020090 612"/>
    <x v="9"/>
    <x v="4"/>
    <s v="02"/>
    <x v="9"/>
    <s v="02"/>
    <x v="6"/>
    <x v="6"/>
    <s v="5"/>
    <s v="Процессная часть перечня мероприятий"/>
    <s v="0250020090"/>
    <s v="Расходы на обеспечение книгами и учебными изданиями для комплектования библиотек государственных образовательных учреждений, реализующих образовательные программы начального общего образования, основного общего образования, среднего общего образования, ср"/>
    <s v="612"/>
    <s v="Субсидии бюджетным учреждениям на иные цели"/>
    <s v="Администрация Кировского района Санкт-Петербурга"/>
    <s v="7805059546"/>
    <n v="123977.4"/>
    <n v="61448.475400000003"/>
    <n v="36059.110099999998"/>
    <n v="62528.924599999998"/>
    <n v="50"/>
  </r>
  <r>
    <x v="4"/>
    <x v="4"/>
    <s v="  0702 0250020110 612"/>
    <x v="9"/>
    <x v="4"/>
    <s v="02"/>
    <x v="9"/>
    <s v="02"/>
    <x v="6"/>
    <x v="6"/>
    <s v="5"/>
    <s v="Процессная часть перечня мероприятий"/>
    <s v="0250020110"/>
    <s v="Расходы на оснащение образовательных организаций современными средствами обучения и воспитания с целью повышения качества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23605.9"/>
    <n v="7265.1641"/>
    <n v="4097.5522000000001"/>
    <n v="16340.7359"/>
    <n v="31"/>
  </r>
  <r>
    <x v="4"/>
    <x v="4"/>
    <s v="  0702 0250020940 612"/>
    <x v="9"/>
    <x v="4"/>
    <s v="02"/>
    <x v="9"/>
    <s v="02"/>
    <x v="6"/>
    <x v="6"/>
    <s v="5"/>
    <s v="Процессная часть перечня мероприятий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15733.1"/>
    <n v="526.04999999999995"/>
    <n v="0"/>
    <n v="115207.05"/>
    <n v="0"/>
  </r>
  <r>
    <x v="4"/>
    <x v="4"/>
    <s v="  0702 0250021450 612"/>
    <x v="9"/>
    <x v="4"/>
    <s v="02"/>
    <x v="9"/>
    <s v="02"/>
    <x v="6"/>
    <x v="6"/>
    <s v="5"/>
    <s v="Процессная часть перечня мероприятий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9599.599999999999"/>
    <n v="3886.4928"/>
    <n v="3500.7869000000001"/>
    <n v="25713.107199999999"/>
    <n v="13"/>
  </r>
  <r>
    <x v="4"/>
    <x v="4"/>
    <s v="  0702 0250021460 612"/>
    <x v="9"/>
    <x v="4"/>
    <s v="02"/>
    <x v="9"/>
    <s v="02"/>
    <x v="6"/>
    <x v="6"/>
    <s v="5"/>
    <s v="Процессная часть перечня мероприятий"/>
    <s v="0250021460"/>
    <s v="Расходы на реализацию мероприятий проекта по вовлечению учащихся в развитие школьной инфраструктуры"/>
    <s v="612"/>
    <s v="Субсидии бюджетным учреждениям на иные цели"/>
    <s v="Администрация Кировского района Санкт-Петербурга"/>
    <s v="7805059546"/>
    <n v="14900"/>
    <n v="1221.2822000000001"/>
    <n v="1221.2822000000001"/>
    <n v="13678.7178"/>
    <n v="8"/>
  </r>
  <r>
    <x v="4"/>
    <x v="4"/>
    <s v="  0702 0350040650 612"/>
    <x v="9"/>
    <x v="4"/>
    <s v="02"/>
    <x v="9"/>
    <s v="03"/>
    <x v="7"/>
    <x v="8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340444.3"/>
    <n v="142992.71040000001"/>
    <n v="38383.0337"/>
    <n v="197451.58960000001"/>
    <n v="42"/>
  </r>
  <r>
    <x v="4"/>
    <x v="4"/>
    <s v="  0702 03500R3040 612"/>
    <x v="9"/>
    <x v="4"/>
    <s v="02"/>
    <x v="9"/>
    <s v="03"/>
    <x v="7"/>
    <x v="8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88979.20000000001"/>
    <n v="114564.7626"/>
    <n v="27027.027300000002"/>
    <n v="74414.437399999995"/>
    <n v="61"/>
  </r>
  <r>
    <x v="4"/>
    <x v="4"/>
    <s v="  0703 0250020300 611"/>
    <x v="10"/>
    <x v="4"/>
    <s v="03"/>
    <x v="10"/>
    <s v="02"/>
    <x v="6"/>
    <x v="6"/>
    <s v="5"/>
    <s v="Процессная часть перечня мероприятий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00340.90000000002"/>
    <n v="103858.36229999999"/>
    <n v="21240.540700000001"/>
    <n v="196482.53769999999"/>
    <n v="35"/>
  </r>
  <r>
    <x v="4"/>
    <x v="4"/>
    <s v="  0707 1750078010 611"/>
    <x v="11"/>
    <x v="4"/>
    <s v="07"/>
    <x v="11"/>
    <s v="17"/>
    <x v="3"/>
    <x v="3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41260.4"/>
    <n v="59405.8776"/>
    <n v="17357.537700000001"/>
    <n v="181854.52239999999"/>
    <n v="25"/>
  </r>
  <r>
    <x v="4"/>
    <x v="4"/>
    <s v="  0707 175007856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82757.8"/>
    <n v="0"/>
    <n v="0"/>
    <n v="82757.8"/>
    <n v="0"/>
  </r>
  <r>
    <x v="4"/>
    <x v="4"/>
    <s v="  0707 175007945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724.3"/>
    <n v="0"/>
    <n v="0"/>
    <n v="1724.3"/>
    <n v="0"/>
  </r>
  <r>
    <x v="4"/>
    <x v="4"/>
    <s v="  0707 175007946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23957.3"/>
    <n v="1656.4585999999999"/>
    <n v="1656.4585999999999"/>
    <n v="22300.841400000001"/>
    <n v="7"/>
  </r>
  <r>
    <x v="4"/>
    <x v="4"/>
    <s v="  0709 021Ю650500 612"/>
    <x v="12"/>
    <x v="4"/>
    <s v="09"/>
    <x v="12"/>
    <s v="02"/>
    <x v="6"/>
    <x v="7"/>
    <s v="1"/>
    <s v="Региональные проекты, входящие в состав национальных проектов"/>
    <s v="021Ю650500"/>
    <s v="Расходы на ежемесячное денежное вознаграждение советникам директоров по воспитанию и взаимодействию с детскими общественными объединениями государственных общеобразовательных организаций, профессиональных образовательных организац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437.3"/>
    <n v="2291.2800000000002"/>
    <n v="1145.5999999999999"/>
    <n v="1146.02"/>
    <n v="67"/>
  </r>
  <r>
    <x v="4"/>
    <x v="4"/>
    <s v="  0709 0250020100 612"/>
    <x v="12"/>
    <x v="4"/>
    <s v="09"/>
    <x v="12"/>
    <s v="02"/>
    <x v="6"/>
    <x v="6"/>
    <s v="5"/>
    <s v="Процессная часть перечня мероприятий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718.3"/>
    <n v="1718.3"/>
    <n v="0"/>
    <n v="0"/>
    <n v="100"/>
  </r>
  <r>
    <x v="4"/>
    <x v="4"/>
    <s v="  0709 0250020370 244"/>
    <x v="12"/>
    <x v="4"/>
    <s v="09"/>
    <x v="12"/>
    <s v="02"/>
    <x v="6"/>
    <x v="6"/>
    <s v="5"/>
    <s v="Процессная часть перечня мероприятий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5084.9"/>
    <n v="2447.6"/>
    <n v="0"/>
    <n v="92637.3"/>
    <n v="3"/>
  </r>
  <r>
    <x v="4"/>
    <x v="4"/>
    <s v="  0709 0250020370 612"/>
    <x v="12"/>
    <x v="4"/>
    <s v="09"/>
    <x v="12"/>
    <s v="02"/>
    <x v="6"/>
    <x v="6"/>
    <s v="5"/>
    <s v="Процессная часть перечня мероприятий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4782.4"/>
    <n v="502.04410000000001"/>
    <n v="260.79000000000002"/>
    <n v="14280.3559"/>
    <n v="3"/>
  </r>
  <r>
    <x v="4"/>
    <x v="4"/>
    <s v="  0709 0250020430 611"/>
    <x v="12"/>
    <x v="4"/>
    <s v="09"/>
    <x v="12"/>
    <s v="02"/>
    <x v="6"/>
    <x v="6"/>
    <s v="5"/>
    <s v="Процессная часть перечня мероприятий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6883.7"/>
    <n v="21666.784599999999"/>
    <n v="5234.1531000000004"/>
    <n v="25216.915400000002"/>
    <n v="46"/>
  </r>
  <r>
    <x v="4"/>
    <x v="4"/>
    <s v="  0709 0250020440 611"/>
    <x v="12"/>
    <x v="4"/>
    <s v="09"/>
    <x v="12"/>
    <s v="02"/>
    <x v="6"/>
    <x v="6"/>
    <s v="5"/>
    <s v="Процессная часть перечня мероприятий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6303.8"/>
    <n v="27412.064200000001"/>
    <n v="6391.9438"/>
    <n v="38891.735800000002"/>
    <n v="41"/>
  </r>
  <r>
    <x v="4"/>
    <x v="4"/>
    <s v="  0709 0250021090 612"/>
    <x v="12"/>
    <x v="4"/>
    <s v="09"/>
    <x v="12"/>
    <s v="02"/>
    <x v="6"/>
    <x v="6"/>
    <s v="5"/>
    <s v="Процессная часть перечня мероприятий"/>
    <s v="0250021090"/>
    <s v="Расходы на подготовку и проведение государственной итоговой аттестации по образовательным программам основного общего и среднего обще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1095.5"/>
    <n v="0"/>
    <n v="0"/>
    <n v="21095.5"/>
    <n v="0"/>
  </r>
  <r>
    <x v="4"/>
    <x v="4"/>
    <s v="  0709 0250021190 612"/>
    <x v="12"/>
    <x v="4"/>
    <s v="09"/>
    <x v="12"/>
    <s v="02"/>
    <x v="6"/>
    <x v="6"/>
    <s v="5"/>
    <s v="Процессная часть перечня мероприятий"/>
    <s v="0250021190"/>
    <s v="Расходы на ремонт и оснащение спортивных сооружений (стадионов) государственных образовательных учрежден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5928.5"/>
    <n v="0"/>
    <n v="0"/>
    <n v="5928.5"/>
    <n v="0"/>
  </r>
  <r>
    <x v="4"/>
    <x v="4"/>
    <s v="  0709 0250021770 612"/>
    <x v="12"/>
    <x v="4"/>
    <s v="09"/>
    <x v="12"/>
    <s v="02"/>
    <x v="6"/>
    <x v="6"/>
    <s v="5"/>
    <s v="Процессная часть перечня мероприятий"/>
    <s v="0250021770"/>
    <s v="Расходы на прочие мероприятия в области образования"/>
    <s v="612"/>
    <s v="Субсидии бюджетным учреждениям на иные цели"/>
    <s v="Администрация Кировского района Санкт-Петербурга"/>
    <s v="7805059546"/>
    <n v="7523.1"/>
    <n v="0"/>
    <n v="0"/>
    <n v="7523.1"/>
    <n v="0"/>
  </r>
  <r>
    <x v="4"/>
    <x v="4"/>
    <s v="  0709 1750078650 612"/>
    <x v="12"/>
    <x v="4"/>
    <s v="09"/>
    <x v="12"/>
    <s v="17"/>
    <x v="3"/>
    <x v="3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48"/>
    <n v="8"/>
    <n v="452"/>
    <n v="10"/>
  </r>
  <r>
    <x v="4"/>
    <x v="4"/>
    <s v="  0709 9950003450 244"/>
    <x v="12"/>
    <x v="4"/>
    <s v="09"/>
    <x v="12"/>
    <s v="99"/>
    <x v="0"/>
    <x v="0"/>
    <s v="5"/>
    <s v="Процессная часть перечня мероприятий"/>
    <s v="9950003450"/>
    <s v="Расходы на материальное обеспечение деятельности регионального отделения Движения первых Санкт-Петербурга"/>
    <s v="244"/>
    <s v="Прочая закупка товаров, работ и услуг"/>
    <s v="Администрация Кировского района Санкт-Петербурга"/>
    <s v="7805059546"/>
    <n v="900.4"/>
    <n v="0"/>
    <n v="0"/>
    <n v="900.4"/>
    <n v="0"/>
  </r>
  <r>
    <x v="4"/>
    <x v="4"/>
    <s v="  0709 9950003450 247"/>
    <x v="12"/>
    <x v="4"/>
    <s v="09"/>
    <x v="12"/>
    <s v="99"/>
    <x v="0"/>
    <x v="0"/>
    <s v="5"/>
    <s v="Процессная часть перечня мероприятий"/>
    <s v="9950003450"/>
    <s v="Расходы на материальное обеспечение деятельности регионального отделения Движения первых Санкт-Петербурга"/>
    <s v="247"/>
    <s v="Закупка энергетических ресурсов"/>
    <s v="Администрация Кировского района Санкт-Петербурга"/>
    <s v="7805059546"/>
    <n v="67.400000000000006"/>
    <n v="0"/>
    <n v="0"/>
    <n v="67.400000000000006"/>
    <n v="0"/>
  </r>
  <r>
    <x v="4"/>
    <x v="4"/>
    <s v="  0801 085007008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080"/>
    <s v="Субсидии бюджетным 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63750"/>
    <n v="103821.28019999999"/>
    <n v="20792.412199999999"/>
    <n v="159928.71979999999"/>
    <n v="39"/>
  </r>
  <r>
    <x v="4"/>
    <x v="4"/>
    <s v="  0801 085007009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090"/>
    <s v="Субсидии бюджетным 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93678.1"/>
    <n v="34750.208500000001"/>
    <n v="6364.8850000000002"/>
    <n v="58927.891499999998"/>
    <n v="37"/>
  </r>
  <r>
    <x v="4"/>
    <x v="4"/>
    <s v="  0801 085007017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170"/>
    <s v="Субсидии бюджетным 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07715.20000000001"/>
    <n v="90245.331999999995"/>
    <n v="19217.194500000001"/>
    <n v="117469.868"/>
    <n v="43"/>
  </r>
  <r>
    <x v="4"/>
    <x v="4"/>
    <s v="  0801 085007027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270"/>
    <s v="Субсидии бюджетным 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7050.7"/>
    <n v="32361.605899999999"/>
    <n v="6426.8847999999998"/>
    <n v="54689.094100000002"/>
    <n v="37"/>
  </r>
  <r>
    <x v="4"/>
    <x v="4"/>
    <s v="  0801 0850070470 244"/>
    <x v="13"/>
    <x v="5"/>
    <s v="01"/>
    <x v="13"/>
    <s v="08"/>
    <x v="8"/>
    <x v="9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9529.5"/>
    <n v="3980.9816999999998"/>
    <n v="2361.9083999999998"/>
    <n v="5548.5182999999997"/>
    <n v="42"/>
  </r>
  <r>
    <x v="4"/>
    <x v="4"/>
    <s v="  0801 085007047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612"/>
    <s v="Субсидии бюджетным учреждениям на иные цели"/>
    <s v="Администрация Кировского района Санкт-Петербурга"/>
    <s v="7805059546"/>
    <n v="2252"/>
    <n v="0"/>
    <n v="0"/>
    <n v="2252"/>
    <n v="0"/>
  </r>
  <r>
    <x v="4"/>
    <x v="4"/>
    <s v="  0801 085007096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0264.799999999999"/>
    <n v="0"/>
    <n v="0"/>
    <n v="10264.799999999999"/>
    <n v="0"/>
  </r>
  <r>
    <x v="4"/>
    <x v="4"/>
    <s v="  0801 085007161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128.69999999999999"/>
    <n v="128.69999999999999"/>
    <n v="128.69999999999999"/>
    <n v="0"/>
    <n v="100"/>
  </r>
  <r>
    <x v="4"/>
    <x v="4"/>
    <s v="  0804 0850070060 244"/>
    <x v="14"/>
    <x v="5"/>
    <s v="04"/>
    <x v="14"/>
    <s v="08"/>
    <x v="8"/>
    <x v="9"/>
    <s v="5"/>
    <s v="Процессная часть перечня мероприятий государственной программы"/>
    <s v="0850070060"/>
    <s v="Расходы на содержание и ремонт памятников ансамбля «Зеленый пояс Славы»"/>
    <s v="244"/>
    <s v="Прочая закупка товаров, работ и услуг"/>
    <s v="Администрация Кировского района Санкт-Петербурга"/>
    <s v="7805059546"/>
    <n v="16495.3"/>
    <n v="0"/>
    <n v="0"/>
    <n v="16495.3"/>
    <n v="0"/>
  </r>
  <r>
    <x v="4"/>
    <x v="4"/>
    <s v="  0804 0850071320 612"/>
    <x v="14"/>
    <x v="5"/>
    <s v="04"/>
    <x v="14"/>
    <s v="08"/>
    <x v="8"/>
    <x v="9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8766.7000000000007"/>
    <n v="0"/>
    <n v="0"/>
    <n v="8766.7000000000007"/>
    <n v="0"/>
  </r>
  <r>
    <x v="4"/>
    <x v="4"/>
    <s v="  0902 0150010080 611"/>
    <x v="15"/>
    <x v="6"/>
    <s v="02"/>
    <x v="15"/>
    <s v="01"/>
    <x v="9"/>
    <x v="10"/>
    <s v="5"/>
    <s v="Процессная часть перечня мероприятий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62520.5"/>
    <n v="250171.83739999999"/>
    <n v="51579.099600000001"/>
    <n v="412348.66259999998"/>
    <n v="38"/>
  </r>
  <r>
    <x v="4"/>
    <x v="4"/>
    <s v="  0902 0150010080 614"/>
    <x v="15"/>
    <x v="6"/>
    <s v="02"/>
    <x v="15"/>
    <s v="01"/>
    <x v="9"/>
    <x v="10"/>
    <s v="5"/>
    <s v="Процессная часть перечня мероприятий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379.7"/>
    <n v="1371.0073"/>
    <n v="504.0521"/>
    <n v="4008.6927000000001"/>
    <n v="25"/>
  </r>
  <r>
    <x v="4"/>
    <x v="4"/>
    <s v="  0909 011Д153652 612"/>
    <x v="16"/>
    <x v="6"/>
    <s v="09"/>
    <x v="16"/>
    <s v="01"/>
    <x v="9"/>
    <x v="11"/>
    <s v="1"/>
    <s v="Региональные проекты, входящие в состав национальных проектов"/>
    <s v="011Д1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104471.3"/>
    <n v="88428.677200000006"/>
    <n v="10399.997300000001"/>
    <n v="16042.622799999999"/>
    <n v="85"/>
  </r>
  <r>
    <x v="4"/>
    <x v="4"/>
    <s v="  0909 011Д757520 612"/>
    <x v="16"/>
    <x v="6"/>
    <s v="09"/>
    <x v="16"/>
    <s v="01"/>
    <x v="9"/>
    <x v="11"/>
    <s v="1"/>
    <s v="Региональные проекты, входящие в состав национальных проектов"/>
    <s v="011Д757520"/>
    <s v="Расходы на оснащение (дооснащение и (или) переоснащение) медицинскими изделиями медицинских организаций, имеющих в своей структуре подразделения, оказывающие медицинскую помощь по медицинской реабилитации"/>
    <s v="612"/>
    <s v="Субсидии бюджетным учреждениям на иные цели"/>
    <s v="Администрация Кировского района Санкт-Петербурга"/>
    <s v="7805059546"/>
    <n v="12819.6"/>
    <n v="0"/>
    <n v="0"/>
    <n v="12819.6"/>
    <n v="0"/>
  </r>
  <r>
    <x v="4"/>
    <x v="4"/>
    <s v="  0909 0150010020 612"/>
    <x v="16"/>
    <x v="6"/>
    <s v="09"/>
    <x v="16"/>
    <s v="01"/>
    <x v="9"/>
    <x v="10"/>
    <s v="5"/>
    <s v="Процессная часть перечня мероприятий"/>
    <s v="0150010020"/>
    <s v="Расходы на профилактику инфекционных заболеваний, включая иммунопрофилактику"/>
    <s v="612"/>
    <s v="Субсидии бюджетным учреждениям на иные цели"/>
    <s v="Администрация Кировского района Санкт-Петербурга"/>
    <s v="7805059546"/>
    <n v="34518.6"/>
    <n v="8605.0833000000002"/>
    <n v="3900.3703999999998"/>
    <n v="25913.5167"/>
    <n v="25"/>
  </r>
  <r>
    <x v="4"/>
    <x v="4"/>
    <s v="  0909 0150010100 244"/>
    <x v="16"/>
    <x v="6"/>
    <s v="09"/>
    <x v="16"/>
    <s v="01"/>
    <x v="9"/>
    <x v="10"/>
    <s v="5"/>
    <s v="Процессная часть перечня мероприятий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48.2"/>
    <n v="0"/>
    <n v="0"/>
    <n v="48.2"/>
    <n v="0"/>
  </r>
  <r>
    <x v="4"/>
    <x v="4"/>
    <s v="  0909 0150010520 612"/>
    <x v="16"/>
    <x v="6"/>
    <s v="09"/>
    <x v="16"/>
    <s v="01"/>
    <x v="9"/>
    <x v="10"/>
    <s v="5"/>
    <s v="Процессная часть перечня мероприятий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223871.4"/>
    <n v="42226.438099999999"/>
    <n v="21704.329000000002"/>
    <n v="181644.96189999999"/>
    <n v="19"/>
  </r>
  <r>
    <x v="4"/>
    <x v="4"/>
    <s v="  0909 0150010650 612"/>
    <x v="16"/>
    <x v="6"/>
    <s v="09"/>
    <x v="16"/>
    <s v="01"/>
    <x v="9"/>
    <x v="10"/>
    <s v="5"/>
    <s v="Процессная часть перечня мероприятий"/>
    <s v="0150010650"/>
    <s v="Расходы на приобретение немонтируемого оборудования и инвентаря для оснащения вводных объектов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29779.9"/>
    <n v="0"/>
    <n v="0"/>
    <n v="29779.9"/>
    <n v="0"/>
  </r>
  <r>
    <x v="4"/>
    <x v="4"/>
    <s v="  0909 0150010660 612"/>
    <x v="16"/>
    <x v="6"/>
    <s v="09"/>
    <x v="16"/>
    <s v="01"/>
    <x v="9"/>
    <x v="10"/>
    <s v="5"/>
    <s v="Процессная часть перечня мероприятий"/>
    <s v="0150010660"/>
    <s v="Расходы на обеспечение доступности учреждений здравоохранения для инвалидов и других маломобильных групп населения"/>
    <s v="612"/>
    <s v="Субсидии бюджетным учреждениям на иные цели"/>
    <s v="Администрация Кировского района Санкт-Петербурга"/>
    <s v="7805059546"/>
    <n v="7460.5"/>
    <n v="0"/>
    <n v="0"/>
    <n v="7460.5"/>
    <n v="0"/>
  </r>
  <r>
    <x v="4"/>
    <x v="4"/>
    <s v="  0909 0150010880 612"/>
    <x v="16"/>
    <x v="6"/>
    <s v="09"/>
    <x v="16"/>
    <s v="01"/>
    <x v="9"/>
    <x v="10"/>
    <s v="5"/>
    <s v="Процессная часть перечня мероприятий"/>
    <s v="0150010880"/>
    <s v="Субсидии государственным учреждениям здравоохранения на оказание экстренной медицинской помощи иностранным гражданам и гражданам не идентифицированным и не застрахованным в системе ОМС при заболеваниях, включенных в базовую программу ОМС"/>
    <s v="612"/>
    <s v="Субсидии бюджетным учреждениям на иные цели"/>
    <s v="Администрация Кировского района Санкт-Петербурга"/>
    <s v="7805059546"/>
    <n v="1889.2"/>
    <n v="0"/>
    <n v="0"/>
    <n v="1889.2"/>
    <n v="0"/>
  </r>
  <r>
    <x v="4"/>
    <x v="4"/>
    <s v="  0909 0150011000 612"/>
    <x v="16"/>
    <x v="6"/>
    <s v="09"/>
    <x v="16"/>
    <s v="01"/>
    <x v="9"/>
    <x v="10"/>
    <s v="5"/>
    <s v="Процессная часть перечня мероприятий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45132.3"/>
    <n v="11562.393899999999"/>
    <n v="2911.4861999999998"/>
    <n v="33569.9061"/>
    <n v="26"/>
  </r>
  <r>
    <x v="4"/>
    <x v="4"/>
    <s v="  0909 0150011010 612"/>
    <x v="16"/>
    <x v="6"/>
    <s v="09"/>
    <x v="16"/>
    <s v="01"/>
    <x v="9"/>
    <x v="10"/>
    <s v="5"/>
    <s v="Процессная часть перечня мероприятий"/>
    <s v="0150011010"/>
    <s v="Субсидии государственным учреждениям здравоохранения Санкт-Петербурга в целях поддержания высокого уровня оказания медицинской помощи и усиления кадрового потенциала в государственных учреждениях здравоохранения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5997.5"/>
    <n v="0"/>
    <n v="0"/>
    <n v="5997.5"/>
    <n v="0"/>
  </r>
  <r>
    <x v="4"/>
    <x v="4"/>
    <s v="  0909 0150054680 612"/>
    <x v="16"/>
    <x v="6"/>
    <s v="09"/>
    <x v="16"/>
    <s v="01"/>
    <x v="9"/>
    <x v="10"/>
    <s v="5"/>
    <s v="Процессная часть перечня мероприятий"/>
    <s v="01500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100.2"/>
    <n v="100.11799999999999"/>
    <n v="0"/>
    <n v="8.2000000000000003E-2"/>
    <n v="100"/>
  </r>
  <r>
    <x v="4"/>
    <x v="4"/>
    <s v="  0909 0650090160 612"/>
    <x v="16"/>
    <x v="6"/>
    <s v="09"/>
    <x v="16"/>
    <s v="06"/>
    <x v="1"/>
    <x v="1"/>
    <s v="5"/>
    <s v="Процессная часть перечня мероприятий государственной программы"/>
    <s v="0650090160"/>
    <s v="Расходы на мероприятия по пожарной безопасности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3155.1"/>
    <n v="179.7971"/>
    <n v="179.7971"/>
    <n v="2975.3029000000001"/>
    <n v="6"/>
  </r>
  <r>
    <x v="4"/>
    <x v="4"/>
    <s v="  1002 035004046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11289.8"/>
    <n v="84654.713600000003"/>
    <n v="17594.038700000001"/>
    <n v="126635.0864"/>
    <n v="40"/>
  </r>
  <r>
    <x v="4"/>
    <x v="4"/>
    <s v="  1002 035004046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21225"/>
    <n v="7693.6974"/>
    <n v="2949.3420999999998"/>
    <n v="13531.302600000001"/>
    <n v="36"/>
  </r>
  <r>
    <x v="4"/>
    <x v="4"/>
    <s v="  1002 035004048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994.2"/>
    <n v="1576.2246"/>
    <n v="269.88850000000002"/>
    <n v="2417.9753999999998"/>
    <n v="39"/>
  </r>
  <r>
    <x v="4"/>
    <x v="4"/>
    <s v="  1002 035004048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28356.9"/>
    <n v="55163.075100000002"/>
    <n v="11333.6463"/>
    <n v="73193.824900000007"/>
    <n v="43"/>
  </r>
  <r>
    <x v="4"/>
    <x v="4"/>
    <s v="  1002 035004053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21376.1"/>
    <n v="18259.561099999999"/>
    <n v="18259.561099999999"/>
    <n v="3116.5389"/>
    <n v="85"/>
  </r>
  <r>
    <x v="4"/>
    <x v="4"/>
    <s v="  1002 035004063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630"/>
    <s v="Субсидии бюджетным учреждениям - комплексным центрам социального обслуживания населения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5133.5"/>
    <n v="5216.6211000000003"/>
    <n v="3164.6736999999998"/>
    <n v="9916.8788999999997"/>
    <n v="34"/>
  </r>
  <r>
    <x v="4"/>
    <x v="4"/>
    <s v="  1002 035004063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630"/>
    <s v="Субсидии бюджетным учреждениям - комплексным центрам социального обслуживания населения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09027.5"/>
    <n v="216500.18830000001"/>
    <n v="46269.845800000003"/>
    <n v="292527.31170000002"/>
    <n v="43"/>
  </r>
  <r>
    <x v="4"/>
    <x v="4"/>
    <s v="  1002 035004064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541.7"/>
    <n v="1510.5424"/>
    <n v="384.6223"/>
    <n v="3031.1576"/>
    <n v="33"/>
  </r>
  <r>
    <x v="4"/>
    <x v="4"/>
    <s v="  1002 035004064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9802"/>
    <n v="22782.485799999999"/>
    <n v="4496.1469999999999"/>
    <n v="37019.514199999998"/>
    <n v="38"/>
  </r>
  <r>
    <x v="4"/>
    <x v="4"/>
    <s v="  1002 035004120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41200"/>
    <s v="Расходы на приобретение немонтируемого оборудования и инвентаря для оснащения вводных объектов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3856.7"/>
    <n v="847.63739999999996"/>
    <n v="847.63739999999996"/>
    <n v="3009.0626000000002"/>
    <n v="22"/>
  </r>
  <r>
    <x v="4"/>
    <x v="4"/>
    <s v="  1002 03500R514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R5140"/>
    <s v="Расходы на реализацию мероприятий по формированию системы комплексной реабилитации и абилитации инвалидов, в том числе детей-инвалидов"/>
    <s v="612"/>
    <s v="Субсидии бюджетным учреждениям на иные цели"/>
    <s v="Администрация Кировского района Санкт-Петербурга"/>
    <s v="7805059546"/>
    <n v="2500"/>
    <n v="0"/>
    <n v="0"/>
    <n v="2500"/>
    <n v="0"/>
  </r>
  <r>
    <x v="4"/>
    <x v="4"/>
    <s v="  1003 0350040240 612"/>
    <x v="18"/>
    <x v="7"/>
    <s v="03"/>
    <x v="18"/>
    <s v="03"/>
    <x v="7"/>
    <x v="8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51205.3"/>
    <n v="38435.2235"/>
    <n v="5232.7635"/>
    <n v="12770.076499999999"/>
    <n v="75"/>
  </r>
  <r>
    <x v="4"/>
    <x v="4"/>
    <s v="  1004 031Я253130 612"/>
    <x v="19"/>
    <x v="7"/>
    <s v="04"/>
    <x v="19"/>
    <s v="03"/>
    <x v="7"/>
    <x v="13"/>
    <s v="1"/>
    <s v="Региональные проекты, входящие в состав национальных проектов"/>
    <s v="031Я253130"/>
    <s v="Расходы на реализацию мероприятий программы по повышению рождаемости в Санкт-Петербурге"/>
    <s v="612"/>
    <s v="Субсидии бюджетным учреждениям на иные цели"/>
    <s v="Администрация Кировского района Санкт-Петербурга"/>
    <s v="7805059546"/>
    <n v="11784.4"/>
    <n v="0"/>
    <n v="0"/>
    <n v="11784.4"/>
    <n v="0"/>
  </r>
  <r>
    <x v="4"/>
    <x v="4"/>
    <s v="  1004 0950083620 323"/>
    <x v="19"/>
    <x v="7"/>
    <s v="04"/>
    <x v="19"/>
    <s v="09"/>
    <x v="4"/>
    <x v="4"/>
    <s v="5"/>
    <s v="Процессная часть перечня мероприятий"/>
    <s v="0950083620"/>
    <s v="Расходы на предоставление дополнительной меры социальной поддержки по оборудованию предметами первой необходимости жилых помещений специализированного жилищного фонда, предоставляемых детям-сиротам и детям, оставшимся без попечения родителей, лицам из их "/>
    <s v="323"/>
    <s v="Приобретение товаров, работ, услуг в пользу граждан в целях их социального обеспечения"/>
    <s v="Администрация Кировского района Санкт-Петербурга"/>
    <s v="7805059546"/>
    <n v="1328.7"/>
    <n v="658.73329999999999"/>
    <n v="309.5"/>
    <n v="669.96669999999995"/>
    <n v="50"/>
  </r>
  <r>
    <x v="4"/>
    <x v="4"/>
    <s v="  1101 0450045020 611"/>
    <x v="20"/>
    <x v="8"/>
    <s v="01"/>
    <x v="20"/>
    <s v="04"/>
    <x v="10"/>
    <x v="12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91160.4"/>
    <n v="71697.000700000004"/>
    <n v="13753.739299999999"/>
    <n v="119463.3993"/>
    <n v="38"/>
  </r>
  <r>
    <x v="4"/>
    <x v="4"/>
    <s v="  1101 0450045060 612"/>
    <x v="20"/>
    <x v="8"/>
    <s v="01"/>
    <x v="20"/>
    <s v="04"/>
    <x v="10"/>
    <x v="12"/>
    <s v="5"/>
    <s v="Процессная часть перечня мероприятий государственной программы"/>
    <s v="0450045060"/>
    <s v="Расходы на проектирование, ремонт и оснащение оборудованием внутридворовых спортивных площадок для занятий физической культурой и спортом населения"/>
    <s v="612"/>
    <s v="Субсидии бюджетным учреждениям на иные цели"/>
    <s v="Администрация Кировского района Санкт-Петербурга"/>
    <s v="7805059546"/>
    <n v="35508.9"/>
    <n v="57"/>
    <n v="57"/>
    <n v="35451.9"/>
    <n v="0"/>
  </r>
  <r>
    <x v="4"/>
    <x v="4"/>
    <s v="  1102 0450045010 612"/>
    <x v="21"/>
    <x v="8"/>
    <s v="02"/>
    <x v="21"/>
    <s v="04"/>
    <x v="10"/>
    <x v="12"/>
    <s v="5"/>
    <s v="Процессная часть перечня мероприятий государственной программы"/>
    <s v="04500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693.1"/>
    <n v="789.55"/>
    <n v="789.55"/>
    <n v="2903.55"/>
    <n v="21"/>
  </r>
  <r>
    <x v="4"/>
    <x v="4"/>
    <s v="  1103 0450045090 611"/>
    <x v="22"/>
    <x v="8"/>
    <s v="03"/>
    <x v="22"/>
    <s v="04"/>
    <x v="10"/>
    <x v="12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56415.3"/>
    <n v="111770.6061"/>
    <n v="22517.488700000002"/>
    <n v="244644.69390000001"/>
    <n v="31"/>
  </r>
  <r>
    <x v="5"/>
    <x v="5"/>
    <s v="  0103 9950000060 244"/>
    <x v="0"/>
    <x v="0"/>
    <s v="03"/>
    <x v="0"/>
    <s v="99"/>
    <x v="0"/>
    <x v="0"/>
    <s v="5"/>
    <s v="Процессная часть перечня мероприятий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597.70000000000005"/>
    <n v="111.57550000000001"/>
    <n v="22.315100000000001"/>
    <n v="486.12450000000001"/>
    <n v="19"/>
  </r>
  <r>
    <x v="5"/>
    <x v="5"/>
    <s v="  0103 9950000060 247"/>
    <x v="0"/>
    <x v="0"/>
    <s v="03"/>
    <x v="0"/>
    <s v="99"/>
    <x v="0"/>
    <x v="0"/>
    <s v="5"/>
    <s v="Процессная часть перечня мероприятий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165.3"/>
    <n v="123.1195"/>
    <n v="6.9538000000000002"/>
    <n v="42.180500000000002"/>
    <n v="74"/>
  </r>
  <r>
    <x v="5"/>
    <x v="5"/>
    <s v="  0113 0650090100 530"/>
    <x v="1"/>
    <x v="0"/>
    <s v="13"/>
    <x v="1"/>
    <s v="06"/>
    <x v="1"/>
    <x v="1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7.2"/>
    <n v="0"/>
    <n v="0"/>
    <n v="67.2"/>
    <n v="0"/>
  </r>
  <r>
    <x v="5"/>
    <x v="5"/>
    <s v="  0113 0650090830 244"/>
    <x v="1"/>
    <x v="0"/>
    <s v="13"/>
    <x v="1"/>
    <s v="06"/>
    <x v="1"/>
    <x v="1"/>
    <s v="5"/>
    <s v="Процессная часть перечня мероприятий государственной программы"/>
    <s v="0650090830"/>
    <s v="Расходы, связанные с изъятием вещей и документов при производстве по делам об административных правонарушениях"/>
    <s v="244"/>
    <s v="Прочая закупка товаров, работ и услуг"/>
    <s v="Администрация Кировского района Санкт-Петербурга"/>
    <s v="7805059546"/>
    <n v="61.9"/>
    <n v="0"/>
    <n v="0"/>
    <n v="61.9"/>
    <n v="0"/>
  </r>
  <r>
    <x v="5"/>
    <x v="5"/>
    <s v="  0113 1650099220 244"/>
    <x v="1"/>
    <x v="0"/>
    <s v="13"/>
    <x v="1"/>
    <s v="16"/>
    <x v="2"/>
    <x v="2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216.9"/>
    <n v="115.1"/>
    <n v="21"/>
    <n v="101.8"/>
    <n v="53"/>
  </r>
  <r>
    <x v="5"/>
    <x v="5"/>
    <s v="  0113 1750098720 244"/>
    <x v="1"/>
    <x v="0"/>
    <s v="13"/>
    <x v="1"/>
    <s v="17"/>
    <x v="3"/>
    <x v="3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57.5"/>
    <n v="340.46629999999999"/>
    <n v="100.5471"/>
    <n v="217.03370000000001"/>
    <n v="61"/>
  </r>
  <r>
    <x v="5"/>
    <x v="5"/>
    <s v="  0113 9950000090 121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349800.7"/>
    <n v="149222.5704"/>
    <n v="27357.034199999998"/>
    <n v="200578.12959999999"/>
    <n v="43"/>
  </r>
  <r>
    <x v="5"/>
    <x v="5"/>
    <s v="  0113 9950000090 122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00.2"/>
    <n v="9.4619999999999997"/>
    <n v="1.4690000000000001"/>
    <n v="90.738"/>
    <n v="9"/>
  </r>
  <r>
    <x v="5"/>
    <x v="5"/>
    <s v="  0113 9950000090 129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105260"/>
    <n v="46702.732300000003"/>
    <n v="7957.8175000000001"/>
    <n v="58557.267699999997"/>
    <n v="44"/>
  </r>
  <r>
    <x v="5"/>
    <x v="5"/>
    <s v="  0113 9950000090 242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102.33669999999999"/>
    <n v="10.626099999999999"/>
    <n v="197.66329999999999"/>
    <n v="34"/>
  </r>
  <r>
    <x v="5"/>
    <x v="5"/>
    <s v="  0113 9950000090 243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31341.1"/>
    <n v="4636.8482000000004"/>
    <n v="0"/>
    <n v="26704.251799999998"/>
    <n v="15"/>
  </r>
  <r>
    <x v="5"/>
    <x v="5"/>
    <s v="  0113 9950000090 244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68304.899999999994"/>
    <n v="12781.4254"/>
    <n v="2515.3476000000001"/>
    <n v="55523.474600000001"/>
    <n v="19"/>
  </r>
  <r>
    <x v="5"/>
    <x v="5"/>
    <s v="  0113 9950000090 247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962"/>
    <n v="8839.3812999999991"/>
    <n v="964.76869999999997"/>
    <n v="8122.6187"/>
    <n v="52"/>
  </r>
  <r>
    <x v="5"/>
    <x v="5"/>
    <s v="  0113 9950000090 831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112109.2"/>
    <n v="112108.8128"/>
    <n v="111627.94040000001"/>
    <n v="0.38719999999999999"/>
    <n v="100"/>
  </r>
  <r>
    <x v="5"/>
    <x v="5"/>
    <s v="  0113 9950000320 111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216958.1"/>
    <n v="101604.9287"/>
    <n v="17975.778300000002"/>
    <n v="115353.1713"/>
    <n v="47"/>
  </r>
  <r>
    <x v="5"/>
    <x v="5"/>
    <s v="  0113 9950000320 119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65398.5"/>
    <n v="27283.575499999999"/>
    <n v="4526.5587999999998"/>
    <n v="38114.924500000001"/>
    <n v="42"/>
  </r>
  <r>
    <x v="5"/>
    <x v="5"/>
    <s v="  0113 9950000320 244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4394"/>
    <n v="2793.3845999999999"/>
    <n v="597.66279999999995"/>
    <n v="1600.6153999999999"/>
    <n v="64"/>
  </r>
  <r>
    <x v="5"/>
    <x v="5"/>
    <s v="  0113 9950000320 321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321"/>
    <s v="Пособия, компенсации и иные социальные выплаты_x000a_гражданам, кроме публичных нормативных обязательств"/>
    <s v="Администрация Кировского района Санкт-Петербурга"/>
    <s v="7805059546"/>
    <n v="2.2000000000000002"/>
    <n v="2.1716000000000002"/>
    <n v="0"/>
    <n v="2.8400000000000002E-2"/>
    <n v="99"/>
  </r>
  <r>
    <x v="5"/>
    <x v="5"/>
    <s v="  0113 9950000320 852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1.8320000000000001"/>
    <n v="0"/>
    <n v="1.8680000000000001"/>
    <n v="50"/>
  </r>
  <r>
    <x v="5"/>
    <x v="5"/>
    <s v="  0113 9950000530 611"/>
    <x v="1"/>
    <x v="0"/>
    <s v="13"/>
    <x v="1"/>
    <s v="99"/>
    <x v="0"/>
    <x v="0"/>
    <s v="5"/>
    <s v="Процессная часть перечня мероприятий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1533.600000000006"/>
    <n v="37250.641000000003"/>
    <n v="6649.9845999999998"/>
    <n v="44282.959000000003"/>
    <n v="46"/>
  </r>
  <r>
    <x v="5"/>
    <x v="5"/>
    <s v="  0113 9950001480 244"/>
    <x v="1"/>
    <x v="0"/>
    <s v="13"/>
    <x v="1"/>
    <s v="99"/>
    <x v="0"/>
    <x v="0"/>
    <s v="5"/>
    <s v="Процессная часть перечня мероприятий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6096.1"/>
    <n v="3454.0772999999999"/>
    <n v="367.19420000000002"/>
    <n v="2642.0227"/>
    <n v="57"/>
  </r>
  <r>
    <x v="5"/>
    <x v="5"/>
    <s v="  0113 9950001480 247"/>
    <x v="1"/>
    <x v="0"/>
    <s v="13"/>
    <x v="1"/>
    <s v="99"/>
    <x v="0"/>
    <x v="0"/>
    <s v="5"/>
    <s v="Процессная часть перечня мероприятий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7"/>
    <s v="Закупка энергетических ресурсов"/>
    <s v="Администрация Кировского района Санкт-Петербурга"/>
    <s v="7805059546"/>
    <n v="97.5"/>
    <n v="0"/>
    <n v="0"/>
    <n v="97.5"/>
    <n v="0"/>
  </r>
  <r>
    <x v="5"/>
    <x v="5"/>
    <s v="  0309 0650090880 244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7193.2"/>
    <n v="4625.8110999999999"/>
    <n v="168.66890000000001"/>
    <n v="2567.3888999999999"/>
    <n v="64"/>
  </r>
  <r>
    <x v="5"/>
    <x v="5"/>
    <s v="  0309 0650090880 247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9131.9"/>
    <n v="5367.4305999999997"/>
    <n v="849.69200000000001"/>
    <n v="3764.4694"/>
    <n v="59"/>
  </r>
  <r>
    <x v="5"/>
    <x v="5"/>
    <s v="  0309 0650090880 851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7025.2"/>
    <n v="5608.3874999999998"/>
    <n v="0"/>
    <n v="1416.8125"/>
    <n v="80"/>
  </r>
  <r>
    <x v="5"/>
    <x v="5"/>
    <s v="  0309 0650090880 853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3"/>
    <s v="Уплата иных платежей"/>
    <s v="Администрация Кировского района Санкт-Петербурга"/>
    <s v="7805059546"/>
    <n v="3050"/>
    <n v="1878.0241000000001"/>
    <n v="282.70510000000002"/>
    <n v="1171.9758999999999"/>
    <n v="62"/>
  </r>
  <r>
    <x v="5"/>
    <x v="5"/>
    <s v="  0309 0650091060 243"/>
    <x v="2"/>
    <x v="1"/>
    <s v="09"/>
    <x v="2"/>
    <s v="06"/>
    <x v="1"/>
    <x v="1"/>
    <s v="5"/>
    <s v="Процессная часть перечня мероприятий государственной программы"/>
    <s v="0650091060"/>
    <s v="Расходы на выполнение мероприятий по обследованию и ремонту защитных сооружений гражданской обороны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19375.7"/>
    <n v="0"/>
    <n v="0"/>
    <n v="19375.7"/>
    <n v="0"/>
  </r>
  <r>
    <x v="5"/>
    <x v="5"/>
    <s v="  0314 0650090690 244"/>
    <x v="3"/>
    <x v="1"/>
    <s v="14"/>
    <x v="3"/>
    <s v="06"/>
    <x v="1"/>
    <x v="1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3.1"/>
    <n v="0"/>
    <n v="0"/>
    <n v="23.1"/>
    <n v="0"/>
  </r>
  <r>
    <x v="5"/>
    <x v="5"/>
    <s v="  0410 0650090810 244"/>
    <x v="4"/>
    <x v="2"/>
    <s v="10"/>
    <x v="4"/>
    <s v="06"/>
    <x v="1"/>
    <x v="1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244"/>
    <s v="Прочая закупка товаров, работ и услуг"/>
    <s v="Администрация Кировского района Санкт-Петербурга"/>
    <s v="7805059546"/>
    <n v="455.4"/>
    <n v="0"/>
    <n v="0"/>
    <n v="455.4"/>
    <n v="0"/>
  </r>
  <r>
    <x v="5"/>
    <x v="5"/>
    <s v="  0410 0650090810 612"/>
    <x v="4"/>
    <x v="2"/>
    <s v="10"/>
    <x v="4"/>
    <s v="06"/>
    <x v="1"/>
    <x v="1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612"/>
    <s v="Субсидии бюджетным учреждениям на иные цели"/>
    <s v="Администрация Кировского района Санкт-Петербурга"/>
    <s v="7805059546"/>
    <n v="36425.800000000003"/>
    <n v="1047.9381000000001"/>
    <n v="0"/>
    <n v="35377.861900000004"/>
    <n v="3"/>
  </r>
  <r>
    <x v="5"/>
    <x v="5"/>
    <s v="  0410 9950096170 242"/>
    <x v="4"/>
    <x v="2"/>
    <s v="10"/>
    <x v="4"/>
    <s v="99"/>
    <x v="0"/>
    <x v="0"/>
    <s v="5"/>
    <s v="Процессная часть перечня мероприятий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5651.9"/>
    <n v="930.10730000000001"/>
    <n v="0"/>
    <n v="4721.7927"/>
    <n v="16"/>
  </r>
  <r>
    <x v="5"/>
    <x v="5"/>
    <s v="  0501 0950083380 244"/>
    <x v="5"/>
    <x v="3"/>
    <s v="01"/>
    <x v="5"/>
    <s v="09"/>
    <x v="4"/>
    <x v="4"/>
    <s v="5"/>
    <s v="Процессная часть перечня мероприятий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465.8"/>
    <n v="0"/>
    <n v="0"/>
    <n v="5465.8"/>
    <n v="0"/>
  </r>
  <r>
    <x v="5"/>
    <x v="5"/>
    <s v="  0501 0950083470 244"/>
    <x v="5"/>
    <x v="3"/>
    <s v="01"/>
    <x v="5"/>
    <s v="09"/>
    <x v="4"/>
    <x v="4"/>
    <s v="5"/>
    <s v="Процессная часть перечня мероприятий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35154.699999999997"/>
    <n v="6755.4426000000003"/>
    <n v="4438.3046000000004"/>
    <n v="28399.257399999999"/>
    <n v="19"/>
  </r>
  <r>
    <x v="5"/>
    <x v="5"/>
    <s v="  0501 0950083480 244"/>
    <x v="5"/>
    <x v="3"/>
    <s v="01"/>
    <x v="5"/>
    <s v="09"/>
    <x v="4"/>
    <x v="4"/>
    <s v="5"/>
    <s v="Процессная часть перечня мероприятий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3442.8"/>
    <n v="1379.0046"/>
    <n v="1298.4835"/>
    <n v="2063.7954"/>
    <n v="40"/>
  </r>
  <r>
    <x v="5"/>
    <x v="5"/>
    <s v="  0501 0950083480 853"/>
    <x v="5"/>
    <x v="3"/>
    <s v="01"/>
    <x v="5"/>
    <s v="09"/>
    <x v="4"/>
    <x v="4"/>
    <s v="5"/>
    <s v="Процессная часть перечня мероприятий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87130.7"/>
    <n v="44007.478300000002"/>
    <n v="8157.6450999999997"/>
    <n v="43123.221700000002"/>
    <n v="51"/>
  </r>
  <r>
    <x v="5"/>
    <x v="5"/>
    <s v="  0501 0950083490 244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20212.3"/>
    <n v="8167.7663000000002"/>
    <n v="3588.0167999999999"/>
    <n v="12044.5337"/>
    <n v="40"/>
  </r>
  <r>
    <x v="5"/>
    <x v="5"/>
    <s v="  0501 0950083490 247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10536.1"/>
    <n v="4561.2565999999997"/>
    <n v="646.44169999999997"/>
    <n v="5974.8433999999997"/>
    <n v="43"/>
  </r>
  <r>
    <x v="5"/>
    <x v="5"/>
    <s v="  0501 0950083490 853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003.4"/>
    <n v="2200.0099"/>
    <n v="419.41030000000001"/>
    <n v="1803.3901000000001"/>
    <n v="55"/>
  </r>
  <r>
    <x v="5"/>
    <x v="5"/>
    <s v="  0503 105008791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Санкт-Петербурга"/>
    <s v="244"/>
    <s v="Прочая закупка товаров, работ и услуг"/>
    <s v="Администрация Кировского района Санкт-Петербурга"/>
    <s v="7805059546"/>
    <n v="694"/>
    <n v="337.5"/>
    <n v="337.5"/>
    <n v="356.5"/>
    <n v="49"/>
  </r>
  <r>
    <x v="5"/>
    <x v="5"/>
    <s v="  0503 105008793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39330.300000000003"/>
    <n v="6519.5337"/>
    <n v="1831.8484000000001"/>
    <n v="32810.766300000003"/>
    <n v="17"/>
  </r>
  <r>
    <x v="5"/>
    <x v="5"/>
    <s v="  0503 105008827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244"/>
    <s v="Прочая закупка товаров, работ и услуг"/>
    <s v="Администрация Кировского района Санкт-Петербурга"/>
    <s v="7805059546"/>
    <n v="8650"/>
    <n v="7072.3534"/>
    <n v="0"/>
    <n v="1577.6466"/>
    <n v="82"/>
  </r>
  <r>
    <x v="5"/>
    <x v="5"/>
    <s v="  0503 105008830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8300"/>
    <s v="Расходы на реализацию мероприятий по созданию и восстановлению мест (площадок) накопления твердых коммунальных отходов"/>
    <s v="244"/>
    <s v="Прочая закупка товаров, работ и услуг"/>
    <s v="Администрация Кировского района Санкт-Петербурга"/>
    <s v="7805059546"/>
    <n v="21254.1"/>
    <n v="0"/>
    <n v="0"/>
    <n v="21254.1"/>
    <n v="0"/>
  </r>
  <r>
    <x v="5"/>
    <x v="5"/>
    <s v="  0505 0950083140 111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586162.9"/>
    <n v="280264.03759999998"/>
    <n v="43801.891199999998"/>
    <n v="305898.86239999998"/>
    <n v="48"/>
  </r>
  <r>
    <x v="5"/>
    <x v="5"/>
    <s v="  0505 0950083140 119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76381.2"/>
    <n v="86524.128299999997"/>
    <n v="4689.1144000000004"/>
    <n v="89857.0717"/>
    <n v="49"/>
  </r>
  <r>
    <x v="5"/>
    <x v="5"/>
    <s v="  0505 0950083140 244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43311.9"/>
    <n v="41001.747900000002"/>
    <n v="5627.5340999999999"/>
    <n v="102310.15210000001"/>
    <n v="29"/>
  </r>
  <r>
    <x v="5"/>
    <x v="5"/>
    <s v="  0505 0950083140 247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8102"/>
    <n v="3191.0077000000001"/>
    <n v="499.75650000000002"/>
    <n v="4910.9922999999999"/>
    <n v="39"/>
  </r>
  <r>
    <x v="5"/>
    <x v="5"/>
    <s v="  0505 0950083140 831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32.5"/>
    <n v="32.341700000000003"/>
    <n v="32.341700000000003"/>
    <n v="0.1583"/>
    <n v="100"/>
  </r>
  <r>
    <x v="5"/>
    <x v="5"/>
    <s v="  0505 0950083140 851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83.2"/>
    <n v="89.35"/>
    <n v="0"/>
    <n v="93.85"/>
    <n v="49"/>
  </r>
  <r>
    <x v="5"/>
    <x v="5"/>
    <s v="  0505 0950083140 852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1260"/>
    <n v="638.16399999999999"/>
    <n v="0"/>
    <n v="621.83600000000001"/>
    <n v="51"/>
  </r>
  <r>
    <x v="5"/>
    <x v="5"/>
    <s v="  0505 0950083450 244"/>
    <x v="7"/>
    <x v="3"/>
    <s v="05"/>
    <x v="7"/>
    <s v="09"/>
    <x v="4"/>
    <x v="4"/>
    <s v="5"/>
    <s v="Процессная часть перечня мероприятий"/>
    <s v="0950083450"/>
    <s v="Расходы на проведение мероприятий по созданию условий доступности для инвалидов и иных маломобильных групп населения"/>
    <s v="244"/>
    <s v="Прочая закупка товаров, работ и услуг"/>
    <s v="Администрация Кировского района Санкт-Петербурга"/>
    <s v="7805059546"/>
    <n v="824.6"/>
    <n v="0"/>
    <n v="0"/>
    <n v="824.6"/>
    <n v="0"/>
  </r>
  <r>
    <x v="5"/>
    <x v="5"/>
    <s v="  0701 0250020010 611"/>
    <x v="8"/>
    <x v="4"/>
    <s v="01"/>
    <x v="8"/>
    <s v="02"/>
    <x v="6"/>
    <x v="6"/>
    <s v="5"/>
    <s v="Процессная часть перечня мероприятий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665542.5999999996"/>
    <n v="2604764.2184000001"/>
    <n v="518851.1716"/>
    <n v="3060778.3816"/>
    <n v="46"/>
  </r>
  <r>
    <x v="5"/>
    <x v="5"/>
    <s v="  0701 0250020110 612"/>
    <x v="8"/>
    <x v="4"/>
    <s v="01"/>
    <x v="8"/>
    <s v="02"/>
    <x v="6"/>
    <x v="6"/>
    <s v="5"/>
    <s v="Процессная часть перечня мероприятий"/>
    <s v="0250020110"/>
    <s v="Расходы на оснащение образовательных организаций современными средствами обучения и воспитания с целью повышения качества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4200"/>
    <n v="0"/>
    <n v="0"/>
    <n v="4200"/>
    <n v="0"/>
  </r>
  <r>
    <x v="5"/>
    <x v="5"/>
    <s v="  0701 0250021450 612"/>
    <x v="8"/>
    <x v="4"/>
    <s v="01"/>
    <x v="8"/>
    <s v="02"/>
    <x v="6"/>
    <x v="6"/>
    <s v="5"/>
    <s v="Процессная часть перечня мероприятий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9486.7"/>
    <n v="8075.4039000000002"/>
    <n v="3343.4974999999999"/>
    <n v="11411.2961"/>
    <n v="41"/>
  </r>
  <r>
    <x v="5"/>
    <x v="5"/>
    <s v="  0701 0250021760 612"/>
    <x v="8"/>
    <x v="4"/>
    <s v="01"/>
    <x v="8"/>
    <s v="02"/>
    <x v="6"/>
    <x v="6"/>
    <s v="5"/>
    <s v="Процессная часть перечня мероприятий"/>
    <s v="0250021760"/>
    <s v="Расходы на оснащение детских площадок образовательных учреждений, реализующих программы дошкольно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5400"/>
    <n v="2277.8229999999999"/>
    <n v="2277.8229999999999"/>
    <n v="23122.177"/>
    <n v="9"/>
  </r>
  <r>
    <x v="5"/>
    <x v="5"/>
    <s v="  0702 021Ю455590 612"/>
    <x v="9"/>
    <x v="4"/>
    <s v="02"/>
    <x v="9"/>
    <s v="02"/>
    <x v="6"/>
    <x v="7"/>
    <s v="1"/>
    <s v="Региональные проекты, входящие в состав национальных проектов"/>
    <s v="021Ю455590"/>
    <s v="Расходы на оснащение предметных кабинетов общеобразовательных организаций средствами обучения и воспитания"/>
    <s v="612"/>
    <s v="Субсидии бюджетным учреждениям на иные цели"/>
    <s v="Администрация Кировского района Санкт-Петербурга"/>
    <s v="7805059546"/>
    <n v="6609.5"/>
    <n v="6609.2277999999997"/>
    <n v="0"/>
    <n v="0.2722"/>
    <n v="100"/>
  </r>
  <r>
    <x v="5"/>
    <x v="5"/>
    <s v="  0702 021Ю651790 612"/>
    <x v="9"/>
    <x v="4"/>
    <s v="02"/>
    <x v="9"/>
    <s v="02"/>
    <x v="6"/>
    <x v="7"/>
    <s v="1"/>
    <s v="Региональные проекты, входящие в состав национальных проектов"/>
    <s v="021Ю6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9701.3"/>
    <n v="13133.406199999999"/>
    <n v="0"/>
    <n v="6567.8937999999998"/>
    <n v="67"/>
  </r>
  <r>
    <x v="5"/>
    <x v="5"/>
    <s v="  0702 021Ю653030 612"/>
    <x v="9"/>
    <x v="4"/>
    <s v="02"/>
    <x v="9"/>
    <s v="02"/>
    <x v="6"/>
    <x v="7"/>
    <s v="1"/>
    <s v="Региональные проекты, входящие в состав национальных проектов"/>
    <s v="021Ю6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98275"/>
    <n v="66032.3"/>
    <n v="0"/>
    <n v="32242.7"/>
    <n v="67"/>
  </r>
  <r>
    <x v="5"/>
    <x v="5"/>
    <s v="  0702 0250020030 611"/>
    <x v="9"/>
    <x v="4"/>
    <s v="02"/>
    <x v="9"/>
    <s v="02"/>
    <x v="6"/>
    <x v="6"/>
    <s v="5"/>
    <s v="Процессная часть перечня мероприятий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474469.7000000002"/>
    <n v="2957225.1893000002"/>
    <n v="862634.05079999997"/>
    <n v="2517244.5107"/>
    <n v="54"/>
  </r>
  <r>
    <x v="5"/>
    <x v="5"/>
    <s v="  0702 0250020060 611"/>
    <x v="9"/>
    <x v="4"/>
    <s v="02"/>
    <x v="9"/>
    <s v="02"/>
    <x v="6"/>
    <x v="6"/>
    <s v="5"/>
    <s v="Процессная часть перечня мероприятий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013.6"/>
    <n v="93903.054300000003"/>
    <n v="26726.9172"/>
    <n v="89110.545700000002"/>
    <n v="51"/>
  </r>
  <r>
    <x v="5"/>
    <x v="5"/>
    <s v="  0702 0250020070 611"/>
    <x v="9"/>
    <x v="4"/>
    <s v="02"/>
    <x v="9"/>
    <s v="02"/>
    <x v="6"/>
    <x v="6"/>
    <s v="5"/>
    <s v="Процессная часть перечня мероприятий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8494.399999999994"/>
    <n v="46429.152800000003"/>
    <n v="9577.6596000000009"/>
    <n v="42065.247199999998"/>
    <n v="52"/>
  </r>
  <r>
    <x v="5"/>
    <x v="5"/>
    <s v="  0702 0250020080 633"/>
    <x v="9"/>
    <x v="4"/>
    <s v="02"/>
    <x v="9"/>
    <s v="02"/>
    <x v="6"/>
    <x v="6"/>
    <s v="5"/>
    <s v="Процессная часть перечня мероприятий"/>
    <s v="0250020080"/>
    <s v="Субсидии частным образовательным организациям для реализации основных общеобразовательных программ"/>
    <s v="633"/>
    <s v="Субсидии (гранты в форме субсидий), не подлежащие казначейскому сопровождению"/>
    <s v="Администрация Кировского района Санкт-Петербурга"/>
    <s v="7805059546"/>
    <n v="1102.9000000000001"/>
    <n v="0"/>
    <n v="0"/>
    <n v="1102.9000000000001"/>
    <n v="0"/>
  </r>
  <r>
    <x v="5"/>
    <x v="5"/>
    <s v="  0702 0250020090 612"/>
    <x v="9"/>
    <x v="4"/>
    <s v="02"/>
    <x v="9"/>
    <s v="02"/>
    <x v="6"/>
    <x v="6"/>
    <s v="5"/>
    <s v="Процессная часть перечня мероприятий"/>
    <s v="0250020090"/>
    <s v="Расходы на обеспечение книгами и учебными изданиями для комплектования библиотек государственных образовательных учреждений, реализующих образовательные программы начального общего образования, основного общего образования, среднего общего образования, ср"/>
    <s v="612"/>
    <s v="Субсидии бюджетным учреждениям на иные цели"/>
    <s v="Администрация Кировского района Санкт-Петербурга"/>
    <s v="7805059546"/>
    <n v="123977.4"/>
    <n v="95918.685599999997"/>
    <n v="34470.210200000001"/>
    <n v="28058.714400000001"/>
    <n v="77"/>
  </r>
  <r>
    <x v="5"/>
    <x v="5"/>
    <s v="  0702 0250020110 612"/>
    <x v="9"/>
    <x v="4"/>
    <s v="02"/>
    <x v="9"/>
    <s v="02"/>
    <x v="6"/>
    <x v="6"/>
    <s v="5"/>
    <s v="Процессная часть перечня мероприятий"/>
    <s v="0250020110"/>
    <s v="Расходы на оснащение образовательных организаций современными средствами обучения и воспитания с целью повышения качества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23605.9"/>
    <n v="10586.241099999999"/>
    <n v="3321.0770000000002"/>
    <n v="13019.6589"/>
    <n v="45"/>
  </r>
  <r>
    <x v="5"/>
    <x v="5"/>
    <s v="  0702 0250020940 612"/>
    <x v="9"/>
    <x v="4"/>
    <s v="02"/>
    <x v="9"/>
    <s v="02"/>
    <x v="6"/>
    <x v="6"/>
    <s v="5"/>
    <s v="Процессная часть перечня мероприятий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15733.1"/>
    <n v="526.04999999999995"/>
    <n v="0"/>
    <n v="115207.05"/>
    <n v="0"/>
  </r>
  <r>
    <x v="5"/>
    <x v="5"/>
    <s v="  0702 0250021450 612"/>
    <x v="9"/>
    <x v="4"/>
    <s v="02"/>
    <x v="9"/>
    <s v="02"/>
    <x v="6"/>
    <x v="6"/>
    <s v="5"/>
    <s v="Процессная часть перечня мероприятий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9599.599999999999"/>
    <n v="6415.5029000000004"/>
    <n v="2529.0101"/>
    <n v="23184.097099999999"/>
    <n v="22"/>
  </r>
  <r>
    <x v="5"/>
    <x v="5"/>
    <s v="  0702 0250021460 612"/>
    <x v="9"/>
    <x v="4"/>
    <s v="02"/>
    <x v="9"/>
    <s v="02"/>
    <x v="6"/>
    <x v="6"/>
    <s v="5"/>
    <s v="Процессная часть перечня мероприятий"/>
    <s v="0250021460"/>
    <s v="Расходы на реализацию мероприятий проекта по вовлечению учащихся в развитие школьной инфраструктуры"/>
    <s v="612"/>
    <s v="Субсидии бюджетным учреждениям на иные цели"/>
    <s v="Администрация Кировского района Санкт-Петербурга"/>
    <s v="7805059546"/>
    <n v="14900"/>
    <n v="6174.7572"/>
    <n v="4953.4750000000004"/>
    <n v="8725.2428"/>
    <n v="41"/>
  </r>
  <r>
    <x v="5"/>
    <x v="5"/>
    <s v="  0702 0350040650 612"/>
    <x v="9"/>
    <x v="4"/>
    <s v="02"/>
    <x v="9"/>
    <s v="03"/>
    <x v="7"/>
    <x v="8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340444.3"/>
    <n v="163326.85130000001"/>
    <n v="20334.140899999999"/>
    <n v="177117.44870000001"/>
    <n v="48"/>
  </r>
  <r>
    <x v="5"/>
    <x v="5"/>
    <s v="  0702 03500R3040 612"/>
    <x v="9"/>
    <x v="4"/>
    <s v="02"/>
    <x v="9"/>
    <s v="03"/>
    <x v="7"/>
    <x v="8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88979.20000000001"/>
    <n v="114564.7626"/>
    <n v="0"/>
    <n v="74414.437399999995"/>
    <n v="61"/>
  </r>
  <r>
    <x v="5"/>
    <x v="5"/>
    <s v="  0703 0250020300 611"/>
    <x v="10"/>
    <x v="4"/>
    <s v="03"/>
    <x v="10"/>
    <s v="02"/>
    <x v="6"/>
    <x v="6"/>
    <s v="5"/>
    <s v="Процессная часть перечня мероприятий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00340.90000000002"/>
    <n v="140748.13159999999"/>
    <n v="36889.7693"/>
    <n v="159592.7684"/>
    <n v="47"/>
  </r>
  <r>
    <x v="5"/>
    <x v="5"/>
    <s v="  0707 1750078010 611"/>
    <x v="11"/>
    <x v="4"/>
    <s v="07"/>
    <x v="11"/>
    <s v="17"/>
    <x v="3"/>
    <x v="3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41260.4"/>
    <n v="81506.188899999994"/>
    <n v="22100.311300000001"/>
    <n v="159754.21109999999"/>
    <n v="34"/>
  </r>
  <r>
    <x v="5"/>
    <x v="5"/>
    <s v="  0707 175007856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82757.8"/>
    <n v="0"/>
    <n v="0"/>
    <n v="82757.8"/>
    <n v="0"/>
  </r>
  <r>
    <x v="5"/>
    <x v="5"/>
    <s v="  0707 175007945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724.3"/>
    <n v="185.48349999999999"/>
    <n v="185.48349999999999"/>
    <n v="1538.8164999999999"/>
    <n v="11"/>
  </r>
  <r>
    <x v="5"/>
    <x v="5"/>
    <s v="  0707 175007946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23957.3"/>
    <n v="1656.4585999999999"/>
    <n v="0"/>
    <n v="22300.841400000001"/>
    <n v="7"/>
  </r>
  <r>
    <x v="5"/>
    <x v="5"/>
    <s v="  0709 021Ю650500 612"/>
    <x v="12"/>
    <x v="4"/>
    <s v="09"/>
    <x v="12"/>
    <s v="02"/>
    <x v="6"/>
    <x v="7"/>
    <s v="1"/>
    <s v="Региональные проекты, входящие в состав национальных проектов"/>
    <s v="021Ю650500"/>
    <s v="Расходы на ежемесячное денежное вознаграждение советникам директоров по воспитанию и взаимодействию с детскими общественными объединениями государственных общеобразовательных организаций, профессиональных образовательных организац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437.3"/>
    <n v="2291.2800000000002"/>
    <n v="0"/>
    <n v="1146.02"/>
    <n v="67"/>
  </r>
  <r>
    <x v="5"/>
    <x v="5"/>
    <s v="  0709 0250020100 612"/>
    <x v="12"/>
    <x v="4"/>
    <s v="09"/>
    <x v="12"/>
    <s v="02"/>
    <x v="6"/>
    <x v="6"/>
    <s v="5"/>
    <s v="Процессная часть перечня мероприятий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718.3"/>
    <n v="1718.3"/>
    <n v="0"/>
    <n v="0"/>
    <n v="100"/>
  </r>
  <r>
    <x v="5"/>
    <x v="5"/>
    <s v="  0709 0250020370 244"/>
    <x v="12"/>
    <x v="4"/>
    <s v="09"/>
    <x v="12"/>
    <s v="02"/>
    <x v="6"/>
    <x v="6"/>
    <s v="5"/>
    <s v="Процессная часть перечня мероприятий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4089.600000000006"/>
    <n v="2447.6"/>
    <n v="0"/>
    <n v="91642"/>
    <n v="3"/>
  </r>
  <r>
    <x v="5"/>
    <x v="5"/>
    <s v="  0709 0250020370 612"/>
    <x v="12"/>
    <x v="4"/>
    <s v="09"/>
    <x v="12"/>
    <s v="02"/>
    <x v="6"/>
    <x v="6"/>
    <s v="5"/>
    <s v="Процессная часть перечня мероприятий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5777.7"/>
    <n v="1864.9540999999999"/>
    <n v="1362.91"/>
    <n v="13912.7459"/>
    <n v="12"/>
  </r>
  <r>
    <x v="5"/>
    <x v="5"/>
    <s v="  0709 0250020430 611"/>
    <x v="12"/>
    <x v="4"/>
    <s v="09"/>
    <x v="12"/>
    <s v="02"/>
    <x v="6"/>
    <x v="6"/>
    <s v="5"/>
    <s v="Процессная часть перечня мероприятий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6883.7"/>
    <n v="30128.3024"/>
    <n v="8461.5177999999996"/>
    <n v="16755.3976"/>
    <n v="64"/>
  </r>
  <r>
    <x v="5"/>
    <x v="5"/>
    <s v="  0709 0250020440 611"/>
    <x v="12"/>
    <x v="4"/>
    <s v="09"/>
    <x v="12"/>
    <s v="02"/>
    <x v="6"/>
    <x v="6"/>
    <s v="5"/>
    <s v="Процессная часть перечня мероприятий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6303.8"/>
    <n v="35515.291799999999"/>
    <n v="8103.2276000000002"/>
    <n v="30788.5082"/>
    <n v="54"/>
  </r>
  <r>
    <x v="5"/>
    <x v="5"/>
    <s v="  0709 0250021090 612"/>
    <x v="12"/>
    <x v="4"/>
    <s v="09"/>
    <x v="12"/>
    <s v="02"/>
    <x v="6"/>
    <x v="6"/>
    <s v="5"/>
    <s v="Процессная часть перечня мероприятий"/>
    <s v="0250021090"/>
    <s v="Расходы на подготовку и проведение государственной итоговой аттестации по образовательным программам основного общего и среднего обще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1095.5"/>
    <n v="2118.8425000000002"/>
    <n v="2118.8425000000002"/>
    <n v="18976.657500000001"/>
    <n v="10"/>
  </r>
  <r>
    <x v="5"/>
    <x v="5"/>
    <s v="  0709 0250021190 612"/>
    <x v="12"/>
    <x v="4"/>
    <s v="09"/>
    <x v="12"/>
    <s v="02"/>
    <x v="6"/>
    <x v="6"/>
    <s v="5"/>
    <s v="Процессная часть перечня мероприятий"/>
    <s v="0250021190"/>
    <s v="Расходы на ремонт и оснащение спортивных сооружений (стадионов) государственных образовательных учрежден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5928.5"/>
    <n v="0"/>
    <n v="0"/>
    <n v="5928.5"/>
    <n v="0"/>
  </r>
  <r>
    <x v="5"/>
    <x v="5"/>
    <s v="  0709 0250021770 612"/>
    <x v="12"/>
    <x v="4"/>
    <s v="09"/>
    <x v="12"/>
    <s v="02"/>
    <x v="6"/>
    <x v="6"/>
    <s v="5"/>
    <s v="Процессная часть перечня мероприятий"/>
    <s v="0250021770"/>
    <s v="Расходы на прочие мероприятия в области образования"/>
    <s v="612"/>
    <s v="Субсидии бюджетным учреждениям на иные цели"/>
    <s v="Администрация Кировского района Санкт-Петербурга"/>
    <s v="7805059546"/>
    <n v="7523.1"/>
    <n v="0"/>
    <n v="0"/>
    <n v="7523.1"/>
    <n v="0"/>
  </r>
  <r>
    <x v="5"/>
    <x v="5"/>
    <s v="  0709 1750078650 612"/>
    <x v="12"/>
    <x v="4"/>
    <s v="09"/>
    <x v="12"/>
    <s v="17"/>
    <x v="3"/>
    <x v="3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48"/>
    <n v="0"/>
    <n v="452"/>
    <n v="10"/>
  </r>
  <r>
    <x v="5"/>
    <x v="5"/>
    <s v="  0709 9950003450 244"/>
    <x v="12"/>
    <x v="4"/>
    <s v="09"/>
    <x v="12"/>
    <s v="99"/>
    <x v="0"/>
    <x v="0"/>
    <s v="5"/>
    <s v="Процессная часть перечня мероприятий"/>
    <s v="9950003450"/>
    <s v="Расходы на материальное обеспечение деятельности регионального отделения Движения первых Санкт-Петербурга"/>
    <s v="244"/>
    <s v="Прочая закупка товаров, работ и услуг"/>
    <s v="Администрация Кировского района Санкт-Петербурга"/>
    <s v="7805059546"/>
    <n v="900.4"/>
    <n v="0"/>
    <n v="0"/>
    <n v="900.4"/>
    <n v="0"/>
  </r>
  <r>
    <x v="5"/>
    <x v="5"/>
    <s v="  0709 9950003450 247"/>
    <x v="12"/>
    <x v="4"/>
    <s v="09"/>
    <x v="12"/>
    <s v="99"/>
    <x v="0"/>
    <x v="0"/>
    <s v="5"/>
    <s v="Процессная часть перечня мероприятий"/>
    <s v="9950003450"/>
    <s v="Расходы на материальное обеспечение деятельности регионального отделения Движения первых Санкт-Петербурга"/>
    <s v="247"/>
    <s v="Закупка энергетических ресурсов"/>
    <s v="Администрация Кировского района Санкт-Петербурга"/>
    <s v="7805059546"/>
    <n v="67.400000000000006"/>
    <n v="0"/>
    <n v="0"/>
    <n v="67.400000000000006"/>
    <n v="0"/>
  </r>
  <r>
    <x v="5"/>
    <x v="5"/>
    <s v="  0801 085007008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080"/>
    <s v="Субсидии бюджетным 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63750"/>
    <n v="125167.8894"/>
    <n v="21346.609199999999"/>
    <n v="138582.11060000001"/>
    <n v="47"/>
  </r>
  <r>
    <x v="5"/>
    <x v="5"/>
    <s v="  0801 085007009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090"/>
    <s v="Субсидии бюджетным 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93678.1"/>
    <n v="47688.844700000001"/>
    <n v="12938.636200000001"/>
    <n v="45989.255299999997"/>
    <n v="51"/>
  </r>
  <r>
    <x v="5"/>
    <x v="5"/>
    <s v="  0801 085007017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170"/>
    <s v="Субсидии бюджетным 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07715.20000000001"/>
    <n v="112478.1151"/>
    <n v="22232.783100000001"/>
    <n v="95237.084900000002"/>
    <n v="54"/>
  </r>
  <r>
    <x v="5"/>
    <x v="5"/>
    <s v="  0801 085007027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270"/>
    <s v="Субсидии бюджетным 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7050.7"/>
    <n v="41531.937899999997"/>
    <n v="9170.3320000000003"/>
    <n v="45518.7621"/>
    <n v="48"/>
  </r>
  <r>
    <x v="5"/>
    <x v="5"/>
    <s v="  0801 0850070470 244"/>
    <x v="13"/>
    <x v="5"/>
    <s v="01"/>
    <x v="13"/>
    <s v="08"/>
    <x v="8"/>
    <x v="9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9529.5"/>
    <n v="4881.9305999999997"/>
    <n v="900.94889999999998"/>
    <n v="4647.5694000000003"/>
    <n v="51"/>
  </r>
  <r>
    <x v="5"/>
    <x v="5"/>
    <s v="  0801 085007047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612"/>
    <s v="Субсидии бюджетным учреждениям на иные цели"/>
    <s v="Администрация Кировского района Санкт-Петербурга"/>
    <s v="7805059546"/>
    <n v="2252"/>
    <n v="396.52159999999998"/>
    <n v="396.52159999999998"/>
    <n v="1855.4784"/>
    <n v="18"/>
  </r>
  <r>
    <x v="5"/>
    <x v="5"/>
    <s v="  0801 085007096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0264.799999999999"/>
    <n v="0"/>
    <n v="0"/>
    <n v="10264.799999999999"/>
    <n v="0"/>
  </r>
  <r>
    <x v="5"/>
    <x v="5"/>
    <s v="  0801 085007161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128.69999999999999"/>
    <n v="128.69999999999999"/>
    <n v="0"/>
    <n v="0"/>
    <n v="100"/>
  </r>
  <r>
    <x v="5"/>
    <x v="5"/>
    <s v="  0804 0850070060 244"/>
    <x v="14"/>
    <x v="5"/>
    <s v="04"/>
    <x v="14"/>
    <s v="08"/>
    <x v="8"/>
    <x v="9"/>
    <s v="5"/>
    <s v="Процессная часть перечня мероприятий государственной программы"/>
    <s v="0850070060"/>
    <s v="Расходы на содержание и ремонт памятников ансамбля «Зеленый пояс Славы»"/>
    <s v="244"/>
    <s v="Прочая закупка товаров, работ и услуг"/>
    <s v="Администрация Кировского района Санкт-Петербурга"/>
    <s v="7805059546"/>
    <n v="16495.3"/>
    <n v="0"/>
    <n v="0"/>
    <n v="16495.3"/>
    <n v="0"/>
  </r>
  <r>
    <x v="5"/>
    <x v="5"/>
    <s v="  0804 0850071320 612"/>
    <x v="14"/>
    <x v="5"/>
    <s v="04"/>
    <x v="14"/>
    <s v="08"/>
    <x v="8"/>
    <x v="9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8766.7000000000007"/>
    <n v="0"/>
    <n v="0"/>
    <n v="8766.7000000000007"/>
    <n v="0"/>
  </r>
  <r>
    <x v="5"/>
    <x v="5"/>
    <s v="  0902 0150010080 611"/>
    <x v="15"/>
    <x v="6"/>
    <s v="02"/>
    <x v="15"/>
    <s v="01"/>
    <x v="9"/>
    <x v="10"/>
    <s v="5"/>
    <s v="Процессная часть перечня мероприятий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62520.5"/>
    <n v="313998.31280000001"/>
    <n v="63826.475400000003"/>
    <n v="348522.18719999999"/>
    <n v="47"/>
  </r>
  <r>
    <x v="5"/>
    <x v="5"/>
    <s v="  0902 0150010080 614"/>
    <x v="15"/>
    <x v="6"/>
    <s v="02"/>
    <x v="15"/>
    <s v="01"/>
    <x v="9"/>
    <x v="10"/>
    <s v="5"/>
    <s v="Процессная часть перечня мероприятий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379.7"/>
    <n v="1798.0969"/>
    <n v="427.08960000000002"/>
    <n v="3581.6030999999998"/>
    <n v="33"/>
  </r>
  <r>
    <x v="5"/>
    <x v="5"/>
    <s v="  0909 011Д153652 612"/>
    <x v="16"/>
    <x v="6"/>
    <s v="09"/>
    <x v="16"/>
    <s v="01"/>
    <x v="9"/>
    <x v="11"/>
    <s v="1"/>
    <s v="Региональные проекты, входящие в состав национальных проектов"/>
    <s v="011Д1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104471.3"/>
    <n v="88428.677200000006"/>
    <n v="0"/>
    <n v="16042.622799999999"/>
    <n v="85"/>
  </r>
  <r>
    <x v="5"/>
    <x v="5"/>
    <s v="  0909 011Д757520 612"/>
    <x v="16"/>
    <x v="6"/>
    <s v="09"/>
    <x v="16"/>
    <s v="01"/>
    <x v="9"/>
    <x v="11"/>
    <s v="1"/>
    <s v="Региональные проекты, входящие в состав национальных проектов"/>
    <s v="011Д757520"/>
    <s v="Расходы на оснащение (дооснащение и (или) переоснащение) медицинскими изделиями медицинских организаций, имеющих в своей структуре подразделения, оказывающие медицинскую помощь по медицинской реабилитации"/>
    <s v="612"/>
    <s v="Субсидии бюджетным учреждениям на иные цели"/>
    <s v="Администрация Кировского района Санкт-Петербурга"/>
    <s v="7805059546"/>
    <n v="12819.6"/>
    <n v="0"/>
    <n v="0"/>
    <n v="12819.6"/>
    <n v="0"/>
  </r>
  <r>
    <x v="5"/>
    <x v="5"/>
    <s v="  0909 0150010020 612"/>
    <x v="16"/>
    <x v="6"/>
    <s v="09"/>
    <x v="16"/>
    <s v="01"/>
    <x v="9"/>
    <x v="10"/>
    <s v="5"/>
    <s v="Процессная часть перечня мероприятий"/>
    <s v="0150010020"/>
    <s v="Расходы на профилактику инфекционных заболеваний, включая иммунопрофилактику"/>
    <s v="612"/>
    <s v="Субсидии бюджетным учреждениям на иные цели"/>
    <s v="Администрация Кировского района Санкт-Петербурга"/>
    <s v="7805059546"/>
    <n v="34518.6"/>
    <n v="11517.497300000001"/>
    <n v="2912.4140000000002"/>
    <n v="23001.102699999999"/>
    <n v="33"/>
  </r>
  <r>
    <x v="5"/>
    <x v="5"/>
    <s v="  0909 0150010100 244"/>
    <x v="16"/>
    <x v="6"/>
    <s v="09"/>
    <x v="16"/>
    <s v="01"/>
    <x v="9"/>
    <x v="10"/>
    <s v="5"/>
    <s v="Процессная часть перечня мероприятий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48.2"/>
    <n v="0"/>
    <n v="0"/>
    <n v="48.2"/>
    <n v="0"/>
  </r>
  <r>
    <x v="5"/>
    <x v="5"/>
    <s v="  0909 0150010520 612"/>
    <x v="16"/>
    <x v="6"/>
    <s v="09"/>
    <x v="16"/>
    <s v="01"/>
    <x v="9"/>
    <x v="10"/>
    <s v="5"/>
    <s v="Процессная часть перечня мероприятий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223871.4"/>
    <n v="60387.983899999999"/>
    <n v="18161.5458"/>
    <n v="163483.4161"/>
    <n v="27"/>
  </r>
  <r>
    <x v="5"/>
    <x v="5"/>
    <s v="  0909 0150010650 612"/>
    <x v="16"/>
    <x v="6"/>
    <s v="09"/>
    <x v="16"/>
    <s v="01"/>
    <x v="9"/>
    <x v="10"/>
    <s v="5"/>
    <s v="Процессная часть перечня мероприятий"/>
    <s v="0150010650"/>
    <s v="Расходы на приобретение немонтируемого оборудования и инвентаря для оснащения вводных объектов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29779.9"/>
    <n v="0"/>
    <n v="0"/>
    <n v="29779.9"/>
    <n v="0"/>
  </r>
  <r>
    <x v="5"/>
    <x v="5"/>
    <s v="  0909 0150010660 612"/>
    <x v="16"/>
    <x v="6"/>
    <s v="09"/>
    <x v="16"/>
    <s v="01"/>
    <x v="9"/>
    <x v="10"/>
    <s v="5"/>
    <s v="Процессная часть перечня мероприятий"/>
    <s v="0150010660"/>
    <s v="Расходы на обеспечение доступности учреждений здравоохранения для инвалидов и других маломобильных групп населения"/>
    <s v="612"/>
    <s v="Субсидии бюджетным учреждениям на иные цели"/>
    <s v="Администрация Кировского района Санкт-Петербурга"/>
    <s v="7805059546"/>
    <n v="7460.5"/>
    <n v="1424.1917000000001"/>
    <n v="1424.1917000000001"/>
    <n v="6036.3082999999997"/>
    <n v="19"/>
  </r>
  <r>
    <x v="5"/>
    <x v="5"/>
    <s v="  0909 0150010880 612"/>
    <x v="16"/>
    <x v="6"/>
    <s v="09"/>
    <x v="16"/>
    <s v="01"/>
    <x v="9"/>
    <x v="10"/>
    <s v="5"/>
    <s v="Процессная часть перечня мероприятий"/>
    <s v="0150010880"/>
    <s v="Субсидии государственным учреждениям здравоохранения на оказание экстренной медицинской помощи иностранным гражданам и гражданам не идентифицированным и не застрахованным в системе ОМС при заболеваниях, включенных в базовую программу ОМС"/>
    <s v="612"/>
    <s v="Субсидии бюджетным учреждениям на иные цели"/>
    <s v="Администрация Кировского района Санкт-Петербурга"/>
    <s v="7805059546"/>
    <n v="1889.2"/>
    <n v="806.99900000000002"/>
    <n v="806.99900000000002"/>
    <n v="1082.201"/>
    <n v="43"/>
  </r>
  <r>
    <x v="5"/>
    <x v="5"/>
    <s v="  0909 0150011000 612"/>
    <x v="16"/>
    <x v="6"/>
    <s v="09"/>
    <x v="16"/>
    <s v="01"/>
    <x v="9"/>
    <x v="10"/>
    <s v="5"/>
    <s v="Процессная часть перечня мероприятий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45132.3"/>
    <n v="15023.2114"/>
    <n v="3460.8175000000001"/>
    <n v="30109.088599999999"/>
    <n v="33"/>
  </r>
  <r>
    <x v="5"/>
    <x v="5"/>
    <s v="  0909 0150011010 612"/>
    <x v="16"/>
    <x v="6"/>
    <s v="09"/>
    <x v="16"/>
    <s v="01"/>
    <x v="9"/>
    <x v="10"/>
    <s v="5"/>
    <s v="Процессная часть перечня мероприятий"/>
    <s v="0150011010"/>
    <s v="Субсидии государственным учреждениям здравоохранения Санкт-Петербурга в целях поддержания высокого уровня оказания медицинской помощи и усиления кадрового потенциала в государственных учреждениях здравоохранения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5997.5"/>
    <n v="0"/>
    <n v="0"/>
    <n v="5997.5"/>
    <n v="0"/>
  </r>
  <r>
    <x v="5"/>
    <x v="5"/>
    <s v="  0909 0150054680 612"/>
    <x v="16"/>
    <x v="6"/>
    <s v="09"/>
    <x v="16"/>
    <s v="01"/>
    <x v="9"/>
    <x v="10"/>
    <s v="5"/>
    <s v="Процессная часть перечня мероприятий"/>
    <s v="01500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100.2"/>
    <n v="100.11799999999999"/>
    <n v="0"/>
    <n v="8.2000000000000003E-2"/>
    <n v="100"/>
  </r>
  <r>
    <x v="5"/>
    <x v="5"/>
    <s v="  0909 0650090160 612"/>
    <x v="16"/>
    <x v="6"/>
    <s v="09"/>
    <x v="16"/>
    <s v="06"/>
    <x v="1"/>
    <x v="1"/>
    <s v="5"/>
    <s v="Процессная часть перечня мероприятий государственной программы"/>
    <s v="0650090160"/>
    <s v="Расходы на мероприятия по пожарной безопасности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3155.1"/>
    <n v="383.0471"/>
    <n v="203.25"/>
    <n v="2772.0529000000001"/>
    <n v="12"/>
  </r>
  <r>
    <x v="5"/>
    <x v="5"/>
    <s v="  1002 035004046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11289.8"/>
    <n v="106741.9412"/>
    <n v="22087.227599999998"/>
    <n v="104547.8588"/>
    <n v="51"/>
  </r>
  <r>
    <x v="5"/>
    <x v="5"/>
    <s v="  1002 035004046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21225"/>
    <n v="9547.6515999999992"/>
    <n v="1853.9541999999999"/>
    <n v="11677.348400000001"/>
    <n v="45"/>
  </r>
  <r>
    <x v="5"/>
    <x v="5"/>
    <s v="  1002 035004048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994.2"/>
    <n v="1956.3933999999999"/>
    <n v="380.16879999999998"/>
    <n v="2037.8065999999999"/>
    <n v="49"/>
  </r>
  <r>
    <x v="5"/>
    <x v="5"/>
    <s v="  1002 035004048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28356.9"/>
    <n v="65909.043999999994"/>
    <n v="10745.9689"/>
    <n v="62447.856"/>
    <n v="51"/>
  </r>
  <r>
    <x v="5"/>
    <x v="5"/>
    <s v="  1002 035004053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21376.1"/>
    <n v="18259.561099999999"/>
    <n v="0"/>
    <n v="3116.5389"/>
    <n v="85"/>
  </r>
  <r>
    <x v="5"/>
    <x v="5"/>
    <s v="  1002 035004063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630"/>
    <s v="Субсидии бюджетным учреждениям - комплексным центрам социального обслуживания населения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5133.5"/>
    <n v="6930.8657999999996"/>
    <n v="1714.2447"/>
    <n v="8202.6342000000004"/>
    <n v="46"/>
  </r>
  <r>
    <x v="5"/>
    <x v="5"/>
    <s v="  1002 035004063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630"/>
    <s v="Субсидии бюджетным учреждениям - комплексным центрам социального обслуживания населения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09027.5"/>
    <n v="259742.05729999999"/>
    <n v="43241.868999999999"/>
    <n v="249285.44270000001"/>
    <n v="51"/>
  </r>
  <r>
    <x v="5"/>
    <x v="5"/>
    <s v="  1002 035004064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541.7"/>
    <n v="1808.126"/>
    <n v="297.58359999999999"/>
    <n v="2733.5740000000001"/>
    <n v="40"/>
  </r>
  <r>
    <x v="5"/>
    <x v="5"/>
    <s v="  1002 035004064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9802"/>
    <n v="27674.561399999999"/>
    <n v="4892.0756000000001"/>
    <n v="32127.438600000001"/>
    <n v="46"/>
  </r>
  <r>
    <x v="5"/>
    <x v="5"/>
    <s v="  1002 035004120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41200"/>
    <s v="Расходы на приобретение немонтируемого оборудования и инвентаря для оснащения вводных объектов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3856.7"/>
    <n v="2083.7556"/>
    <n v="1236.1181999999999"/>
    <n v="1772.9444000000001"/>
    <n v="54"/>
  </r>
  <r>
    <x v="5"/>
    <x v="5"/>
    <s v="  1002 03500R514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R5140"/>
    <s v="Расходы на реализацию мероприятий по формированию системы комплексной реабилитации и абилитации инвалидов, в том числе детей-инвалидов"/>
    <s v="612"/>
    <s v="Субсидии бюджетным учреждениям на иные цели"/>
    <s v="Администрация Кировского района Санкт-Петербурга"/>
    <s v="7805059546"/>
    <n v="2500"/>
    <n v="0"/>
    <n v="0"/>
    <n v="2500"/>
    <n v="0"/>
  </r>
  <r>
    <x v="5"/>
    <x v="5"/>
    <s v="  1003 0350040240 612"/>
    <x v="18"/>
    <x v="7"/>
    <s v="03"/>
    <x v="18"/>
    <s v="03"/>
    <x v="7"/>
    <x v="8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51205.3"/>
    <n v="41555.963000000003"/>
    <n v="3120.7395000000001"/>
    <n v="9649.3369999999995"/>
    <n v="81"/>
  </r>
  <r>
    <x v="5"/>
    <x v="5"/>
    <s v="  1004 031Я253130 612"/>
    <x v="19"/>
    <x v="7"/>
    <s v="04"/>
    <x v="19"/>
    <s v="03"/>
    <x v="7"/>
    <x v="13"/>
    <s v="1"/>
    <s v="Региональные проекты, входящие в состав национальных проектов"/>
    <s v="031Я253130"/>
    <s v="Расходы на реализацию мероприятий программы по повышению рождаемости в Санкт-Петербурге"/>
    <s v="612"/>
    <s v="Субсидии бюджетным учреждениям на иные цели"/>
    <s v="Администрация Кировского района Санкт-Петербурга"/>
    <s v="7805059546"/>
    <n v="11784.4"/>
    <n v="11784.34"/>
    <n v="11784.34"/>
    <n v="0.06"/>
    <n v="100"/>
  </r>
  <r>
    <x v="5"/>
    <x v="5"/>
    <s v="  1004 0950083620 323"/>
    <x v="19"/>
    <x v="7"/>
    <s v="04"/>
    <x v="19"/>
    <s v="09"/>
    <x v="4"/>
    <x v="4"/>
    <s v="5"/>
    <s v="Процессная часть перечня мероприятий"/>
    <s v="0950083620"/>
    <s v="Расходы на предоставление дополнительной меры социальной поддержки по оборудованию предметами первой необходимости жилых помещений специализированного жилищного фонда, предоставляемых детям-сиротам и детям, оставшимся без попечения родителей, лицам из их "/>
    <s v="323"/>
    <s v="Приобретение товаров, работ, услуг в пользу граждан в целях их социального обеспечения"/>
    <s v="Администрация Кировского района Санкт-Петербурга"/>
    <s v="7805059546"/>
    <n v="1328.7"/>
    <n v="658.73329999999999"/>
    <n v="0"/>
    <n v="669.96669999999995"/>
    <n v="50"/>
  </r>
  <r>
    <x v="5"/>
    <x v="5"/>
    <s v="  1101 0450045020 611"/>
    <x v="20"/>
    <x v="8"/>
    <s v="01"/>
    <x v="20"/>
    <s v="04"/>
    <x v="10"/>
    <x v="12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91160.4"/>
    <n v="89997.031000000003"/>
    <n v="18300.030299999999"/>
    <n v="101163.36900000001"/>
    <n v="47"/>
  </r>
  <r>
    <x v="5"/>
    <x v="5"/>
    <s v="  1101 0450045060 612"/>
    <x v="20"/>
    <x v="8"/>
    <s v="01"/>
    <x v="20"/>
    <s v="04"/>
    <x v="10"/>
    <x v="12"/>
    <s v="5"/>
    <s v="Процессная часть перечня мероприятий государственной программы"/>
    <s v="0450045060"/>
    <s v="Расходы на проектирование, ремонт и оснащение оборудованием внутридворовых спортивных площадок для занятий физической культурой и спортом населения"/>
    <s v="612"/>
    <s v="Субсидии бюджетным учреждениям на иные цели"/>
    <s v="Администрация Кировского района Санкт-Петербурга"/>
    <s v="7805059546"/>
    <n v="35508.9"/>
    <n v="57"/>
    <n v="0"/>
    <n v="35451.9"/>
    <n v="0"/>
  </r>
  <r>
    <x v="5"/>
    <x v="5"/>
    <s v="  1102 0450045010 612"/>
    <x v="21"/>
    <x v="8"/>
    <s v="02"/>
    <x v="21"/>
    <s v="04"/>
    <x v="10"/>
    <x v="12"/>
    <s v="5"/>
    <s v="Процессная часть перечня мероприятий государственной программы"/>
    <s v="04500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693.1"/>
    <n v="789.55"/>
    <n v="0"/>
    <n v="2903.55"/>
    <n v="21"/>
  </r>
  <r>
    <x v="5"/>
    <x v="5"/>
    <s v="  1103 0450045090 611"/>
    <x v="22"/>
    <x v="8"/>
    <s v="03"/>
    <x v="22"/>
    <s v="04"/>
    <x v="10"/>
    <x v="12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56415.3"/>
    <n v="145446.76370000001"/>
    <n v="33676.157599999999"/>
    <n v="210968.53630000001"/>
    <n v="41"/>
  </r>
  <r>
    <x v="6"/>
    <x v="6"/>
    <s v="  0103 9950000060 244"/>
    <x v="0"/>
    <x v="0"/>
    <s v="03"/>
    <x v="0"/>
    <s v="99"/>
    <x v="0"/>
    <x v="0"/>
    <s v="5"/>
    <s v="Процессная часть перечня мероприятий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597.70000000000005"/>
    <n v="125.3682"/>
    <n v="13.7927"/>
    <n v="472.33179999999999"/>
    <n v="21"/>
  </r>
  <r>
    <x v="6"/>
    <x v="6"/>
    <s v="  0103 9950000060 247"/>
    <x v="0"/>
    <x v="0"/>
    <s v="03"/>
    <x v="0"/>
    <s v="99"/>
    <x v="0"/>
    <x v="0"/>
    <s v="5"/>
    <s v="Процессная часть перечня мероприятий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165.3"/>
    <n v="128.62180000000001"/>
    <n v="5.5023"/>
    <n v="36.678199999999997"/>
    <n v="78"/>
  </r>
  <r>
    <x v="6"/>
    <x v="6"/>
    <s v="  0113 0650090100 530"/>
    <x v="1"/>
    <x v="0"/>
    <s v="13"/>
    <x v="1"/>
    <s v="06"/>
    <x v="1"/>
    <x v="1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7.2"/>
    <n v="0"/>
    <n v="0"/>
    <n v="67.2"/>
    <n v="0"/>
  </r>
  <r>
    <x v="6"/>
    <x v="6"/>
    <s v="  0113 0650090830 244"/>
    <x v="1"/>
    <x v="0"/>
    <s v="13"/>
    <x v="1"/>
    <s v="06"/>
    <x v="1"/>
    <x v="1"/>
    <s v="5"/>
    <s v="Процессная часть перечня мероприятий государственной программы"/>
    <s v="0650090830"/>
    <s v="Расходы, связанные с изъятием вещей и документов при производстве по делам об административных правонарушениях"/>
    <s v="244"/>
    <s v="Прочая закупка товаров, работ и услуг"/>
    <s v="Администрация Кировского района Санкт-Петербурга"/>
    <s v="7805059546"/>
    <n v="61.9"/>
    <n v="0"/>
    <n v="0"/>
    <n v="61.9"/>
    <n v="0"/>
  </r>
  <r>
    <x v="6"/>
    <x v="6"/>
    <s v="  0113 1650099220 244"/>
    <x v="1"/>
    <x v="0"/>
    <s v="13"/>
    <x v="1"/>
    <s v="16"/>
    <x v="2"/>
    <x v="2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216.9"/>
    <n v="122.1"/>
    <n v="7"/>
    <n v="94.8"/>
    <n v="56"/>
  </r>
  <r>
    <x v="6"/>
    <x v="6"/>
    <s v="  0113 1750098720 244"/>
    <x v="1"/>
    <x v="0"/>
    <s v="13"/>
    <x v="1"/>
    <s v="17"/>
    <x v="3"/>
    <x v="3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57.5"/>
    <n v="340.46629999999999"/>
    <n v="0"/>
    <n v="217.03370000000001"/>
    <n v="61"/>
  </r>
  <r>
    <x v="6"/>
    <x v="6"/>
    <s v="  0113 9950000090 121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349800.7"/>
    <n v="178268.8455"/>
    <n v="29046.275099999999"/>
    <n v="171531.85449999999"/>
    <n v="51"/>
  </r>
  <r>
    <x v="6"/>
    <x v="6"/>
    <s v="  0113 9950000090 122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00.2"/>
    <n v="9.4619999999999997"/>
    <n v="0"/>
    <n v="90.738"/>
    <n v="9"/>
  </r>
  <r>
    <x v="6"/>
    <x v="6"/>
    <s v="  0113 9950000090 129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105260"/>
    <n v="55000.953999999998"/>
    <n v="8298.2217000000001"/>
    <n v="50259.046000000002"/>
    <n v="52"/>
  </r>
  <r>
    <x v="6"/>
    <x v="6"/>
    <s v="  0113 9950000090 242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102.33669999999999"/>
    <n v="0"/>
    <n v="197.66329999999999"/>
    <n v="34"/>
  </r>
  <r>
    <x v="6"/>
    <x v="6"/>
    <s v="  0113 9950000090 243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31341.1"/>
    <n v="4636.8482000000004"/>
    <n v="0"/>
    <n v="26704.251799999998"/>
    <n v="15"/>
  </r>
  <r>
    <x v="6"/>
    <x v="6"/>
    <s v="  0113 9950000090 244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68304.899999999994"/>
    <n v="14360.155699999999"/>
    <n v="1578.7302999999999"/>
    <n v="53944.744299999998"/>
    <n v="21"/>
  </r>
  <r>
    <x v="6"/>
    <x v="6"/>
    <s v="  0113 9950000090 247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962"/>
    <n v="9487.7528000000002"/>
    <n v="648.37149999999997"/>
    <n v="7474.2471999999998"/>
    <n v="56"/>
  </r>
  <r>
    <x v="6"/>
    <x v="6"/>
    <s v="  0113 9950000090 831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112109.2"/>
    <n v="112108.8128"/>
    <n v="0"/>
    <n v="0.38719999999999999"/>
    <n v="100"/>
  </r>
  <r>
    <x v="6"/>
    <x v="6"/>
    <s v="  0113 9950000320 111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216958.1"/>
    <n v="120749.6961"/>
    <n v="19144.767400000001"/>
    <n v="96208.403900000005"/>
    <n v="56"/>
  </r>
  <r>
    <x v="6"/>
    <x v="6"/>
    <s v="  0113 9950000320 119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65398.5"/>
    <n v="32346.8603"/>
    <n v="5063.2848000000004"/>
    <n v="33051.6397"/>
    <n v="49"/>
  </r>
  <r>
    <x v="6"/>
    <x v="6"/>
    <s v="  0113 9950000320 244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4394"/>
    <n v="2934.4164999999998"/>
    <n v="141.03190000000001"/>
    <n v="1459.5835"/>
    <n v="67"/>
  </r>
  <r>
    <x v="6"/>
    <x v="6"/>
    <s v="  0113 9950000320 321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321"/>
    <s v="Пособия, компенсации и иные социальные выплаты_x000a_гражданам, кроме публичных нормативных обязательств"/>
    <s v="Администрация Кировского района Санкт-Петербурга"/>
    <s v="7805059546"/>
    <n v="2.2000000000000002"/>
    <n v="2.1716000000000002"/>
    <n v="0"/>
    <n v="2.8400000000000002E-2"/>
    <n v="99"/>
  </r>
  <r>
    <x v="6"/>
    <x v="6"/>
    <s v="  0113 9950000320 852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2.7480000000000002"/>
    <n v="0.91600000000000004"/>
    <n v="0.95199999999999996"/>
    <n v="74"/>
  </r>
  <r>
    <x v="6"/>
    <x v="6"/>
    <s v="  0113 9950000530 611"/>
    <x v="1"/>
    <x v="0"/>
    <s v="13"/>
    <x v="1"/>
    <s v="99"/>
    <x v="0"/>
    <x v="0"/>
    <s v="5"/>
    <s v="Процессная часть перечня мероприятий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1533.600000000006"/>
    <n v="44262.980799999998"/>
    <n v="7012.3397999999997"/>
    <n v="37270.619200000001"/>
    <n v="54"/>
  </r>
  <r>
    <x v="6"/>
    <x v="6"/>
    <s v="  0113 9950001480 244"/>
    <x v="1"/>
    <x v="0"/>
    <s v="13"/>
    <x v="1"/>
    <s v="99"/>
    <x v="0"/>
    <x v="0"/>
    <s v="5"/>
    <s v="Процессная часть перечня мероприятий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6096.1"/>
    <n v="3754.6201000000001"/>
    <n v="300.5428"/>
    <n v="2341.4798999999998"/>
    <n v="62"/>
  </r>
  <r>
    <x v="6"/>
    <x v="6"/>
    <s v="  0113 9950001480 247"/>
    <x v="1"/>
    <x v="0"/>
    <s v="13"/>
    <x v="1"/>
    <s v="99"/>
    <x v="0"/>
    <x v="0"/>
    <s v="5"/>
    <s v="Процессная часть перечня мероприятий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7"/>
    <s v="Закупка энергетических ресурсов"/>
    <s v="Администрация Кировского района Санкт-Петербурга"/>
    <s v="7805059546"/>
    <n v="97.5"/>
    <n v="0"/>
    <n v="0"/>
    <n v="97.5"/>
    <n v="0"/>
  </r>
  <r>
    <x v="6"/>
    <x v="6"/>
    <s v="  0309 0650090880 244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10451.6"/>
    <n v="6671.1424999999999"/>
    <n v="2045.3314"/>
    <n v="3780.4575"/>
    <n v="64"/>
  </r>
  <r>
    <x v="6"/>
    <x v="6"/>
    <s v="  0309 0650090880 247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9131.9"/>
    <n v="5410.4978000000001"/>
    <n v="43.0672"/>
    <n v="3721.4022"/>
    <n v="59"/>
  </r>
  <r>
    <x v="6"/>
    <x v="6"/>
    <s v="  0309 0650090880 851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8068.6"/>
    <n v="5608.3874999999998"/>
    <n v="0"/>
    <n v="2460.2125000000001"/>
    <n v="70"/>
  </r>
  <r>
    <x v="6"/>
    <x v="6"/>
    <s v="  0309 0650090880 853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3"/>
    <s v="Уплата иных платежей"/>
    <s v="Администрация Кировского района Санкт-Петербурга"/>
    <s v="7805059546"/>
    <n v="3828.8"/>
    <n v="2552.5104000000001"/>
    <n v="674.48630000000003"/>
    <n v="1276.2896000000001"/>
    <n v="67"/>
  </r>
  <r>
    <x v="6"/>
    <x v="6"/>
    <s v="  0309 0650091060 243"/>
    <x v="2"/>
    <x v="1"/>
    <s v="09"/>
    <x v="2"/>
    <s v="06"/>
    <x v="1"/>
    <x v="1"/>
    <s v="5"/>
    <s v="Процессная часть перечня мероприятий государственной программы"/>
    <s v="0650091060"/>
    <s v="Расходы на выполнение мероприятий по обследованию и ремонту защитных сооружений гражданской обороны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19375.7"/>
    <n v="4897.3999999999996"/>
    <n v="4897.3999999999996"/>
    <n v="14478.3"/>
    <n v="25"/>
  </r>
  <r>
    <x v="6"/>
    <x v="6"/>
    <s v="  0314 0650090690 244"/>
    <x v="3"/>
    <x v="1"/>
    <s v="14"/>
    <x v="3"/>
    <s v="06"/>
    <x v="1"/>
    <x v="1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3.1"/>
    <n v="18.925000000000001"/>
    <n v="18.925000000000001"/>
    <n v="4.1749999999999998"/>
    <n v="82"/>
  </r>
  <r>
    <x v="6"/>
    <x v="6"/>
    <s v="  0410 0650090810 244"/>
    <x v="4"/>
    <x v="2"/>
    <s v="10"/>
    <x v="4"/>
    <s v="06"/>
    <x v="1"/>
    <x v="1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244"/>
    <s v="Прочая закупка товаров, работ и услуг"/>
    <s v="Администрация Кировского района Санкт-Петербурга"/>
    <s v="7805059546"/>
    <n v="455.4"/>
    <n v="0"/>
    <n v="0"/>
    <n v="455.4"/>
    <n v="0"/>
  </r>
  <r>
    <x v="6"/>
    <x v="6"/>
    <s v="  0410 0650090810 612"/>
    <x v="4"/>
    <x v="2"/>
    <s v="10"/>
    <x v="4"/>
    <s v="06"/>
    <x v="1"/>
    <x v="1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612"/>
    <s v="Субсидии бюджетным учреждениям на иные цели"/>
    <s v="Администрация Кировского района Санкт-Петербурга"/>
    <s v="7805059546"/>
    <n v="36425.800000000003"/>
    <n v="1047.9381000000001"/>
    <n v="0"/>
    <n v="35377.861900000004"/>
    <n v="3"/>
  </r>
  <r>
    <x v="6"/>
    <x v="6"/>
    <s v="  0410 9950096170 242"/>
    <x v="4"/>
    <x v="2"/>
    <s v="10"/>
    <x v="4"/>
    <s v="99"/>
    <x v="0"/>
    <x v="0"/>
    <s v="5"/>
    <s v="Процессная часть перечня мероприятий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5651.9"/>
    <n v="1237.1952000000001"/>
    <n v="307.08789999999999"/>
    <n v="4414.7048000000004"/>
    <n v="22"/>
  </r>
  <r>
    <x v="6"/>
    <x v="6"/>
    <s v="  0501 0950083380 244"/>
    <x v="5"/>
    <x v="3"/>
    <s v="01"/>
    <x v="5"/>
    <s v="09"/>
    <x v="4"/>
    <x v="4"/>
    <s v="5"/>
    <s v="Процессная часть перечня мероприятий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465.8"/>
    <n v="0"/>
    <n v="0"/>
    <n v="5465.8"/>
    <n v="0"/>
  </r>
  <r>
    <x v="6"/>
    <x v="6"/>
    <s v="  0501 0950083470 244"/>
    <x v="5"/>
    <x v="3"/>
    <s v="01"/>
    <x v="5"/>
    <s v="09"/>
    <x v="4"/>
    <x v="4"/>
    <s v="5"/>
    <s v="Процессная часть перечня мероприятий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51391.8"/>
    <n v="13940.956899999999"/>
    <n v="7185.5142999999998"/>
    <n v="37450.843099999998"/>
    <n v="27"/>
  </r>
  <r>
    <x v="6"/>
    <x v="6"/>
    <s v="  0501 0950083480 244"/>
    <x v="5"/>
    <x v="3"/>
    <s v="01"/>
    <x v="5"/>
    <s v="09"/>
    <x v="4"/>
    <x v="4"/>
    <s v="5"/>
    <s v="Процессная часть перечня мероприятий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3442.8"/>
    <n v="2148.0954999999999"/>
    <n v="769.09090000000003"/>
    <n v="1294.7045000000001"/>
    <n v="62"/>
  </r>
  <r>
    <x v="6"/>
    <x v="6"/>
    <s v="  0501 0950083480 853"/>
    <x v="5"/>
    <x v="3"/>
    <s v="01"/>
    <x v="5"/>
    <s v="09"/>
    <x v="4"/>
    <x v="4"/>
    <s v="5"/>
    <s v="Процессная часть перечня мероприятий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86351.9"/>
    <n v="61798.402499999997"/>
    <n v="17790.924200000001"/>
    <n v="24553.497500000001"/>
    <n v="72"/>
  </r>
  <r>
    <x v="6"/>
    <x v="6"/>
    <s v="  0501 0950083490 244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16953.900000000001"/>
    <n v="10400.175999999999"/>
    <n v="2232.4097000000002"/>
    <n v="6553.7240000000002"/>
    <n v="61"/>
  </r>
  <r>
    <x v="6"/>
    <x v="6"/>
    <s v="  0501 0950083490 247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10536.1"/>
    <n v="4620.9507999999996"/>
    <n v="59.694200000000002"/>
    <n v="5915.1491999999998"/>
    <n v="44"/>
  </r>
  <r>
    <x v="6"/>
    <x v="6"/>
    <s v="  0501 0950083490 853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003.4"/>
    <n v="2897.9126999999999"/>
    <n v="697.90279999999996"/>
    <n v="1105.4873"/>
    <n v="72"/>
  </r>
  <r>
    <x v="6"/>
    <x v="6"/>
    <s v="  0503 105008791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Санкт-Петербурга"/>
    <s v="244"/>
    <s v="Прочая закупка товаров, работ и услуг"/>
    <s v="Администрация Кировского района Санкт-Петербурга"/>
    <s v="7805059546"/>
    <n v="894"/>
    <n v="337.5"/>
    <n v="0"/>
    <n v="556.5"/>
    <n v="38"/>
  </r>
  <r>
    <x v="6"/>
    <x v="6"/>
    <s v="  0503 105008793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39130.300000000003"/>
    <n v="7534.9349000000002"/>
    <n v="1015.4012"/>
    <n v="31595.365099999999"/>
    <n v="19"/>
  </r>
  <r>
    <x v="6"/>
    <x v="6"/>
    <s v="  0503 105008827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244"/>
    <s v="Прочая закупка товаров, работ и услуг"/>
    <s v="Администрация Кировского района Санкт-Петербурга"/>
    <s v="7805059546"/>
    <n v="8650"/>
    <n v="7072.3534"/>
    <n v="0"/>
    <n v="1577.6466"/>
    <n v="82"/>
  </r>
  <r>
    <x v="6"/>
    <x v="6"/>
    <s v="  0503 105008830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8300"/>
    <s v="Расходы на реализацию мероприятий по созданию и восстановлению мест (площадок) накопления твердых коммунальных отходов"/>
    <s v="244"/>
    <s v="Прочая закупка товаров, работ и услуг"/>
    <s v="Администрация Кировского района Санкт-Петербурга"/>
    <s v="7805059546"/>
    <n v="21254.1"/>
    <n v="0"/>
    <n v="0"/>
    <n v="21254.1"/>
    <n v="0"/>
  </r>
  <r>
    <x v="6"/>
    <x v="6"/>
    <s v="  0505 0950083140 111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586162.9"/>
    <n v="327220.9326"/>
    <n v="46956.894999999997"/>
    <n v="258941.96739999999"/>
    <n v="56"/>
  </r>
  <r>
    <x v="6"/>
    <x v="6"/>
    <s v="  0505 0950083140 119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76381.2"/>
    <n v="92896.945800000001"/>
    <n v="6372.8175000000001"/>
    <n v="83484.254199999996"/>
    <n v="53"/>
  </r>
  <r>
    <x v="6"/>
    <x v="6"/>
    <s v="  0505 0950083140 244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24679.9"/>
    <n v="48724.630700000002"/>
    <n v="7722.8828000000003"/>
    <n v="75955.2693"/>
    <n v="39"/>
  </r>
  <r>
    <x v="6"/>
    <x v="6"/>
    <s v="  0505 0950083140 247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8102"/>
    <n v="3603.5614999999998"/>
    <n v="412.55380000000002"/>
    <n v="4498.4385000000002"/>
    <n v="44"/>
  </r>
  <r>
    <x v="6"/>
    <x v="6"/>
    <s v="  0505 0950083140 831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193.7"/>
    <n v="193.48070000000001"/>
    <n v="161.13900000000001"/>
    <n v="0.21929999999999999"/>
    <n v="100"/>
  </r>
  <r>
    <x v="6"/>
    <x v="6"/>
    <s v="  0505 0950083140 851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83.2"/>
    <n v="89.35"/>
    <n v="0"/>
    <n v="93.85"/>
    <n v="49"/>
  </r>
  <r>
    <x v="6"/>
    <x v="6"/>
    <s v="  0505 0950083140 852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2450.3000000000002"/>
    <n v="823.31200000000001"/>
    <n v="185.148"/>
    <n v="1626.9880000000001"/>
    <n v="34"/>
  </r>
  <r>
    <x v="6"/>
    <x v="6"/>
    <s v="  0505 0950083450 244"/>
    <x v="7"/>
    <x v="3"/>
    <s v="05"/>
    <x v="7"/>
    <s v="09"/>
    <x v="4"/>
    <x v="4"/>
    <s v="5"/>
    <s v="Процессная часть перечня мероприятий"/>
    <s v="0950083450"/>
    <s v="Расходы на проведение мероприятий по созданию условий доступности для инвалидов и иных маломобильных групп населения"/>
    <s v="244"/>
    <s v="Прочая закупка товаров, работ и услуг"/>
    <s v="Администрация Кировского района Санкт-Петербурга"/>
    <s v="7805059546"/>
    <n v="824.6"/>
    <n v="0"/>
    <n v="0"/>
    <n v="824.6"/>
    <n v="0"/>
  </r>
  <r>
    <x v="6"/>
    <x v="6"/>
    <s v="  0701 0250020010 611"/>
    <x v="8"/>
    <x v="4"/>
    <s v="01"/>
    <x v="8"/>
    <s v="02"/>
    <x v="6"/>
    <x v="6"/>
    <s v="5"/>
    <s v="Процессная часть перечня мероприятий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665542.5999999996"/>
    <n v="3173489.4676000001"/>
    <n v="568725.24919999996"/>
    <n v="2492053.1324"/>
    <n v="56"/>
  </r>
  <r>
    <x v="6"/>
    <x v="6"/>
    <s v="  0701 0250020110 612"/>
    <x v="8"/>
    <x v="4"/>
    <s v="01"/>
    <x v="8"/>
    <s v="02"/>
    <x v="6"/>
    <x v="6"/>
    <s v="5"/>
    <s v="Процессная часть перечня мероприятий"/>
    <s v="0250020110"/>
    <s v="Расходы на оснащение образовательных организаций современными средствами обучения и воспитания с целью повышения качества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4200"/>
    <n v="0"/>
    <n v="0"/>
    <n v="4200"/>
    <n v="0"/>
  </r>
  <r>
    <x v="6"/>
    <x v="6"/>
    <s v="  0701 0250021450 612"/>
    <x v="8"/>
    <x v="4"/>
    <s v="01"/>
    <x v="8"/>
    <s v="02"/>
    <x v="6"/>
    <x v="6"/>
    <s v="5"/>
    <s v="Процессная часть перечня мероприятий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9486.7"/>
    <n v="12332.049499999999"/>
    <n v="4256.6455999999998"/>
    <n v="7154.6504999999997"/>
    <n v="63"/>
  </r>
  <r>
    <x v="6"/>
    <x v="6"/>
    <s v="  0701 0250021760 612"/>
    <x v="8"/>
    <x v="4"/>
    <s v="01"/>
    <x v="8"/>
    <s v="02"/>
    <x v="6"/>
    <x v="6"/>
    <s v="5"/>
    <s v="Процессная часть перечня мероприятий"/>
    <s v="0250021760"/>
    <s v="Расходы на оснащение детских площадок образовательных учреждений, реализующих программы дошкольно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5400"/>
    <n v="6440.9309000000003"/>
    <n v="4163.1079"/>
    <n v="18959.069100000001"/>
    <n v="25"/>
  </r>
  <r>
    <x v="6"/>
    <x v="6"/>
    <s v="  0702 021Ю455590 612"/>
    <x v="9"/>
    <x v="4"/>
    <s v="02"/>
    <x v="9"/>
    <s v="02"/>
    <x v="6"/>
    <x v="7"/>
    <s v="1"/>
    <s v="Региональные проекты, входящие в состав национальных проектов"/>
    <s v="021Ю455590"/>
    <s v="Расходы на оснащение предметных кабинетов общеобразовательных организаций средствами обучения и воспитания"/>
    <s v="612"/>
    <s v="Субсидии бюджетным учреждениям на иные цели"/>
    <s v="Администрация Кировского района Санкт-Петербурга"/>
    <s v="7805059546"/>
    <n v="6609.5"/>
    <n v="6609.2277999999997"/>
    <n v="0"/>
    <n v="0.2722"/>
    <n v="100"/>
  </r>
  <r>
    <x v="6"/>
    <x v="6"/>
    <s v="  0702 021Ю651790 612"/>
    <x v="9"/>
    <x v="4"/>
    <s v="02"/>
    <x v="9"/>
    <s v="02"/>
    <x v="6"/>
    <x v="7"/>
    <s v="1"/>
    <s v="Региональные проекты, входящие в состав национальных проектов"/>
    <s v="021Ю6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9701.3"/>
    <n v="13133.406199999999"/>
    <n v="0"/>
    <n v="6567.8937999999998"/>
    <n v="67"/>
  </r>
  <r>
    <x v="6"/>
    <x v="6"/>
    <s v="  0702 021Ю653030 612"/>
    <x v="9"/>
    <x v="4"/>
    <s v="02"/>
    <x v="9"/>
    <s v="02"/>
    <x v="6"/>
    <x v="7"/>
    <s v="1"/>
    <s v="Региональные проекты, входящие в состав национальных проектов"/>
    <s v="021Ю6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98275"/>
    <n v="66032.3"/>
    <n v="0"/>
    <n v="32242.7"/>
    <n v="67"/>
  </r>
  <r>
    <x v="6"/>
    <x v="6"/>
    <s v="  0702 0250020030 611"/>
    <x v="9"/>
    <x v="4"/>
    <s v="02"/>
    <x v="9"/>
    <s v="02"/>
    <x v="6"/>
    <x v="6"/>
    <s v="5"/>
    <s v="Процессная часть перечня мероприятий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474469.7000000002"/>
    <n v="3428992.3330000001"/>
    <n v="471767.14370000002"/>
    <n v="2045477.3670000001"/>
    <n v="63"/>
  </r>
  <r>
    <x v="6"/>
    <x v="6"/>
    <s v="  0702 0250020060 611"/>
    <x v="9"/>
    <x v="4"/>
    <s v="02"/>
    <x v="9"/>
    <s v="02"/>
    <x v="6"/>
    <x v="6"/>
    <s v="5"/>
    <s v="Процессная часть перечня мероприятий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013.6"/>
    <n v="107283.8875"/>
    <n v="13380.833199999999"/>
    <n v="75729.712499999994"/>
    <n v="59"/>
  </r>
  <r>
    <x v="6"/>
    <x v="6"/>
    <s v="  0702 0250020070 611"/>
    <x v="9"/>
    <x v="4"/>
    <s v="02"/>
    <x v="9"/>
    <s v="02"/>
    <x v="6"/>
    <x v="6"/>
    <s v="5"/>
    <s v="Процессная часть перечня мероприятий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8494.399999999994"/>
    <n v="56627.0772"/>
    <n v="10197.9244"/>
    <n v="31867.322800000002"/>
    <n v="64"/>
  </r>
  <r>
    <x v="6"/>
    <x v="6"/>
    <s v="  0702 0250020080 633"/>
    <x v="9"/>
    <x v="4"/>
    <s v="02"/>
    <x v="9"/>
    <s v="02"/>
    <x v="6"/>
    <x v="6"/>
    <s v="5"/>
    <s v="Процессная часть перечня мероприятий"/>
    <s v="0250020080"/>
    <s v="Субсидии частным образовательным организациям для реализации основных общеобразовательных программ"/>
    <s v="633"/>
    <s v="Субсидии (гранты в форме субсидий), не подлежащие казначейскому сопровождению"/>
    <s v="Администрация Кировского района Санкт-Петербурга"/>
    <s v="7805059546"/>
    <n v="1102.9000000000001"/>
    <n v="0"/>
    <n v="0"/>
    <n v="1102.9000000000001"/>
    <n v="0"/>
  </r>
  <r>
    <x v="6"/>
    <x v="6"/>
    <s v="  0702 0250020090 612"/>
    <x v="9"/>
    <x v="4"/>
    <s v="02"/>
    <x v="9"/>
    <s v="02"/>
    <x v="6"/>
    <x v="6"/>
    <s v="5"/>
    <s v="Процессная часть перечня мероприятий"/>
    <s v="0250020090"/>
    <s v="Расходы на обеспечение книгами и учебными изданиями для комплектования библиотек государственных образовательных учреждений, реализующих образовательные программы начального общего образования, основного общего образования, среднего общего образования, ср"/>
    <s v="612"/>
    <s v="Субсидии бюджетным учреждениям на иные цели"/>
    <s v="Администрация Кировского района Санкт-Петербурга"/>
    <s v="7805059546"/>
    <n v="123977.4"/>
    <n v="115191.3187"/>
    <n v="19272.633099999999"/>
    <n v="8786.0812999999998"/>
    <n v="93"/>
  </r>
  <r>
    <x v="6"/>
    <x v="6"/>
    <s v="  0702 0250020110 612"/>
    <x v="9"/>
    <x v="4"/>
    <s v="02"/>
    <x v="9"/>
    <s v="02"/>
    <x v="6"/>
    <x v="6"/>
    <s v="5"/>
    <s v="Процессная часть перечня мероприятий"/>
    <s v="0250020110"/>
    <s v="Расходы на оснащение образовательных организаций современными средствами обучения и воспитания с целью повышения качества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23605.9"/>
    <n v="15462.670400000001"/>
    <n v="4876.4292999999998"/>
    <n v="8143.2295999999997"/>
    <n v="66"/>
  </r>
  <r>
    <x v="6"/>
    <x v="6"/>
    <s v="  0702 0250020940 612"/>
    <x v="9"/>
    <x v="4"/>
    <s v="02"/>
    <x v="9"/>
    <s v="02"/>
    <x v="6"/>
    <x v="6"/>
    <s v="5"/>
    <s v="Процессная часть перечня мероприятий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15733.1"/>
    <n v="526.04999999999995"/>
    <n v="0"/>
    <n v="115207.05"/>
    <n v="0"/>
  </r>
  <r>
    <x v="6"/>
    <x v="6"/>
    <s v="  0702 0250021450 612"/>
    <x v="9"/>
    <x v="4"/>
    <s v="02"/>
    <x v="9"/>
    <s v="02"/>
    <x v="6"/>
    <x v="6"/>
    <s v="5"/>
    <s v="Процессная часть перечня мероприятий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9599.599999999999"/>
    <n v="12508.318499999999"/>
    <n v="6092.8155999999999"/>
    <n v="17091.281500000001"/>
    <n v="42"/>
  </r>
  <r>
    <x v="6"/>
    <x v="6"/>
    <s v="  0702 0250021460 612"/>
    <x v="9"/>
    <x v="4"/>
    <s v="02"/>
    <x v="9"/>
    <s v="02"/>
    <x v="6"/>
    <x v="6"/>
    <s v="5"/>
    <s v="Процессная часть перечня мероприятий"/>
    <s v="0250021460"/>
    <s v="Расходы на реализацию мероприятий проекта по вовлечению учащихся в развитие школьной инфраструктуры"/>
    <s v="612"/>
    <s v="Субсидии бюджетным учреждениям на иные цели"/>
    <s v="Администрация Кировского района Санкт-Петербурга"/>
    <s v="7805059546"/>
    <n v="14900"/>
    <n v="6411.1692000000003"/>
    <n v="236.41200000000001"/>
    <n v="8488.8307999999997"/>
    <n v="43"/>
  </r>
  <r>
    <x v="6"/>
    <x v="6"/>
    <s v="  0702 0350040650 612"/>
    <x v="9"/>
    <x v="4"/>
    <s v="02"/>
    <x v="9"/>
    <s v="03"/>
    <x v="7"/>
    <x v="8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340444.3"/>
    <n v="163326.85130000001"/>
    <n v="0"/>
    <n v="177117.44870000001"/>
    <n v="48"/>
  </r>
  <r>
    <x v="6"/>
    <x v="6"/>
    <s v="  0702 03500R3040 612"/>
    <x v="9"/>
    <x v="4"/>
    <s v="02"/>
    <x v="9"/>
    <s v="03"/>
    <x v="7"/>
    <x v="8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88979.20000000001"/>
    <n v="114564.7626"/>
    <n v="0"/>
    <n v="74414.437399999995"/>
    <n v="61"/>
  </r>
  <r>
    <x v="6"/>
    <x v="6"/>
    <s v="  0703 0250020300 611"/>
    <x v="10"/>
    <x v="4"/>
    <s v="03"/>
    <x v="10"/>
    <s v="02"/>
    <x v="6"/>
    <x v="6"/>
    <s v="5"/>
    <s v="Процессная часть перечня мероприятий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00340.90000000002"/>
    <n v="177598.8757"/>
    <n v="36850.744100000004"/>
    <n v="122742.0243"/>
    <n v="59"/>
  </r>
  <r>
    <x v="6"/>
    <x v="6"/>
    <s v="  0707 1750078010 611"/>
    <x v="11"/>
    <x v="4"/>
    <s v="07"/>
    <x v="11"/>
    <s v="17"/>
    <x v="3"/>
    <x v="3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41260.4"/>
    <n v="101456.05899999999"/>
    <n v="19949.8701"/>
    <n v="139804.34099999999"/>
    <n v="42"/>
  </r>
  <r>
    <x v="6"/>
    <x v="6"/>
    <s v="  0707 175007856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82757.8"/>
    <n v="0"/>
    <n v="0"/>
    <n v="82757.8"/>
    <n v="0"/>
  </r>
  <r>
    <x v="6"/>
    <x v="6"/>
    <s v="  0707 175007945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724.3"/>
    <n v="185.48349999999999"/>
    <n v="0"/>
    <n v="1538.8164999999999"/>
    <n v="11"/>
  </r>
  <r>
    <x v="6"/>
    <x v="6"/>
    <s v="  0707 175007946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23957.3"/>
    <n v="3690.6228999999998"/>
    <n v="2034.1642999999999"/>
    <n v="20266.677100000001"/>
    <n v="15"/>
  </r>
  <r>
    <x v="6"/>
    <x v="6"/>
    <s v="  0709 021Ю650500 612"/>
    <x v="12"/>
    <x v="4"/>
    <s v="09"/>
    <x v="12"/>
    <s v="02"/>
    <x v="6"/>
    <x v="7"/>
    <s v="1"/>
    <s v="Региональные проекты, входящие в состав национальных проектов"/>
    <s v="021Ю650500"/>
    <s v="Расходы на ежемесячное денежное вознаграждение советникам директоров по воспитанию и взаимодействию с детскими общественными объединениями государственных общеобразовательных организаций, профессиональных образовательных организац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437.3"/>
    <n v="2291.2800000000002"/>
    <n v="0"/>
    <n v="1146.02"/>
    <n v="67"/>
  </r>
  <r>
    <x v="6"/>
    <x v="6"/>
    <s v="  0709 0250020100 612"/>
    <x v="12"/>
    <x v="4"/>
    <s v="09"/>
    <x v="12"/>
    <s v="02"/>
    <x v="6"/>
    <x v="6"/>
    <s v="5"/>
    <s v="Процессная часть перечня мероприятий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718.3"/>
    <n v="1718.3"/>
    <n v="0"/>
    <n v="0"/>
    <n v="100"/>
  </r>
  <r>
    <x v="6"/>
    <x v="6"/>
    <s v="  0709 0250020370 244"/>
    <x v="12"/>
    <x v="4"/>
    <s v="09"/>
    <x v="12"/>
    <s v="02"/>
    <x v="6"/>
    <x v="6"/>
    <s v="5"/>
    <s v="Процессная часть перечня мероприятий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4089.600000000006"/>
    <n v="38466.095999999998"/>
    <n v="36018.495999999999"/>
    <n v="55623.504000000001"/>
    <n v="41"/>
  </r>
  <r>
    <x v="6"/>
    <x v="6"/>
    <s v="  0709 0250020370 612"/>
    <x v="12"/>
    <x v="4"/>
    <s v="09"/>
    <x v="12"/>
    <s v="02"/>
    <x v="6"/>
    <x v="6"/>
    <s v="5"/>
    <s v="Процессная часть перечня мероприятий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5777.7"/>
    <n v="14303.4483"/>
    <n v="12438.494199999999"/>
    <n v="1474.2517"/>
    <n v="91"/>
  </r>
  <r>
    <x v="6"/>
    <x v="6"/>
    <s v="  0709 0250020430 611"/>
    <x v="12"/>
    <x v="4"/>
    <s v="09"/>
    <x v="12"/>
    <s v="02"/>
    <x v="6"/>
    <x v="6"/>
    <s v="5"/>
    <s v="Процессная часть перечня мероприятий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6883.7"/>
    <n v="34448.357400000001"/>
    <n v="4320.0550000000003"/>
    <n v="12435.3426"/>
    <n v="73"/>
  </r>
  <r>
    <x v="6"/>
    <x v="6"/>
    <s v="  0709 0250020440 611"/>
    <x v="12"/>
    <x v="4"/>
    <s v="09"/>
    <x v="12"/>
    <s v="02"/>
    <x v="6"/>
    <x v="6"/>
    <s v="5"/>
    <s v="Процессная часть перечня мероприятий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6303.8"/>
    <n v="42642.6175"/>
    <n v="7127.3257000000003"/>
    <n v="23661.182499999999"/>
    <n v="64"/>
  </r>
  <r>
    <x v="6"/>
    <x v="6"/>
    <s v="  0709 0250021090 612"/>
    <x v="12"/>
    <x v="4"/>
    <s v="09"/>
    <x v="12"/>
    <s v="02"/>
    <x v="6"/>
    <x v="6"/>
    <s v="5"/>
    <s v="Процессная часть перечня мероприятий"/>
    <s v="0250021090"/>
    <s v="Расходы на подготовку и проведение государственной итоговой аттестации по образовательным программам основного общего и среднего обще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1095.5"/>
    <n v="9775.2278999999999"/>
    <n v="7656.3854000000001"/>
    <n v="11320.2721"/>
    <n v="46"/>
  </r>
  <r>
    <x v="6"/>
    <x v="6"/>
    <s v="  0709 0250021190 612"/>
    <x v="12"/>
    <x v="4"/>
    <s v="09"/>
    <x v="12"/>
    <s v="02"/>
    <x v="6"/>
    <x v="6"/>
    <s v="5"/>
    <s v="Процессная часть перечня мероприятий"/>
    <s v="0250021190"/>
    <s v="Расходы на ремонт и оснащение спортивных сооружений (стадионов) государственных образовательных учрежден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5928.5"/>
    <n v="344.96910000000003"/>
    <n v="344.96910000000003"/>
    <n v="5583.5308999999997"/>
    <n v="6"/>
  </r>
  <r>
    <x v="6"/>
    <x v="6"/>
    <s v="  0709 0250021770 612"/>
    <x v="12"/>
    <x v="4"/>
    <s v="09"/>
    <x v="12"/>
    <s v="02"/>
    <x v="6"/>
    <x v="6"/>
    <s v="5"/>
    <s v="Процессная часть перечня мероприятий"/>
    <s v="0250021770"/>
    <s v="Расходы на прочие мероприятия в области образования"/>
    <s v="612"/>
    <s v="Субсидии бюджетным учреждениям на иные цели"/>
    <s v="Администрация Кировского района Санкт-Петербурга"/>
    <s v="7805059546"/>
    <n v="7523.1"/>
    <n v="0"/>
    <n v="0"/>
    <n v="7523.1"/>
    <n v="0"/>
  </r>
  <r>
    <x v="6"/>
    <x v="6"/>
    <s v="  0709 1750078650 612"/>
    <x v="12"/>
    <x v="4"/>
    <s v="09"/>
    <x v="12"/>
    <s v="17"/>
    <x v="3"/>
    <x v="3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48"/>
    <n v="0"/>
    <n v="452"/>
    <n v="10"/>
  </r>
  <r>
    <x v="6"/>
    <x v="6"/>
    <s v="  0709 9950003450 244"/>
    <x v="12"/>
    <x v="4"/>
    <s v="09"/>
    <x v="12"/>
    <s v="99"/>
    <x v="0"/>
    <x v="0"/>
    <s v="5"/>
    <s v="Процессная часть перечня мероприятий"/>
    <s v="9950003450"/>
    <s v="Расходы на материальное обеспечение деятельности регионального отделения Движения первых Санкт-Петербурга"/>
    <s v="244"/>
    <s v="Прочая закупка товаров, работ и услуг"/>
    <s v="Администрация Кировского района Санкт-Петербурга"/>
    <s v="7805059546"/>
    <n v="900.4"/>
    <n v="0"/>
    <n v="0"/>
    <n v="900.4"/>
    <n v="0"/>
  </r>
  <r>
    <x v="6"/>
    <x v="6"/>
    <s v="  0709 9950003450 247"/>
    <x v="12"/>
    <x v="4"/>
    <s v="09"/>
    <x v="12"/>
    <s v="99"/>
    <x v="0"/>
    <x v="0"/>
    <s v="5"/>
    <s v="Процессная часть перечня мероприятий"/>
    <s v="9950003450"/>
    <s v="Расходы на материальное обеспечение деятельности регионального отделения Движения первых Санкт-Петербурга"/>
    <s v="247"/>
    <s v="Закупка энергетических ресурсов"/>
    <s v="Администрация Кировского района Санкт-Петербурга"/>
    <s v="7805059546"/>
    <n v="67.400000000000006"/>
    <n v="0"/>
    <n v="0"/>
    <n v="67.400000000000006"/>
    <n v="0"/>
  </r>
  <r>
    <x v="6"/>
    <x v="6"/>
    <s v="  0801 085007008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080"/>
    <s v="Субсидии бюджетным 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63750"/>
    <n v="158294.7739"/>
    <n v="33126.8845"/>
    <n v="105455.2261"/>
    <n v="60"/>
  </r>
  <r>
    <x v="6"/>
    <x v="6"/>
    <s v="  0801 085007009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090"/>
    <s v="Субсидии бюджетным 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93678.1"/>
    <n v="53707.436600000001"/>
    <n v="6018.5919000000004"/>
    <n v="39970.663399999998"/>
    <n v="57"/>
  </r>
  <r>
    <x v="6"/>
    <x v="6"/>
    <s v="  0801 085007017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170"/>
    <s v="Субсидии бюджетным 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07715.20000000001"/>
    <n v="131046.92080000001"/>
    <n v="18568.805700000001"/>
    <n v="76668.279200000004"/>
    <n v="63"/>
  </r>
  <r>
    <x v="6"/>
    <x v="6"/>
    <s v="  0801 085007027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270"/>
    <s v="Субсидии бюджетным 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7050.7"/>
    <n v="49686.557099999998"/>
    <n v="8154.6192000000001"/>
    <n v="37364.142899999999"/>
    <n v="57"/>
  </r>
  <r>
    <x v="6"/>
    <x v="6"/>
    <s v="  0801 0850070470 244"/>
    <x v="13"/>
    <x v="5"/>
    <s v="01"/>
    <x v="13"/>
    <s v="08"/>
    <x v="8"/>
    <x v="9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9529.5"/>
    <n v="5213.2"/>
    <n v="331.26940000000002"/>
    <n v="4316.3"/>
    <n v="55"/>
  </r>
  <r>
    <x v="6"/>
    <x v="6"/>
    <s v="  0801 085007047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612"/>
    <s v="Субсидии бюджетным учреждениям на иные цели"/>
    <s v="Администрация Кировского района Санкт-Петербурга"/>
    <s v="7805059546"/>
    <n v="2252"/>
    <n v="396.52159999999998"/>
    <n v="0"/>
    <n v="1855.4784"/>
    <n v="18"/>
  </r>
  <r>
    <x v="6"/>
    <x v="6"/>
    <s v="  0801 085007096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0264.799999999999"/>
    <n v="0"/>
    <n v="0"/>
    <n v="10264.799999999999"/>
    <n v="0"/>
  </r>
  <r>
    <x v="6"/>
    <x v="6"/>
    <s v="  0801 085007161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128.69999999999999"/>
    <n v="128.69999999999999"/>
    <n v="0"/>
    <n v="0"/>
    <n v="100"/>
  </r>
  <r>
    <x v="6"/>
    <x v="6"/>
    <s v="  0804 0850070060 244"/>
    <x v="14"/>
    <x v="5"/>
    <s v="04"/>
    <x v="14"/>
    <s v="08"/>
    <x v="8"/>
    <x v="9"/>
    <s v="5"/>
    <s v="Процессная часть перечня мероприятий государственной программы"/>
    <s v="0850070060"/>
    <s v="Расходы на содержание и ремонт памятников ансамбля «Зеленый пояс Славы»"/>
    <s v="244"/>
    <s v="Прочая закупка товаров, работ и услуг"/>
    <s v="Администрация Кировского района Санкт-Петербурга"/>
    <s v="7805059546"/>
    <n v="16495.3"/>
    <n v="0"/>
    <n v="0"/>
    <n v="16495.3"/>
    <n v="0"/>
  </r>
  <r>
    <x v="6"/>
    <x v="6"/>
    <s v="  0804 0850071320 612"/>
    <x v="14"/>
    <x v="5"/>
    <s v="04"/>
    <x v="14"/>
    <s v="08"/>
    <x v="8"/>
    <x v="9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8766.7000000000007"/>
    <n v="0"/>
    <n v="0"/>
    <n v="8766.7000000000007"/>
    <n v="0"/>
  </r>
  <r>
    <x v="6"/>
    <x v="6"/>
    <s v="  0902 0150010080 611"/>
    <x v="15"/>
    <x v="6"/>
    <s v="02"/>
    <x v="15"/>
    <s v="01"/>
    <x v="9"/>
    <x v="10"/>
    <s v="5"/>
    <s v="Процессная часть перечня мероприятий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62520.5"/>
    <n v="386995.8285"/>
    <n v="72997.515700000004"/>
    <n v="275524.6715"/>
    <n v="58"/>
  </r>
  <r>
    <x v="6"/>
    <x v="6"/>
    <s v="  0902 0150010080 614"/>
    <x v="15"/>
    <x v="6"/>
    <s v="02"/>
    <x v="15"/>
    <s v="01"/>
    <x v="9"/>
    <x v="10"/>
    <s v="5"/>
    <s v="Процессная часть перечня мероприятий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379.7"/>
    <n v="2059.4634000000001"/>
    <n v="261.36649999999997"/>
    <n v="3320.2366000000002"/>
    <n v="38"/>
  </r>
  <r>
    <x v="6"/>
    <x v="6"/>
    <s v="  0909 011Д153652 612"/>
    <x v="16"/>
    <x v="6"/>
    <s v="09"/>
    <x v="16"/>
    <s v="01"/>
    <x v="9"/>
    <x v="11"/>
    <s v="1"/>
    <s v="Региональные проекты, входящие в состав национальных проектов"/>
    <s v="011Д1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104471.3"/>
    <n v="88428.677200000006"/>
    <n v="0"/>
    <n v="16042.622799999999"/>
    <n v="85"/>
  </r>
  <r>
    <x v="6"/>
    <x v="6"/>
    <s v="  0909 011Д757520 612"/>
    <x v="16"/>
    <x v="6"/>
    <s v="09"/>
    <x v="16"/>
    <s v="01"/>
    <x v="9"/>
    <x v="11"/>
    <s v="1"/>
    <s v="Региональные проекты, входящие в состав национальных проектов"/>
    <s v="011Д757520"/>
    <s v="Расходы на оснащение (дооснащение и (или) переоснащение) медицинскими изделиями медицинских организаций, имеющих в своей структуре подразделения, оказывающие медицинскую помощь по медицинской реабилитации"/>
    <s v="612"/>
    <s v="Субсидии бюджетным учреждениям на иные цели"/>
    <s v="Администрация Кировского района Санкт-Петербурга"/>
    <s v="7805059546"/>
    <n v="12819.6"/>
    <n v="12819.572"/>
    <n v="12819.572"/>
    <n v="2.8000000000000001E-2"/>
    <n v="100"/>
  </r>
  <r>
    <x v="6"/>
    <x v="6"/>
    <s v="  0909 0150010020 612"/>
    <x v="16"/>
    <x v="6"/>
    <s v="09"/>
    <x v="16"/>
    <s v="01"/>
    <x v="9"/>
    <x v="10"/>
    <s v="5"/>
    <s v="Процессная часть перечня мероприятий"/>
    <s v="0150010020"/>
    <s v="Расходы на профилактику инфекционных заболеваний, включая иммунопрофилактику"/>
    <s v="612"/>
    <s v="Субсидии бюджетным учреждениям на иные цели"/>
    <s v="Администрация Кировского района Санкт-Петербурга"/>
    <s v="7805059546"/>
    <n v="34518.6"/>
    <n v="12768.075800000001"/>
    <n v="1250.5785000000001"/>
    <n v="21750.5242"/>
    <n v="37"/>
  </r>
  <r>
    <x v="6"/>
    <x v="6"/>
    <s v="  0909 0150010100 244"/>
    <x v="16"/>
    <x v="6"/>
    <s v="09"/>
    <x v="16"/>
    <s v="01"/>
    <x v="9"/>
    <x v="10"/>
    <s v="5"/>
    <s v="Процессная часть перечня мероприятий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48.2"/>
    <n v="0"/>
    <n v="0"/>
    <n v="48.2"/>
    <n v="0"/>
  </r>
  <r>
    <x v="6"/>
    <x v="6"/>
    <s v="  0909 0150010520 612"/>
    <x v="16"/>
    <x v="6"/>
    <s v="09"/>
    <x v="16"/>
    <s v="01"/>
    <x v="9"/>
    <x v="10"/>
    <s v="5"/>
    <s v="Процессная часть перечня мероприятий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223871.4"/>
    <n v="76240.403600000005"/>
    <n v="15852.4197"/>
    <n v="147630.9964"/>
    <n v="34"/>
  </r>
  <r>
    <x v="6"/>
    <x v="6"/>
    <s v="  0909 0150010570 612"/>
    <x v="16"/>
    <x v="6"/>
    <s v="09"/>
    <x v="16"/>
    <s v="01"/>
    <x v="9"/>
    <x v="10"/>
    <s v="5"/>
    <s v="Процессная часть перечня мероприятий"/>
    <s v="0150010570"/>
    <s v="Расходы на приобретение оборудования дл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5000"/>
    <n v="0"/>
    <n v="0"/>
    <n v="15000"/>
    <n v="0"/>
  </r>
  <r>
    <x v="6"/>
    <x v="6"/>
    <s v="  0909 0150010650 612"/>
    <x v="16"/>
    <x v="6"/>
    <s v="09"/>
    <x v="16"/>
    <s v="01"/>
    <x v="9"/>
    <x v="10"/>
    <s v="5"/>
    <s v="Процессная часть перечня мероприятий"/>
    <s v="0150010650"/>
    <s v="Расходы на приобретение немонтируемого оборудования и инвентаря для оснащения вводных объектов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29779.9"/>
    <n v="0"/>
    <n v="0"/>
    <n v="29779.9"/>
    <n v="0"/>
  </r>
  <r>
    <x v="6"/>
    <x v="6"/>
    <s v="  0909 0150010660 612"/>
    <x v="16"/>
    <x v="6"/>
    <s v="09"/>
    <x v="16"/>
    <s v="01"/>
    <x v="9"/>
    <x v="10"/>
    <s v="5"/>
    <s v="Процессная часть перечня мероприятий"/>
    <s v="0150010660"/>
    <s v="Расходы на обеспечение доступности учреждений здравоохранения для инвалидов и других маломобильных групп населения"/>
    <s v="612"/>
    <s v="Субсидии бюджетным учреждениям на иные цели"/>
    <s v="Администрация Кировского района Санкт-Петербурга"/>
    <s v="7805059546"/>
    <n v="7460.5"/>
    <n v="1424.1917000000001"/>
    <n v="0"/>
    <n v="6036.3082999999997"/>
    <n v="19"/>
  </r>
  <r>
    <x v="6"/>
    <x v="6"/>
    <s v="  0909 0150010880 612"/>
    <x v="16"/>
    <x v="6"/>
    <s v="09"/>
    <x v="16"/>
    <s v="01"/>
    <x v="9"/>
    <x v="10"/>
    <s v="5"/>
    <s v="Процессная часть перечня мероприятий"/>
    <s v="0150010880"/>
    <s v="Субсидии государственным учреждениям здравоохранения на оказание экстренной медицинской помощи иностранным гражданам и гражданам не идентифицированным и не застрахованным в системе ОМС при заболеваниях, включенных в базовую программу ОМС"/>
    <s v="612"/>
    <s v="Субсидии бюджетным учреждениям на иные цели"/>
    <s v="Администрация Кировского района Санкт-Петербурга"/>
    <s v="7805059546"/>
    <n v="1889.2"/>
    <n v="806.99900000000002"/>
    <n v="0"/>
    <n v="1082.201"/>
    <n v="43"/>
  </r>
  <r>
    <x v="6"/>
    <x v="6"/>
    <s v="  0909 0150011000 612"/>
    <x v="16"/>
    <x v="6"/>
    <s v="09"/>
    <x v="16"/>
    <s v="01"/>
    <x v="9"/>
    <x v="10"/>
    <s v="5"/>
    <s v="Процессная часть перечня мероприятий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45132.3"/>
    <n v="19156.459200000001"/>
    <n v="4133.2478000000001"/>
    <n v="25975.840800000002"/>
    <n v="42"/>
  </r>
  <r>
    <x v="6"/>
    <x v="6"/>
    <s v="  0909 0150011010 612"/>
    <x v="16"/>
    <x v="6"/>
    <s v="09"/>
    <x v="16"/>
    <s v="01"/>
    <x v="9"/>
    <x v="10"/>
    <s v="5"/>
    <s v="Процессная часть перечня мероприятий"/>
    <s v="0150011010"/>
    <s v="Субсидии государственным учреждениям здравоохранения Санкт-Петербурга в целях поддержания высокого уровня оказания медицинской помощи и усиления кадрового потенциала в государственных учреждениях здравоохранения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5997.5"/>
    <n v="4379.0312000000004"/>
    <n v="4379.0312000000004"/>
    <n v="1618.4688000000001"/>
    <n v="73"/>
  </r>
  <r>
    <x v="6"/>
    <x v="6"/>
    <s v="  0909 0150054680 612"/>
    <x v="16"/>
    <x v="6"/>
    <s v="09"/>
    <x v="16"/>
    <s v="01"/>
    <x v="9"/>
    <x v="10"/>
    <s v="5"/>
    <s v="Процессная часть перечня мероприятий"/>
    <s v="01500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100.2"/>
    <n v="100.11799999999999"/>
    <n v="0"/>
    <n v="8.2000000000000003E-2"/>
    <n v="100"/>
  </r>
  <r>
    <x v="6"/>
    <x v="6"/>
    <s v="  0909 0650090160 612"/>
    <x v="16"/>
    <x v="6"/>
    <s v="09"/>
    <x v="16"/>
    <s v="06"/>
    <x v="1"/>
    <x v="1"/>
    <s v="5"/>
    <s v="Процессная часть перечня мероприятий государственной программы"/>
    <s v="0650090160"/>
    <s v="Расходы на мероприятия по пожарной безопасности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3155.1"/>
    <n v="460.16809999999998"/>
    <n v="77.120999999999995"/>
    <n v="2694.9319"/>
    <n v="15"/>
  </r>
  <r>
    <x v="6"/>
    <x v="6"/>
    <s v="  1002 035004046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11289.8"/>
    <n v="124316.9166"/>
    <n v="17574.975399999999"/>
    <n v="86972.883400000006"/>
    <n v="59"/>
  </r>
  <r>
    <x v="6"/>
    <x v="6"/>
    <s v="  1002 035004046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21225"/>
    <n v="10969.8868"/>
    <n v="1422.2352000000001"/>
    <n v="10255.1132"/>
    <n v="52"/>
  </r>
  <r>
    <x v="6"/>
    <x v="6"/>
    <s v="  1002 035004048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994.2"/>
    <n v="2253.2411000000002"/>
    <n v="296.84769999999997"/>
    <n v="1740.9589000000001"/>
    <n v="56"/>
  </r>
  <r>
    <x v="6"/>
    <x v="6"/>
    <s v="  1002 035004048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28356.9"/>
    <n v="82230.388900000005"/>
    <n v="16321.3449"/>
    <n v="46126.511100000003"/>
    <n v="64"/>
  </r>
  <r>
    <x v="6"/>
    <x v="6"/>
    <s v="  1002 035004053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21376.1"/>
    <n v="18259.561099999999"/>
    <n v="0"/>
    <n v="3116.5389"/>
    <n v="85"/>
  </r>
  <r>
    <x v="6"/>
    <x v="6"/>
    <s v="  1002 035004063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630"/>
    <s v="Субсидии бюджетным учреждениям - комплексным центрам социального обслуживания населения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5133.5"/>
    <n v="8457.2721999999994"/>
    <n v="1526.4064000000001"/>
    <n v="6676.2277999999997"/>
    <n v="56"/>
  </r>
  <r>
    <x v="6"/>
    <x v="6"/>
    <s v="  1002 035004063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630"/>
    <s v="Субсидии бюджетным учреждениям - комплексным центрам социального обслуживания населения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09027.5"/>
    <n v="303282.35950000002"/>
    <n v="43540.302199999998"/>
    <n v="205745.14050000001"/>
    <n v="60"/>
  </r>
  <r>
    <x v="6"/>
    <x v="6"/>
    <s v="  1002 035004064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541.7"/>
    <n v="2246.1939000000002"/>
    <n v="438.06790000000001"/>
    <n v="2295.5061000000001"/>
    <n v="49"/>
  </r>
  <r>
    <x v="6"/>
    <x v="6"/>
    <s v="  1002 035004064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9802"/>
    <n v="33684.4306"/>
    <n v="6009.8692000000001"/>
    <n v="26117.5694"/>
    <n v="56"/>
  </r>
  <r>
    <x v="6"/>
    <x v="6"/>
    <s v="  1002 035004120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41200"/>
    <s v="Расходы на приобретение немонтируемого оборудования и инвентаря для оснащения вводных объектов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3856.7"/>
    <n v="2935.1909999999998"/>
    <n v="851.43539999999996"/>
    <n v="921.50900000000001"/>
    <n v="76"/>
  </r>
  <r>
    <x v="6"/>
    <x v="6"/>
    <s v="  1002 03500R514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R5140"/>
    <s v="Расходы на реализацию мероприятий по формированию системы комплексной реабилитации и абилитации инвалидов, в том числе детей-инвалидов"/>
    <s v="612"/>
    <s v="Субсидии бюджетным учреждениям на иные цели"/>
    <s v="Администрация Кировского района Санкт-Петербурга"/>
    <s v="7805059546"/>
    <n v="2500"/>
    <n v="1439.7729999999999"/>
    <n v="1439.7729999999999"/>
    <n v="1060.2270000000001"/>
    <n v="58"/>
  </r>
  <r>
    <x v="6"/>
    <x v="6"/>
    <s v="  1003 0350040240 612"/>
    <x v="18"/>
    <x v="7"/>
    <s v="03"/>
    <x v="18"/>
    <s v="03"/>
    <x v="7"/>
    <x v="8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51205.3"/>
    <n v="43100.6875"/>
    <n v="1544.7245"/>
    <n v="8104.6125000000002"/>
    <n v="84"/>
  </r>
  <r>
    <x v="6"/>
    <x v="6"/>
    <s v="  1004 031Я253130 612"/>
    <x v="19"/>
    <x v="7"/>
    <s v="04"/>
    <x v="19"/>
    <s v="03"/>
    <x v="7"/>
    <x v="13"/>
    <s v="1"/>
    <s v="Региональные проекты, входящие в состав национальных проектов"/>
    <s v="031Я253130"/>
    <s v="Расходы на реализацию мероприятий программы по повышению рождаемости в Санкт-Петербурге"/>
    <s v="612"/>
    <s v="Субсидии бюджетным учреждениям на иные цели"/>
    <s v="Администрация Кировского района Санкт-Петербурга"/>
    <s v="7805059546"/>
    <n v="11784.4"/>
    <n v="11784.34"/>
    <n v="0"/>
    <n v="0.06"/>
    <n v="100"/>
  </r>
  <r>
    <x v="6"/>
    <x v="6"/>
    <s v="  1004 0950083620 323"/>
    <x v="19"/>
    <x v="7"/>
    <s v="04"/>
    <x v="19"/>
    <s v="09"/>
    <x v="4"/>
    <x v="4"/>
    <s v="5"/>
    <s v="Процессная часть перечня мероприятий"/>
    <s v="0950083620"/>
    <s v="Расходы на предоставление дополнительной меры социальной поддержки по оборудованию предметами первой необходимости жилых помещений специализированного жилищного фонда, предоставляемых детям-сиротам и детям, оставшимся без попечения родителей, лицам из их "/>
    <s v="323"/>
    <s v="Приобретение товаров, работ, услуг в пользу граждан в целях их социального обеспечения"/>
    <s v="Администрация Кировского района Санкт-Петербурга"/>
    <s v="7805059546"/>
    <n v="1328.7"/>
    <n v="658.73329999999999"/>
    <n v="0"/>
    <n v="669.96669999999995"/>
    <n v="50"/>
  </r>
  <r>
    <x v="6"/>
    <x v="6"/>
    <s v="  1101 0450045020 611"/>
    <x v="20"/>
    <x v="8"/>
    <s v="01"/>
    <x v="20"/>
    <s v="04"/>
    <x v="10"/>
    <x v="12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91160.4"/>
    <n v="105231.93520000001"/>
    <n v="15234.904200000001"/>
    <n v="85928.464800000002"/>
    <n v="55"/>
  </r>
  <r>
    <x v="6"/>
    <x v="6"/>
    <s v="  1101 0450045060 612"/>
    <x v="20"/>
    <x v="8"/>
    <s v="01"/>
    <x v="20"/>
    <s v="04"/>
    <x v="10"/>
    <x v="12"/>
    <s v="5"/>
    <s v="Процессная часть перечня мероприятий государственной программы"/>
    <s v="0450045060"/>
    <s v="Расходы на проектирование, ремонт и оснащение оборудованием внутридворовых спортивных площадок для занятий физической культурой и спортом населения"/>
    <s v="612"/>
    <s v="Субсидии бюджетным учреждениям на иные цели"/>
    <s v="Администрация Кировского района Санкт-Петербурга"/>
    <s v="7805059546"/>
    <n v="35508.9"/>
    <n v="57"/>
    <n v="0"/>
    <n v="35451.9"/>
    <n v="0"/>
  </r>
  <r>
    <x v="6"/>
    <x v="6"/>
    <s v="  1102 0450045010 612"/>
    <x v="21"/>
    <x v="8"/>
    <s v="02"/>
    <x v="21"/>
    <s v="04"/>
    <x v="10"/>
    <x v="12"/>
    <s v="5"/>
    <s v="Процессная часть перечня мероприятий государственной программы"/>
    <s v="04500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693.1"/>
    <n v="1010.1804"/>
    <n v="220.63040000000001"/>
    <n v="2682.9196000000002"/>
    <n v="27"/>
  </r>
  <r>
    <x v="6"/>
    <x v="6"/>
    <s v="  1103 0450045090 611"/>
    <x v="22"/>
    <x v="8"/>
    <s v="03"/>
    <x v="22"/>
    <s v="04"/>
    <x v="10"/>
    <x v="12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56415.3"/>
    <n v="180152.2947"/>
    <n v="34705.531000000003"/>
    <n v="176263.00529999999"/>
    <n v="51"/>
  </r>
  <r>
    <x v="7"/>
    <x v="7"/>
    <s v="  0103 9950000060 244"/>
    <x v="0"/>
    <x v="0"/>
    <s v="03"/>
    <x v="0"/>
    <s v="99"/>
    <x v="0"/>
    <x v="0"/>
    <s v="5"/>
    <s v="Процессная часть перечня мероприятий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597.70000000000005"/>
    <n v="160.22020000000001"/>
    <n v="34.851999999999997"/>
    <n v="437.47980000000001"/>
    <n v="27"/>
  </r>
  <r>
    <x v="7"/>
    <x v="7"/>
    <s v="  0103 9950000060 247"/>
    <x v="0"/>
    <x v="0"/>
    <s v="03"/>
    <x v="0"/>
    <s v="99"/>
    <x v="0"/>
    <x v="0"/>
    <s v="5"/>
    <s v="Процессная часть перечня мероприятий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165.3"/>
    <n v="133.9605"/>
    <n v="5.3387000000000002"/>
    <n v="31.339500000000001"/>
    <n v="81"/>
  </r>
  <r>
    <x v="7"/>
    <x v="7"/>
    <s v="  0113 0650090100 530"/>
    <x v="1"/>
    <x v="0"/>
    <s v="13"/>
    <x v="1"/>
    <s v="06"/>
    <x v="1"/>
    <x v="1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7.2"/>
    <n v="0"/>
    <n v="0"/>
    <n v="67.2"/>
    <n v="0"/>
  </r>
  <r>
    <x v="7"/>
    <x v="7"/>
    <s v="  0113 0650090830 244"/>
    <x v="1"/>
    <x v="0"/>
    <s v="13"/>
    <x v="1"/>
    <s v="06"/>
    <x v="1"/>
    <x v="1"/>
    <s v="5"/>
    <s v="Процессная часть перечня мероприятий государственной программы"/>
    <s v="0650090830"/>
    <s v="Расходы, связанные с изъятием вещей и документов при производстве по делам об административных правонарушениях"/>
    <s v="244"/>
    <s v="Прочая закупка товаров, работ и услуг"/>
    <s v="Администрация Кировского района Санкт-Петербурга"/>
    <s v="7805059546"/>
    <n v="61.9"/>
    <n v="31.43"/>
    <n v="31.43"/>
    <n v="30.47"/>
    <n v="51"/>
  </r>
  <r>
    <x v="7"/>
    <x v="7"/>
    <s v="  0113 1650099220 244"/>
    <x v="1"/>
    <x v="0"/>
    <s v="13"/>
    <x v="1"/>
    <s v="16"/>
    <x v="2"/>
    <x v="2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216.9"/>
    <n v="168.1"/>
    <n v="46"/>
    <n v="48.8"/>
    <n v="78"/>
  </r>
  <r>
    <x v="7"/>
    <x v="7"/>
    <s v="  0113 1750098720 244"/>
    <x v="1"/>
    <x v="0"/>
    <s v="13"/>
    <x v="1"/>
    <s v="17"/>
    <x v="3"/>
    <x v="3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57.5"/>
    <n v="340.46629999999999"/>
    <n v="0"/>
    <n v="217.03370000000001"/>
    <n v="61"/>
  </r>
  <r>
    <x v="7"/>
    <x v="7"/>
    <s v="  0113 9950000090 121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349800.7"/>
    <n v="206173.36689999999"/>
    <n v="27904.521400000001"/>
    <n v="143627.33309999999"/>
    <n v="59"/>
  </r>
  <r>
    <x v="7"/>
    <x v="7"/>
    <s v="  0113 9950000090 122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00.2"/>
    <n v="36.892800000000001"/>
    <n v="27.430800000000001"/>
    <n v="63.307200000000002"/>
    <n v="37"/>
  </r>
  <r>
    <x v="7"/>
    <x v="7"/>
    <s v="  0113 9950000090 129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105260"/>
    <n v="64640.740599999997"/>
    <n v="9639.7865999999995"/>
    <n v="40619.259400000003"/>
    <n v="61"/>
  </r>
  <r>
    <x v="7"/>
    <x v="7"/>
    <s v="  0113 9950000090 242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148.41589999999999"/>
    <n v="46.0792"/>
    <n v="151.58410000000001"/>
    <n v="49"/>
  </r>
  <r>
    <x v="7"/>
    <x v="7"/>
    <s v="  0113 9950000090 243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31341.1"/>
    <n v="4636.8482000000004"/>
    <n v="0"/>
    <n v="26704.251799999998"/>
    <n v="15"/>
  </r>
  <r>
    <x v="7"/>
    <x v="7"/>
    <s v="  0113 9950000090 244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67884.2"/>
    <n v="15825.9036"/>
    <n v="1465.7479000000001"/>
    <n v="52058.296399999999"/>
    <n v="23"/>
  </r>
  <r>
    <x v="7"/>
    <x v="7"/>
    <s v="  0113 9950000090 247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962"/>
    <n v="9911.2752"/>
    <n v="423.5224"/>
    <n v="7050.7248"/>
    <n v="58"/>
  </r>
  <r>
    <x v="7"/>
    <x v="7"/>
    <s v="  0113 9950000090 831"/>
    <x v="1"/>
    <x v="0"/>
    <s v="13"/>
    <x v="1"/>
    <s v="99"/>
    <x v="0"/>
    <x v="0"/>
    <s v="5"/>
    <s v="Процессная часть перечня мероприятий"/>
    <s v="9950000090"/>
    <s v="Содержание исполнительного органа государственной власти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112529.9"/>
    <n v="112529.273"/>
    <n v="420.46019999999999"/>
    <n v="0.627"/>
    <n v="100"/>
  </r>
  <r>
    <x v="7"/>
    <x v="7"/>
    <s v="  0113 9950000320 111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216958.1"/>
    <n v="137846.05970000001"/>
    <n v="17096.363600000001"/>
    <n v="79112.040299999993"/>
    <n v="64"/>
  </r>
  <r>
    <x v="7"/>
    <x v="7"/>
    <s v="  0113 9950000320 119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65398.5"/>
    <n v="37761.010799999996"/>
    <n v="5414.1504999999997"/>
    <n v="27637.4892"/>
    <n v="58"/>
  </r>
  <r>
    <x v="7"/>
    <x v="7"/>
    <s v="  0113 9950000320 244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4394"/>
    <n v="3184.3906000000002"/>
    <n v="249.97409999999999"/>
    <n v="1209.6094000000001"/>
    <n v="72"/>
  </r>
  <r>
    <x v="7"/>
    <x v="7"/>
    <s v="  0113 9950000320 321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321"/>
    <s v="Пособия, компенсации и иные социальные выплаты_x000a_гражданам, кроме публичных нормативных обязательств"/>
    <s v="Администрация Кировского района Санкт-Петербурга"/>
    <s v="7805059546"/>
    <n v="2.2000000000000002"/>
    <n v="2.1716000000000002"/>
    <n v="0"/>
    <n v="2.8400000000000002E-2"/>
    <n v="99"/>
  </r>
  <r>
    <x v="7"/>
    <x v="7"/>
    <s v="  0113 9950000320 852"/>
    <x v="1"/>
    <x v="0"/>
    <s v="13"/>
    <x v="1"/>
    <s v="99"/>
    <x v="0"/>
    <x v="0"/>
    <s v="5"/>
    <s v="Процессная часть перечня мероприятий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2.7480000000000002"/>
    <n v="0"/>
    <n v="0.95199999999999996"/>
    <n v="74"/>
  </r>
  <r>
    <x v="7"/>
    <x v="7"/>
    <s v="  0113 9950000530 611"/>
    <x v="1"/>
    <x v="0"/>
    <s v="13"/>
    <x v="1"/>
    <s v="99"/>
    <x v="0"/>
    <x v="0"/>
    <s v="5"/>
    <s v="Процессная часть перечня мероприятий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1533.600000000006"/>
    <n v="50622.854200000002"/>
    <n v="6359.8734000000004"/>
    <n v="30910.745800000001"/>
    <n v="62"/>
  </r>
  <r>
    <x v="7"/>
    <x v="7"/>
    <s v="  0113 9950001480 244"/>
    <x v="1"/>
    <x v="0"/>
    <s v="13"/>
    <x v="1"/>
    <s v="99"/>
    <x v="0"/>
    <x v="0"/>
    <s v="5"/>
    <s v="Процессная часть перечня мероприятий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6096.1"/>
    <n v="4011.7067000000002"/>
    <n v="257.08659999999998"/>
    <n v="2084.3933000000002"/>
    <n v="66"/>
  </r>
  <r>
    <x v="7"/>
    <x v="7"/>
    <s v="  0113 9950001480 247"/>
    <x v="1"/>
    <x v="0"/>
    <s v="13"/>
    <x v="1"/>
    <s v="99"/>
    <x v="0"/>
    <x v="0"/>
    <s v="5"/>
    <s v="Процессная часть перечня мероприятий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7"/>
    <s v="Закупка энергетических ресурсов"/>
    <s v="Администрация Кировского района Санкт-Петербурга"/>
    <s v="7805059546"/>
    <n v="97.5"/>
    <n v="26.684699999999999"/>
    <n v="26.684699999999999"/>
    <n v="70.815299999999993"/>
    <n v="27"/>
  </r>
  <r>
    <x v="7"/>
    <x v="7"/>
    <s v="  0309 0650090880 244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10451.6"/>
    <n v="6671.1424999999999"/>
    <n v="0"/>
    <n v="3780.4575"/>
    <n v="64"/>
  </r>
  <r>
    <x v="7"/>
    <x v="7"/>
    <s v="  0309 0650090880 247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9131.9"/>
    <n v="5410.4978000000001"/>
    <n v="0"/>
    <n v="3721.4022"/>
    <n v="59"/>
  </r>
  <r>
    <x v="7"/>
    <x v="7"/>
    <s v="  0309 0650090880 851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8068.6"/>
    <n v="5608.3874999999998"/>
    <n v="0"/>
    <n v="2460.2125000000001"/>
    <n v="70"/>
  </r>
  <r>
    <x v="7"/>
    <x v="7"/>
    <s v="  0309 0650090880 853"/>
    <x v="2"/>
    <x v="1"/>
    <s v="09"/>
    <x v="2"/>
    <s v="06"/>
    <x v="1"/>
    <x v="1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3"/>
    <s v="Уплата иных платежей"/>
    <s v="Администрация Кировского района Санкт-Петербурга"/>
    <s v="7805059546"/>
    <n v="3828.8"/>
    <n v="2552.5104000000001"/>
    <n v="0"/>
    <n v="1276.2896000000001"/>
    <n v="67"/>
  </r>
  <r>
    <x v="7"/>
    <x v="7"/>
    <s v="  0309 0650091060 243"/>
    <x v="2"/>
    <x v="1"/>
    <s v="09"/>
    <x v="2"/>
    <s v="06"/>
    <x v="1"/>
    <x v="1"/>
    <s v="5"/>
    <s v="Процессная часть перечня мероприятий государственной программы"/>
    <s v="0650091060"/>
    <s v="Расходы на выполнение мероприятий по обследованию и ремонту защитных сооружений гражданской обороны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19375.7"/>
    <n v="19375.624500000002"/>
    <n v="14478.2245"/>
    <n v="7.5499999999999998E-2"/>
    <n v="100"/>
  </r>
  <r>
    <x v="7"/>
    <x v="7"/>
    <s v="  0314 0650090690 244"/>
    <x v="3"/>
    <x v="1"/>
    <s v="14"/>
    <x v="3"/>
    <s v="06"/>
    <x v="1"/>
    <x v="1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3.1"/>
    <n v="18.925000000000001"/>
    <n v="0"/>
    <n v="4.1749999999999998"/>
    <n v="82"/>
  </r>
  <r>
    <x v="7"/>
    <x v="7"/>
    <s v="  0410 0650090810 244"/>
    <x v="4"/>
    <x v="2"/>
    <s v="10"/>
    <x v="4"/>
    <s v="06"/>
    <x v="1"/>
    <x v="1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244"/>
    <s v="Прочая закупка товаров, работ и услуг"/>
    <s v="Администрация Кировского района Санкт-Петербурга"/>
    <s v="7805059546"/>
    <n v="455.4"/>
    <n v="0"/>
    <n v="0"/>
    <n v="455.4"/>
    <n v="0"/>
  </r>
  <r>
    <x v="7"/>
    <x v="7"/>
    <s v="  0410 0650090810 612"/>
    <x v="4"/>
    <x v="2"/>
    <s v="10"/>
    <x v="4"/>
    <s v="06"/>
    <x v="1"/>
    <x v="1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612"/>
    <s v="Субсидии бюджетным учреждениям на иные цели"/>
    <s v="Администрация Кировского района Санкт-Петербурга"/>
    <s v="7805059546"/>
    <n v="36425.800000000003"/>
    <n v="2611.3074999999999"/>
    <n v="1563.3694"/>
    <n v="33814.4925"/>
    <n v="7"/>
  </r>
  <r>
    <x v="7"/>
    <x v="7"/>
    <s v="  0410 9950096170 242"/>
    <x v="4"/>
    <x v="2"/>
    <s v="10"/>
    <x v="4"/>
    <s v="99"/>
    <x v="0"/>
    <x v="0"/>
    <s v="5"/>
    <s v="Процессная часть перечня мероприятий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5651.9"/>
    <n v="1513.2430999999999"/>
    <n v="276.04790000000003"/>
    <n v="4138.6569"/>
    <n v="27"/>
  </r>
  <r>
    <x v="7"/>
    <x v="7"/>
    <s v="  0501 0950083380 244"/>
    <x v="5"/>
    <x v="3"/>
    <s v="01"/>
    <x v="5"/>
    <s v="09"/>
    <x v="4"/>
    <x v="4"/>
    <s v="5"/>
    <s v="Процессная часть перечня мероприятий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465.8"/>
    <n v="0"/>
    <n v="0"/>
    <n v="5465.8"/>
    <n v="0"/>
  </r>
  <r>
    <x v="7"/>
    <x v="7"/>
    <s v="  0501 0950083470 244"/>
    <x v="5"/>
    <x v="3"/>
    <s v="01"/>
    <x v="5"/>
    <s v="09"/>
    <x v="4"/>
    <x v="4"/>
    <s v="5"/>
    <s v="Процессная часть перечня мероприятий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51391.8"/>
    <n v="18802.093799999999"/>
    <n v="4861.1369000000004"/>
    <n v="32589.706200000001"/>
    <n v="37"/>
  </r>
  <r>
    <x v="7"/>
    <x v="7"/>
    <s v="  0501 0950083480 244"/>
    <x v="5"/>
    <x v="3"/>
    <s v="01"/>
    <x v="5"/>
    <s v="09"/>
    <x v="4"/>
    <x v="4"/>
    <s v="5"/>
    <s v="Процессная часть перечня мероприятий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4394.6000000000004"/>
    <n v="2477.0342000000001"/>
    <n v="328.93869999999998"/>
    <n v="1917.5658000000001"/>
    <n v="56"/>
  </r>
  <r>
    <x v="7"/>
    <x v="7"/>
    <s v="  0501 0950083480 853"/>
    <x v="5"/>
    <x v="3"/>
    <s v="01"/>
    <x v="5"/>
    <s v="09"/>
    <x v="4"/>
    <x v="4"/>
    <s v="5"/>
    <s v="Процессная часть перечня мероприятий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86351.9"/>
    <n v="61821.824200000003"/>
    <n v="23.421700000000001"/>
    <n v="24530.075799999999"/>
    <n v="72"/>
  </r>
  <r>
    <x v="7"/>
    <x v="7"/>
    <s v="  0501 0950083490 244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16953.900000000001"/>
    <n v="11824.599899999999"/>
    <n v="1424.4239"/>
    <n v="5129.3001000000004"/>
    <n v="70"/>
  </r>
  <r>
    <x v="7"/>
    <x v="7"/>
    <s v="  0501 0950083490 247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10339.200000000001"/>
    <n v="4755.2846"/>
    <n v="134.3338"/>
    <n v="5583.9153999999999"/>
    <n v="46"/>
  </r>
  <r>
    <x v="7"/>
    <x v="7"/>
    <s v="  0501 0950083490 853"/>
    <x v="5"/>
    <x v="3"/>
    <s v="01"/>
    <x v="5"/>
    <s v="09"/>
    <x v="4"/>
    <x v="4"/>
    <s v="5"/>
    <s v="Процессная часть перечня мероприятий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003.4"/>
    <n v="2897.9126999999999"/>
    <n v="0"/>
    <n v="1105.4873"/>
    <n v="72"/>
  </r>
  <r>
    <x v="7"/>
    <x v="7"/>
    <s v="  0503 105008791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Санкт-Петербурга"/>
    <s v="244"/>
    <s v="Прочая закупка товаров, работ и услуг"/>
    <s v="Администрация Кировского района Санкт-Петербурга"/>
    <s v="7805059546"/>
    <n v="894"/>
    <n v="626.5"/>
    <n v="289"/>
    <n v="267.5"/>
    <n v="70"/>
  </r>
  <r>
    <x v="7"/>
    <x v="7"/>
    <s v="  0503 105008793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38375.4"/>
    <n v="8556.0409"/>
    <n v="1021.106"/>
    <n v="29819.359100000001"/>
    <n v="22"/>
  </r>
  <r>
    <x v="7"/>
    <x v="7"/>
    <s v="  0503 105008827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244"/>
    <s v="Прочая закупка товаров, работ и услуг"/>
    <s v="Администрация Кировского района Санкт-Петербурга"/>
    <s v="7805059546"/>
    <n v="8650"/>
    <n v="7072.3534"/>
    <n v="0"/>
    <n v="1577.6466"/>
    <n v="82"/>
  </r>
  <r>
    <x v="7"/>
    <x v="7"/>
    <s v="  0503 1050088300 244"/>
    <x v="6"/>
    <x v="3"/>
    <s v="03"/>
    <x v="6"/>
    <s v="10"/>
    <x v="5"/>
    <x v="5"/>
    <s v="5"/>
    <s v="Процессная часть перечня мероприятий государственной программы"/>
    <s v="1050088300"/>
    <s v="Расходы на реализацию мероприятий по созданию и восстановлению мест (площадок) накопления твердых коммунальных отходов"/>
    <s v="244"/>
    <s v="Прочая закупка товаров, работ и услуг"/>
    <s v="Администрация Кировского района Санкт-Петербурга"/>
    <s v="7805059546"/>
    <n v="21254.1"/>
    <n v="0"/>
    <n v="0"/>
    <n v="21254.1"/>
    <n v="0"/>
  </r>
  <r>
    <x v="7"/>
    <x v="7"/>
    <s v="  0505 0950083140 111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586162.9"/>
    <n v="369336.66629999998"/>
    <n v="42115.733699999997"/>
    <n v="216826.23370000001"/>
    <n v="63"/>
  </r>
  <r>
    <x v="7"/>
    <x v="7"/>
    <s v="  0505 0950083140 119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76381.2"/>
    <n v="106260.7454"/>
    <n v="13363.7996"/>
    <n v="70120.454599999997"/>
    <n v="60"/>
  </r>
  <r>
    <x v="7"/>
    <x v="7"/>
    <s v="  0505 0950083140 244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24558.6"/>
    <n v="52975.051700000004"/>
    <n v="4250.4210000000003"/>
    <n v="71583.548299999995"/>
    <n v="43"/>
  </r>
  <r>
    <x v="7"/>
    <x v="7"/>
    <s v="  0505 0950083140 247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8102"/>
    <n v="4078.1579000000002"/>
    <n v="474.59640000000002"/>
    <n v="4023.8420999999998"/>
    <n v="50"/>
  </r>
  <r>
    <x v="7"/>
    <x v="7"/>
    <s v="  0505 0950083140 831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315"/>
    <n v="307.27910000000003"/>
    <n v="113.7984"/>
    <n v="7.7209000000000003"/>
    <n v="98"/>
  </r>
  <r>
    <x v="7"/>
    <x v="7"/>
    <s v="  0505 0950083140 851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83.2"/>
    <n v="89.35"/>
    <n v="0"/>
    <n v="93.85"/>
    <n v="49"/>
  </r>
  <r>
    <x v="7"/>
    <x v="7"/>
    <s v="  0505 0950083140 852"/>
    <x v="7"/>
    <x v="3"/>
    <s v="05"/>
    <x v="7"/>
    <s v="09"/>
    <x v="4"/>
    <x v="4"/>
    <s v="5"/>
    <s v="Процессная часть перечня мероприятий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2450.3000000000002"/>
    <n v="912.51199999999994"/>
    <n v="89.2"/>
    <n v="1537.788"/>
    <n v="37"/>
  </r>
  <r>
    <x v="7"/>
    <x v="7"/>
    <s v="  0505 0950083450 244"/>
    <x v="7"/>
    <x v="3"/>
    <s v="05"/>
    <x v="7"/>
    <s v="09"/>
    <x v="4"/>
    <x v="4"/>
    <s v="5"/>
    <s v="Процессная часть перечня мероприятий"/>
    <s v="0950083450"/>
    <s v="Расходы на проведение мероприятий по созданию условий доступности для инвалидов и иных маломобильных групп населения"/>
    <s v="244"/>
    <s v="Прочая закупка товаров, работ и услуг"/>
    <s v="Администрация Кировского района Санкт-Петербурга"/>
    <s v="7805059546"/>
    <n v="824.6"/>
    <n v="0"/>
    <n v="0"/>
    <n v="824.6"/>
    <n v="0"/>
  </r>
  <r>
    <x v="7"/>
    <x v="7"/>
    <s v="  0701 0250020010 611"/>
    <x v="8"/>
    <x v="4"/>
    <s v="01"/>
    <x v="8"/>
    <s v="02"/>
    <x v="6"/>
    <x v="6"/>
    <s v="5"/>
    <s v="Процессная часть перечня мероприятий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665542.5999999996"/>
    <n v="3475820.7058999999"/>
    <n v="302331.23830000003"/>
    <n v="2189721.8941000002"/>
    <n v="61"/>
  </r>
  <r>
    <x v="7"/>
    <x v="7"/>
    <s v="  0701 0250020110 612"/>
    <x v="8"/>
    <x v="4"/>
    <s v="01"/>
    <x v="8"/>
    <s v="02"/>
    <x v="6"/>
    <x v="6"/>
    <s v="5"/>
    <s v="Процессная часть перечня мероприятий"/>
    <s v="0250020110"/>
    <s v="Расходы на оснащение образовательных организаций современными средствами обучения и воспитания с целью повышения качества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4200"/>
    <n v="0"/>
    <n v="0"/>
    <n v="4200"/>
    <n v="0"/>
  </r>
  <r>
    <x v="7"/>
    <x v="7"/>
    <s v="  0701 0250021450 612"/>
    <x v="8"/>
    <x v="4"/>
    <s v="01"/>
    <x v="8"/>
    <s v="02"/>
    <x v="6"/>
    <x v="6"/>
    <s v="5"/>
    <s v="Процессная часть перечня мероприятий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9486.7"/>
    <n v="14075.6543"/>
    <n v="1743.6048000000001"/>
    <n v="5411.0456999999997"/>
    <n v="72"/>
  </r>
  <r>
    <x v="7"/>
    <x v="7"/>
    <s v="  0701 0250021760 612"/>
    <x v="8"/>
    <x v="4"/>
    <s v="01"/>
    <x v="8"/>
    <s v="02"/>
    <x v="6"/>
    <x v="6"/>
    <s v="5"/>
    <s v="Процессная часть перечня мероприятий"/>
    <s v="0250021760"/>
    <s v="Расходы на оснащение детских площадок образовательных учреждений, реализующих программы дошкольно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5400"/>
    <n v="14335.7309"/>
    <n v="7894.8"/>
    <n v="11064.2691"/>
    <n v="56"/>
  </r>
  <r>
    <x v="7"/>
    <x v="7"/>
    <s v="  0702 021Ю455590 612"/>
    <x v="9"/>
    <x v="4"/>
    <s v="02"/>
    <x v="9"/>
    <s v="02"/>
    <x v="6"/>
    <x v="7"/>
    <s v="1"/>
    <s v="Региональные проекты, входящие в состав национальных проектов"/>
    <s v="021Ю455590"/>
    <s v="Расходы на оснащение предметных кабинетов общеобразовательных организаций средствами обучения и воспитания"/>
    <s v="612"/>
    <s v="Субсидии бюджетным учреждениям на иные цели"/>
    <s v="Администрация Кировского района Санкт-Петербурга"/>
    <s v="7805059546"/>
    <n v="6609.5"/>
    <n v="6609.2277999999997"/>
    <n v="0"/>
    <n v="0.2722"/>
    <n v="100"/>
  </r>
  <r>
    <x v="7"/>
    <x v="7"/>
    <s v="  0702 021Ю651790 612"/>
    <x v="9"/>
    <x v="4"/>
    <s v="02"/>
    <x v="9"/>
    <s v="02"/>
    <x v="6"/>
    <x v="7"/>
    <s v="1"/>
    <s v="Региональные проекты, входящие в состав национальных проектов"/>
    <s v="021Ю6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9701.3"/>
    <n v="13133.406199999999"/>
    <n v="0"/>
    <n v="6567.8937999999998"/>
    <n v="67"/>
  </r>
  <r>
    <x v="7"/>
    <x v="7"/>
    <s v="  0702 021Ю653030 612"/>
    <x v="9"/>
    <x v="4"/>
    <s v="02"/>
    <x v="9"/>
    <s v="02"/>
    <x v="6"/>
    <x v="7"/>
    <s v="1"/>
    <s v="Региональные проекты, входящие в состав национальных проектов"/>
    <s v="021Ю6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98275"/>
    <n v="66032.3"/>
    <n v="0"/>
    <n v="32242.7"/>
    <n v="67"/>
  </r>
  <r>
    <x v="7"/>
    <x v="7"/>
    <s v="  0702 0250020030 611"/>
    <x v="9"/>
    <x v="4"/>
    <s v="02"/>
    <x v="9"/>
    <s v="02"/>
    <x v="6"/>
    <x v="6"/>
    <s v="5"/>
    <s v="Процессная часть перечня мероприятий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474469.7000000002"/>
    <n v="3581018.6801999998"/>
    <n v="152026.34719999999"/>
    <n v="1893451.0197999999"/>
    <n v="65"/>
  </r>
  <r>
    <x v="7"/>
    <x v="7"/>
    <s v="  0702 0250020060 611"/>
    <x v="9"/>
    <x v="4"/>
    <s v="02"/>
    <x v="9"/>
    <s v="02"/>
    <x v="6"/>
    <x v="6"/>
    <s v="5"/>
    <s v="Процессная часть перечня мероприятий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013.6"/>
    <n v="111170.447"/>
    <n v="3886.5594999999998"/>
    <n v="71843.153000000006"/>
    <n v="61"/>
  </r>
  <r>
    <x v="7"/>
    <x v="7"/>
    <s v="  0702 0250020070 611"/>
    <x v="9"/>
    <x v="4"/>
    <s v="02"/>
    <x v="9"/>
    <s v="02"/>
    <x v="6"/>
    <x v="6"/>
    <s v="5"/>
    <s v="Процессная часть перечня мероприятий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8494.399999999994"/>
    <n v="59973.4781"/>
    <n v="3346.4009000000001"/>
    <n v="28520.921900000001"/>
    <n v="68"/>
  </r>
  <r>
    <x v="7"/>
    <x v="7"/>
    <s v="  0702 0250020080 633"/>
    <x v="9"/>
    <x v="4"/>
    <s v="02"/>
    <x v="9"/>
    <s v="02"/>
    <x v="6"/>
    <x v="6"/>
    <s v="5"/>
    <s v="Процессная часть перечня мероприятий"/>
    <s v="0250020080"/>
    <s v="Субсидии частным образовательным организациям для реализации основных общеобразовательных программ"/>
    <s v="633"/>
    <s v="Субсидии (гранты в форме субсидий), не подлежащие казначейскому сопровождению"/>
    <s v="Администрация Кировского района Санкт-Петербурга"/>
    <s v="7805059546"/>
    <n v="1102.9000000000001"/>
    <n v="827.17499999999995"/>
    <n v="827.17499999999995"/>
    <n v="275.72500000000002"/>
    <n v="75"/>
  </r>
  <r>
    <x v="7"/>
    <x v="7"/>
    <s v="  0702 0250020090 612"/>
    <x v="9"/>
    <x v="4"/>
    <s v="02"/>
    <x v="9"/>
    <s v="02"/>
    <x v="6"/>
    <x v="6"/>
    <s v="5"/>
    <s v="Процессная часть перечня мероприятий"/>
    <s v="0250020090"/>
    <s v="Расходы на обеспечение книгами и учебными изданиями для комплектования библиотек государственных образовательных учреждений, реализующих образовательные программы начального общего образования, основного общего образования, среднего общего образования, ср"/>
    <s v="612"/>
    <s v="Субсидии бюджетным учреждениям на иные цели"/>
    <s v="Администрация Кировского района Санкт-Петербурга"/>
    <s v="7805059546"/>
    <n v="123977.4"/>
    <n v="122005.98360000001"/>
    <n v="6814.6648999999998"/>
    <n v="1971.4164000000001"/>
    <n v="98"/>
  </r>
  <r>
    <x v="7"/>
    <x v="7"/>
    <s v="  0702 0250020110 612"/>
    <x v="9"/>
    <x v="4"/>
    <s v="02"/>
    <x v="9"/>
    <s v="02"/>
    <x v="6"/>
    <x v="6"/>
    <s v="5"/>
    <s v="Процессная часть перечня мероприятий"/>
    <s v="0250020110"/>
    <s v="Расходы на оснащение образовательных организаций современными средствами обучения и воспитания с целью повышения качества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23605.9"/>
    <n v="18840.014999999999"/>
    <n v="3377.3445999999999"/>
    <n v="4765.8850000000002"/>
    <n v="80"/>
  </r>
  <r>
    <x v="7"/>
    <x v="7"/>
    <s v="  0702 0250020940 612"/>
    <x v="9"/>
    <x v="4"/>
    <s v="02"/>
    <x v="9"/>
    <s v="02"/>
    <x v="6"/>
    <x v="6"/>
    <s v="5"/>
    <s v="Процессная часть перечня мероприятий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15733.1"/>
    <n v="526.04999999999995"/>
    <n v="0"/>
    <n v="115207.05"/>
    <n v="0"/>
  </r>
  <r>
    <x v="7"/>
    <x v="7"/>
    <s v="  0702 0250021450 612"/>
    <x v="9"/>
    <x v="4"/>
    <s v="02"/>
    <x v="9"/>
    <s v="02"/>
    <x v="6"/>
    <x v="6"/>
    <s v="5"/>
    <s v="Процессная часть перечня мероприятий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9599.599999999999"/>
    <n v="15880.062599999999"/>
    <n v="3371.7440999999999"/>
    <n v="13719.537399999999"/>
    <n v="54"/>
  </r>
  <r>
    <x v="7"/>
    <x v="7"/>
    <s v="  0702 0250021460 612"/>
    <x v="9"/>
    <x v="4"/>
    <s v="02"/>
    <x v="9"/>
    <s v="02"/>
    <x v="6"/>
    <x v="6"/>
    <s v="5"/>
    <s v="Процессная часть перечня мероприятий"/>
    <s v="0250021460"/>
    <s v="Расходы на реализацию мероприятий проекта по вовлечению учащихся в развитие школьной инфраструктуры"/>
    <s v="612"/>
    <s v="Субсидии бюджетным учреждениям на иные цели"/>
    <s v="Администрация Кировского района Санкт-Петербурга"/>
    <s v="7805059546"/>
    <n v="14900"/>
    <n v="8759.1849999999995"/>
    <n v="2348.0158000000001"/>
    <n v="6140.8149999999996"/>
    <n v="59"/>
  </r>
  <r>
    <x v="7"/>
    <x v="7"/>
    <s v="  0702 0350040650 612"/>
    <x v="9"/>
    <x v="4"/>
    <s v="02"/>
    <x v="9"/>
    <s v="03"/>
    <x v="7"/>
    <x v="8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340444.3"/>
    <n v="163326.85130000001"/>
    <n v="0"/>
    <n v="177117.44870000001"/>
    <n v="48"/>
  </r>
  <r>
    <x v="7"/>
    <x v="7"/>
    <s v="  0702 03500R3040 612"/>
    <x v="9"/>
    <x v="4"/>
    <s v="02"/>
    <x v="9"/>
    <s v="03"/>
    <x v="7"/>
    <x v="8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88979.20000000001"/>
    <n v="114564.7626"/>
    <n v="0"/>
    <n v="74414.437399999995"/>
    <n v="61"/>
  </r>
  <r>
    <x v="7"/>
    <x v="7"/>
    <s v="  0703 0250020300 611"/>
    <x v="10"/>
    <x v="4"/>
    <s v="03"/>
    <x v="10"/>
    <s v="02"/>
    <x v="6"/>
    <x v="6"/>
    <s v="5"/>
    <s v="Процессная часть перечня мероприятий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00340.90000000002"/>
    <n v="190454.495"/>
    <n v="12855.6193"/>
    <n v="109886.405"/>
    <n v="63"/>
  </r>
  <r>
    <x v="7"/>
    <x v="7"/>
    <s v="  0707 1750078010 611"/>
    <x v="11"/>
    <x v="4"/>
    <s v="07"/>
    <x v="11"/>
    <s v="17"/>
    <x v="3"/>
    <x v="3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41260.4"/>
    <n v="111567.81879999999"/>
    <n v="10111.7598"/>
    <n v="129692.5812"/>
    <n v="46"/>
  </r>
  <r>
    <x v="7"/>
    <x v="7"/>
    <s v="  0707 175007856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82757.8"/>
    <n v="0"/>
    <n v="0"/>
    <n v="82757.8"/>
    <n v="0"/>
  </r>
  <r>
    <x v="7"/>
    <x v="7"/>
    <s v="  0707 175007945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724.3"/>
    <n v="185.48349999999999"/>
    <n v="0"/>
    <n v="1538.8164999999999"/>
    <n v="11"/>
  </r>
  <r>
    <x v="7"/>
    <x v="7"/>
    <s v="  0707 1750079460 612"/>
    <x v="11"/>
    <x v="4"/>
    <s v="07"/>
    <x v="11"/>
    <s v="17"/>
    <x v="3"/>
    <x v="3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23957.3"/>
    <n v="7931.4503000000004"/>
    <n v="4240.8274000000001"/>
    <n v="16025.849700000001"/>
    <n v="33"/>
  </r>
  <r>
    <x v="7"/>
    <x v="7"/>
    <s v="  0709 021Ю650500 612"/>
    <x v="12"/>
    <x v="4"/>
    <s v="09"/>
    <x v="12"/>
    <s v="02"/>
    <x v="6"/>
    <x v="7"/>
    <s v="1"/>
    <s v="Региональные проекты, входящие в состав национальных проектов"/>
    <s v="021Ю650500"/>
    <s v="Расходы на ежемесячное денежное вознаграждение советникам директоров по воспитанию и взаимодействию с детскими общественными объединениями государственных общеобразовательных организаций, профессиональных образовательных организац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437.3"/>
    <n v="2291.2800000000002"/>
    <n v="0"/>
    <n v="1146.02"/>
    <n v="67"/>
  </r>
  <r>
    <x v="7"/>
    <x v="7"/>
    <s v="  0709 0250020100 612"/>
    <x v="12"/>
    <x v="4"/>
    <s v="09"/>
    <x v="12"/>
    <s v="02"/>
    <x v="6"/>
    <x v="6"/>
    <s v="5"/>
    <s v="Процессная часть перечня мероприятий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718.3"/>
    <n v="1718.3"/>
    <n v="0"/>
    <n v="0"/>
    <n v="100"/>
  </r>
  <r>
    <x v="7"/>
    <x v="7"/>
    <s v="  0709 0250020370 244"/>
    <x v="12"/>
    <x v="4"/>
    <s v="09"/>
    <x v="12"/>
    <s v="02"/>
    <x v="6"/>
    <x v="6"/>
    <s v="5"/>
    <s v="Процессная часть перечня мероприятий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4089.600000000006"/>
    <n v="56173.453300000001"/>
    <n v="17707.3573"/>
    <n v="37916.146699999998"/>
    <n v="60"/>
  </r>
  <r>
    <x v="7"/>
    <x v="7"/>
    <s v="  0709 0250020370 612"/>
    <x v="12"/>
    <x v="4"/>
    <s v="09"/>
    <x v="12"/>
    <s v="02"/>
    <x v="6"/>
    <x v="6"/>
    <s v="5"/>
    <s v="Процессная часть перечня мероприятий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5777.7"/>
    <n v="14746.672399999999"/>
    <n v="443.22410000000002"/>
    <n v="1031.0275999999999"/>
    <n v="93"/>
  </r>
  <r>
    <x v="7"/>
    <x v="7"/>
    <s v="  0709 0250020430 611"/>
    <x v="12"/>
    <x v="4"/>
    <s v="09"/>
    <x v="12"/>
    <s v="02"/>
    <x v="6"/>
    <x v="6"/>
    <s v="5"/>
    <s v="Процессная часть перечня мероприятий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6883.7"/>
    <n v="35602.461300000003"/>
    <n v="1154.1039000000001"/>
    <n v="11281.2387"/>
    <n v="76"/>
  </r>
  <r>
    <x v="7"/>
    <x v="7"/>
    <s v="  0709 0250020440 611"/>
    <x v="12"/>
    <x v="4"/>
    <s v="09"/>
    <x v="12"/>
    <s v="02"/>
    <x v="6"/>
    <x v="6"/>
    <s v="5"/>
    <s v="Процессная часть перечня мероприятий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6303.8"/>
    <n v="44863.764199999998"/>
    <n v="2221.1466999999998"/>
    <n v="21440.035800000001"/>
    <n v="68"/>
  </r>
  <r>
    <x v="7"/>
    <x v="7"/>
    <s v="  0709 0250021090 612"/>
    <x v="12"/>
    <x v="4"/>
    <s v="09"/>
    <x v="12"/>
    <s v="02"/>
    <x v="6"/>
    <x v="6"/>
    <s v="5"/>
    <s v="Процессная часть перечня мероприятий"/>
    <s v="0250021090"/>
    <s v="Расходы на подготовку и проведение государственной итоговой аттестации по образовательным программам основного общего и среднего обще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1095.5"/>
    <n v="15066.3375"/>
    <n v="5291.1095999999998"/>
    <n v="6029.1625000000004"/>
    <n v="71"/>
  </r>
  <r>
    <x v="7"/>
    <x v="7"/>
    <s v="  0709 0250021190 612"/>
    <x v="12"/>
    <x v="4"/>
    <s v="09"/>
    <x v="12"/>
    <s v="02"/>
    <x v="6"/>
    <x v="6"/>
    <s v="5"/>
    <s v="Процессная часть перечня мероприятий"/>
    <s v="0250021190"/>
    <s v="Расходы на ремонт и оснащение спортивных сооружений (стадионов) государственных образовательных учрежден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5928.5"/>
    <n v="1744.1856"/>
    <n v="1399.2165"/>
    <n v="4184.3144000000002"/>
    <n v="29"/>
  </r>
  <r>
    <x v="7"/>
    <x v="7"/>
    <s v="  0709 0250021770 612"/>
    <x v="12"/>
    <x v="4"/>
    <s v="09"/>
    <x v="12"/>
    <s v="02"/>
    <x v="6"/>
    <x v="6"/>
    <s v="5"/>
    <s v="Процессная часть перечня мероприятий"/>
    <s v="0250021770"/>
    <s v="Расходы на прочие мероприятия в области образования"/>
    <s v="612"/>
    <s v="Субсидии бюджетным учреждениям на иные цели"/>
    <s v="Администрация Кировского района Санкт-Петербурга"/>
    <s v="7805059546"/>
    <n v="7523.1"/>
    <n v="0"/>
    <n v="0"/>
    <n v="7523.1"/>
    <n v="0"/>
  </r>
  <r>
    <x v="7"/>
    <x v="7"/>
    <s v="  0709 1750078650 612"/>
    <x v="12"/>
    <x v="4"/>
    <s v="09"/>
    <x v="12"/>
    <s v="17"/>
    <x v="3"/>
    <x v="3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48"/>
    <n v="0"/>
    <n v="452"/>
    <n v="10"/>
  </r>
  <r>
    <x v="7"/>
    <x v="7"/>
    <s v="  0709 9950003450 612"/>
    <x v="12"/>
    <x v="4"/>
    <s v="09"/>
    <x v="12"/>
    <s v="99"/>
    <x v="0"/>
    <x v="0"/>
    <s v="5"/>
    <s v="Процессная часть перечня мероприятий"/>
    <s v="9950003450"/>
    <s v="Расходы на материальное обеспечение деятельности регионального отделения Движения первых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967.8"/>
    <n v="0"/>
    <n v="0"/>
    <n v="967.8"/>
    <n v="0"/>
  </r>
  <r>
    <x v="7"/>
    <x v="7"/>
    <s v="  0801 085007008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080"/>
    <s v="Субсидии бюджетным 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63750"/>
    <n v="176266.5913"/>
    <n v="17971.8174"/>
    <n v="87483.4087"/>
    <n v="67"/>
  </r>
  <r>
    <x v="7"/>
    <x v="7"/>
    <s v="  0801 085007009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090"/>
    <s v="Субсидии бюджетным 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93678.1"/>
    <n v="60834.836199999998"/>
    <n v="7127.3995999999997"/>
    <n v="32843.263800000001"/>
    <n v="65"/>
  </r>
  <r>
    <x v="7"/>
    <x v="7"/>
    <s v="  0801 085007017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170"/>
    <s v="Субсидии бюджетным 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07715.20000000001"/>
    <n v="139681.7176"/>
    <n v="8634.7968000000001"/>
    <n v="68033.482399999994"/>
    <n v="67"/>
  </r>
  <r>
    <x v="7"/>
    <x v="7"/>
    <s v="  0801 0850070270 611"/>
    <x v="13"/>
    <x v="5"/>
    <s v="01"/>
    <x v="13"/>
    <s v="08"/>
    <x v="8"/>
    <x v="9"/>
    <s v="5"/>
    <s v="Процессная часть перечня мероприятий государственной программы"/>
    <s v="0850070270"/>
    <s v="Субсидии бюджетным 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7050.7"/>
    <n v="56179.447699999997"/>
    <n v="6492.8905999999997"/>
    <n v="30871.2523"/>
    <n v="65"/>
  </r>
  <r>
    <x v="7"/>
    <x v="7"/>
    <s v="  0801 0850070470 244"/>
    <x v="13"/>
    <x v="5"/>
    <s v="01"/>
    <x v="13"/>
    <s v="08"/>
    <x v="8"/>
    <x v="9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9529.5"/>
    <n v="5213.2"/>
    <n v="0"/>
    <n v="4316.3"/>
    <n v="55"/>
  </r>
  <r>
    <x v="7"/>
    <x v="7"/>
    <s v="  0801 085007047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612"/>
    <s v="Субсидии бюджетным учреждениям на иные цели"/>
    <s v="Администрация Кировского района Санкт-Петербурга"/>
    <s v="7805059546"/>
    <n v="2252"/>
    <n v="899.84810000000004"/>
    <n v="503.32650000000001"/>
    <n v="1352.1519000000001"/>
    <n v="40"/>
  </r>
  <r>
    <x v="7"/>
    <x v="7"/>
    <s v="  0801 085007096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0264.799999999999"/>
    <n v="0"/>
    <n v="0"/>
    <n v="10264.799999999999"/>
    <n v="0"/>
  </r>
  <r>
    <x v="7"/>
    <x v="7"/>
    <s v="  0801 0850071610 612"/>
    <x v="13"/>
    <x v="5"/>
    <s v="01"/>
    <x v="13"/>
    <s v="08"/>
    <x v="8"/>
    <x v="9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128.69999999999999"/>
    <n v="128.69999999999999"/>
    <n v="0"/>
    <n v="0"/>
    <n v="100"/>
  </r>
  <r>
    <x v="7"/>
    <x v="7"/>
    <s v="  0804 0850070060 244"/>
    <x v="14"/>
    <x v="5"/>
    <s v="04"/>
    <x v="14"/>
    <s v="08"/>
    <x v="8"/>
    <x v="9"/>
    <s v="5"/>
    <s v="Процессная часть перечня мероприятий государственной программы"/>
    <s v="0850070060"/>
    <s v="Расходы на содержание и ремонт памятников ансамбля «Зеленый пояс Славы»"/>
    <s v="244"/>
    <s v="Прочая закупка товаров, работ и услуг"/>
    <s v="Администрация Кировского района Санкт-Петербурга"/>
    <s v="7805059546"/>
    <n v="16495.3"/>
    <n v="0"/>
    <n v="0"/>
    <n v="16495.3"/>
    <n v="0"/>
  </r>
  <r>
    <x v="7"/>
    <x v="7"/>
    <s v="  0804 0850071320 612"/>
    <x v="14"/>
    <x v="5"/>
    <s v="04"/>
    <x v="14"/>
    <s v="08"/>
    <x v="8"/>
    <x v="9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8766.7000000000007"/>
    <n v="0"/>
    <n v="0"/>
    <n v="8766.7000000000007"/>
    <n v="0"/>
  </r>
  <r>
    <x v="7"/>
    <x v="7"/>
    <s v="  0902 0150010080 611"/>
    <x v="15"/>
    <x v="6"/>
    <s v="02"/>
    <x v="15"/>
    <s v="01"/>
    <x v="9"/>
    <x v="10"/>
    <s v="5"/>
    <s v="Процессная часть перечня мероприятий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62520.5"/>
    <n v="418299.41009999998"/>
    <n v="31303.581600000001"/>
    <n v="244221.08989999999"/>
    <n v="63"/>
  </r>
  <r>
    <x v="7"/>
    <x v="7"/>
    <s v="  0902 0150010080 614"/>
    <x v="15"/>
    <x v="6"/>
    <s v="02"/>
    <x v="15"/>
    <s v="01"/>
    <x v="9"/>
    <x v="10"/>
    <s v="5"/>
    <s v="Процессная часть перечня мероприятий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379.7"/>
    <n v="2319.3507"/>
    <n v="259.88729999999998"/>
    <n v="3060.3492999999999"/>
    <n v="43"/>
  </r>
  <r>
    <x v="7"/>
    <x v="7"/>
    <s v="  0909 011Д153652 612"/>
    <x v="16"/>
    <x v="6"/>
    <s v="09"/>
    <x v="16"/>
    <s v="01"/>
    <x v="9"/>
    <x v="11"/>
    <s v="1"/>
    <s v="Региональные проекты, входящие в состав национальных проектов"/>
    <s v="011Д1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104471.3"/>
    <n v="88428.677200000006"/>
    <n v="0"/>
    <n v="16042.622799999999"/>
    <n v="85"/>
  </r>
  <r>
    <x v="7"/>
    <x v="7"/>
    <s v="  0909 011Д757520 612"/>
    <x v="16"/>
    <x v="6"/>
    <s v="09"/>
    <x v="16"/>
    <s v="01"/>
    <x v="9"/>
    <x v="11"/>
    <s v="1"/>
    <s v="Региональные проекты, входящие в состав национальных проектов"/>
    <s v="011Д757520"/>
    <s v="Расходы на оснащение (дооснащение и (или) переоснащение) медицинскими изделиями медицинских организаций, имеющих в своей структуре подразделения, оказывающие медицинскую помощь по медицинской реабилитации"/>
    <s v="612"/>
    <s v="Субсидии бюджетным учреждениям на иные цели"/>
    <s v="Администрация Кировского района Санкт-Петербурга"/>
    <s v="7805059546"/>
    <n v="12819.6"/>
    <n v="12819.572"/>
    <n v="0"/>
    <n v="2.8000000000000001E-2"/>
    <n v="100"/>
  </r>
  <r>
    <x v="7"/>
    <x v="7"/>
    <s v="  0909 0150010020 612"/>
    <x v="16"/>
    <x v="6"/>
    <s v="09"/>
    <x v="16"/>
    <s v="01"/>
    <x v="9"/>
    <x v="10"/>
    <s v="5"/>
    <s v="Процессная часть перечня мероприятий"/>
    <s v="0150010020"/>
    <s v="Расходы на профилактику инфекционных заболеваний, включая иммунопрофилактику"/>
    <s v="612"/>
    <s v="Субсидии бюджетным учреждениям на иные цели"/>
    <s v="Администрация Кировского района Санкт-Петербурга"/>
    <s v="7805059546"/>
    <n v="34518.6"/>
    <n v="18062.7641"/>
    <n v="5294.6882999999998"/>
    <n v="16455.835899999998"/>
    <n v="52"/>
  </r>
  <r>
    <x v="7"/>
    <x v="7"/>
    <s v="  0909 0150010100 244"/>
    <x v="16"/>
    <x v="6"/>
    <s v="09"/>
    <x v="16"/>
    <s v="01"/>
    <x v="9"/>
    <x v="10"/>
    <s v="5"/>
    <s v="Процессная часть перечня мероприятий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48.2"/>
    <n v="0"/>
    <n v="0"/>
    <n v="48.2"/>
    <n v="0"/>
  </r>
  <r>
    <x v="7"/>
    <x v="7"/>
    <s v="  0909 0150010520 612"/>
    <x v="16"/>
    <x v="6"/>
    <s v="09"/>
    <x v="16"/>
    <s v="01"/>
    <x v="9"/>
    <x v="10"/>
    <s v="5"/>
    <s v="Процессная часть перечня мероприятий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223871.4"/>
    <n v="88595.497700000007"/>
    <n v="12355.0941"/>
    <n v="135275.90229999999"/>
    <n v="40"/>
  </r>
  <r>
    <x v="7"/>
    <x v="7"/>
    <s v="  0909 0150010570 612"/>
    <x v="16"/>
    <x v="6"/>
    <s v="09"/>
    <x v="16"/>
    <s v="01"/>
    <x v="9"/>
    <x v="10"/>
    <s v="5"/>
    <s v="Процессная часть перечня мероприятий"/>
    <s v="0150010570"/>
    <s v="Расходы на приобретение оборудования дл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5000"/>
    <n v="0"/>
    <n v="0"/>
    <n v="15000"/>
    <n v="0"/>
  </r>
  <r>
    <x v="7"/>
    <x v="7"/>
    <s v="  0909 0150010650 612"/>
    <x v="16"/>
    <x v="6"/>
    <s v="09"/>
    <x v="16"/>
    <s v="01"/>
    <x v="9"/>
    <x v="10"/>
    <s v="5"/>
    <s v="Процессная часть перечня мероприятий"/>
    <s v="0150010650"/>
    <s v="Расходы на приобретение немонтируемого оборудования и инвентаря для оснащения вводных объектов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29779.9"/>
    <n v="0"/>
    <n v="0"/>
    <n v="29779.9"/>
    <n v="0"/>
  </r>
  <r>
    <x v="7"/>
    <x v="7"/>
    <s v="  0909 0150010660 612"/>
    <x v="16"/>
    <x v="6"/>
    <s v="09"/>
    <x v="16"/>
    <s v="01"/>
    <x v="9"/>
    <x v="10"/>
    <s v="5"/>
    <s v="Процессная часть перечня мероприятий"/>
    <s v="0150010660"/>
    <s v="Расходы на обеспечение доступности учреждений здравоохранения для инвалидов и других маломобильных групп населения"/>
    <s v="612"/>
    <s v="Субсидии бюджетным учреждениям на иные цели"/>
    <s v="Администрация Кировского района Санкт-Петербурга"/>
    <s v="7805059546"/>
    <n v="7460.5"/>
    <n v="4603.8810000000003"/>
    <n v="3179.6893"/>
    <n v="2856.6190000000001"/>
    <n v="62"/>
  </r>
  <r>
    <x v="7"/>
    <x v="7"/>
    <s v="  0909 0150010880 612"/>
    <x v="16"/>
    <x v="6"/>
    <s v="09"/>
    <x v="16"/>
    <s v="01"/>
    <x v="9"/>
    <x v="10"/>
    <s v="5"/>
    <s v="Процессная часть перечня мероприятий"/>
    <s v="0150010880"/>
    <s v="Субсидии государственным учреждениям здравоохранения на оказание экстренной медицинской помощи иностранным гражданам и гражданам не идентифицированным и не застрахованным в системе ОМС при заболеваниях, включенных в базовую программу ОМС"/>
    <s v="612"/>
    <s v="Субсидии бюджетным учреждениям на иные цели"/>
    <s v="Администрация Кировского района Санкт-Петербурга"/>
    <s v="7805059546"/>
    <n v="1889.2"/>
    <n v="806.99900000000002"/>
    <n v="0"/>
    <n v="1082.201"/>
    <n v="43"/>
  </r>
  <r>
    <x v="7"/>
    <x v="7"/>
    <s v="  0909 0150011000 612"/>
    <x v="16"/>
    <x v="6"/>
    <s v="09"/>
    <x v="16"/>
    <s v="01"/>
    <x v="9"/>
    <x v="10"/>
    <s v="5"/>
    <s v="Процессная часть перечня мероприятий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45132.3"/>
    <n v="21361.529699999999"/>
    <n v="2205.0704999999998"/>
    <n v="23770.7703"/>
    <n v="47"/>
  </r>
  <r>
    <x v="7"/>
    <x v="7"/>
    <s v="  0909 0150011010 612"/>
    <x v="16"/>
    <x v="6"/>
    <s v="09"/>
    <x v="16"/>
    <s v="01"/>
    <x v="9"/>
    <x v="10"/>
    <s v="5"/>
    <s v="Процессная часть перечня мероприятий"/>
    <s v="0150011010"/>
    <s v="Субсидии государственным учреждениям здравоохранения Санкт-Петербурга в целях поддержания высокого уровня оказания медицинской помощи и усиления кадрового потенциала в государственных учреждениях здравоохранения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5997.5"/>
    <n v="4542.9071999999996"/>
    <n v="163.876"/>
    <n v="1454.5927999999999"/>
    <n v="76"/>
  </r>
  <r>
    <x v="7"/>
    <x v="7"/>
    <s v="  0909 0150054680 612"/>
    <x v="16"/>
    <x v="6"/>
    <s v="09"/>
    <x v="16"/>
    <s v="01"/>
    <x v="9"/>
    <x v="10"/>
    <s v="5"/>
    <s v="Процессная часть перечня мероприятий"/>
    <s v="01500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100.2"/>
    <n v="100.11799999999999"/>
    <n v="0"/>
    <n v="8.2000000000000003E-2"/>
    <n v="100"/>
  </r>
  <r>
    <x v="7"/>
    <x v="7"/>
    <s v="  0909 0650090160 612"/>
    <x v="16"/>
    <x v="6"/>
    <s v="09"/>
    <x v="16"/>
    <s v="06"/>
    <x v="1"/>
    <x v="1"/>
    <s v="5"/>
    <s v="Процессная часть перечня мероприятий государственной программы"/>
    <s v="0650090160"/>
    <s v="Расходы на мероприятия по пожарной безопасности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3155.1"/>
    <n v="835.14250000000004"/>
    <n v="374.9744"/>
    <n v="2319.9575"/>
    <n v="26"/>
  </r>
  <r>
    <x v="7"/>
    <x v="7"/>
    <s v="  1002 035004046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11289.8"/>
    <n v="136235.84039999999"/>
    <n v="11918.9238"/>
    <n v="75053.959600000002"/>
    <n v="64"/>
  </r>
  <r>
    <x v="7"/>
    <x v="7"/>
    <s v="  1002 035004046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21225"/>
    <n v="12658.1119"/>
    <n v="1688.2251000000001"/>
    <n v="8566.8881000000001"/>
    <n v="60"/>
  </r>
  <r>
    <x v="7"/>
    <x v="7"/>
    <s v="  1002 035004048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994.2"/>
    <n v="2614.0264000000002"/>
    <n v="360.78530000000001"/>
    <n v="1380.1736000000001"/>
    <n v="65"/>
  </r>
  <r>
    <x v="7"/>
    <x v="7"/>
    <s v="  1002 035004048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28356.9"/>
    <n v="91310.473800000007"/>
    <n v="9080.0848999999998"/>
    <n v="37046.426200000002"/>
    <n v="71"/>
  </r>
  <r>
    <x v="7"/>
    <x v="7"/>
    <s v="  1002 035004053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21376.1"/>
    <n v="18259.561099999999"/>
    <n v="0"/>
    <n v="3116.5389"/>
    <n v="85"/>
  </r>
  <r>
    <x v="7"/>
    <x v="7"/>
    <s v="  1002 035004063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630"/>
    <s v="Субсидии бюджетным учреждениям - комплексным центрам социального обслуживания населения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5133.5"/>
    <n v="9969.2710000000006"/>
    <n v="1511.9988000000001"/>
    <n v="5164.2290000000003"/>
    <n v="66"/>
  </r>
  <r>
    <x v="7"/>
    <x v="7"/>
    <s v="  1002 035004063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630"/>
    <s v="Субсидии бюджетным учреждениям - комплексным центрам социального обслуживания населения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09027.5"/>
    <n v="347128.20669999998"/>
    <n v="43845.847199999997"/>
    <n v="161899.29329999999"/>
    <n v="68"/>
  </r>
  <r>
    <x v="7"/>
    <x v="7"/>
    <s v="  1002 0350040640 611"/>
    <x v="17"/>
    <x v="7"/>
    <s v="02"/>
    <x v="17"/>
    <s v="03"/>
    <x v="7"/>
    <x v="8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541.7"/>
    <n v="2604.5990999999999"/>
    <n v="358.40519999999998"/>
    <n v="1937.1008999999999"/>
    <n v="57"/>
  </r>
  <r>
    <x v="7"/>
    <x v="7"/>
    <s v="  1002 0350040640 614"/>
    <x v="17"/>
    <x v="7"/>
    <s v="02"/>
    <x v="17"/>
    <s v="03"/>
    <x v="7"/>
    <x v="8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9802"/>
    <n v="37987.800499999998"/>
    <n v="4303.3698999999997"/>
    <n v="21814.199499999999"/>
    <n v="64"/>
  </r>
  <r>
    <x v="7"/>
    <x v="7"/>
    <s v="  1002 035004120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41200"/>
    <s v="Расходы на приобретение немонтируемого оборудования и инвентаря для оснащения вводных объектов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3856.7"/>
    <n v="2935.1909999999998"/>
    <n v="0"/>
    <n v="921.50900000000001"/>
    <n v="76"/>
  </r>
  <r>
    <x v="7"/>
    <x v="7"/>
    <s v="  1002 03500R5140 612"/>
    <x v="17"/>
    <x v="7"/>
    <s v="02"/>
    <x v="17"/>
    <s v="03"/>
    <x v="7"/>
    <x v="8"/>
    <s v="5"/>
    <s v="Процессная часть перечня мероприятий государственной программы"/>
    <s v="03500R5140"/>
    <s v="Расходы на реализацию мероприятий по формированию системы комплексной реабилитации и абилитации инвалидов, в том числе детей-инвалидов"/>
    <s v="612"/>
    <s v="Субсидии бюджетным учреждениям на иные цели"/>
    <s v="Администрация Кировского района Санкт-Петербурга"/>
    <s v="7805059546"/>
    <n v="2500"/>
    <n v="1439.7729999999999"/>
    <n v="0"/>
    <n v="1060.2270000000001"/>
    <n v="58"/>
  </r>
  <r>
    <x v="7"/>
    <x v="7"/>
    <s v="  1003 0350040240 612"/>
    <x v="18"/>
    <x v="7"/>
    <s v="03"/>
    <x v="18"/>
    <s v="03"/>
    <x v="7"/>
    <x v="8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51205.3"/>
    <n v="44308.448700000001"/>
    <n v="1207.7611999999999"/>
    <n v="6896.8513000000003"/>
    <n v="87"/>
  </r>
  <r>
    <x v="7"/>
    <x v="7"/>
    <s v="  1004 031Я253130 612"/>
    <x v="19"/>
    <x v="7"/>
    <s v="04"/>
    <x v="19"/>
    <s v="03"/>
    <x v="7"/>
    <x v="13"/>
    <s v="1"/>
    <s v="Региональные проекты, входящие в состав национальных проектов"/>
    <s v="031Я253130"/>
    <s v="Расходы на реализацию мероприятий программы по повышению рождаемости в Санкт-Петербурге"/>
    <s v="612"/>
    <s v="Субсидии бюджетным учреждениям на иные цели"/>
    <s v="Администрация Кировского района Санкт-Петербурга"/>
    <s v="7805059546"/>
    <n v="11784.4"/>
    <n v="11784.34"/>
    <n v="0"/>
    <n v="0.06"/>
    <n v="100"/>
  </r>
  <r>
    <x v="7"/>
    <x v="7"/>
    <s v="  1004 0950083620 323"/>
    <x v="19"/>
    <x v="7"/>
    <s v="04"/>
    <x v="19"/>
    <s v="09"/>
    <x v="4"/>
    <x v="4"/>
    <s v="5"/>
    <s v="Процессная часть перечня мероприятий"/>
    <s v="0950083620"/>
    <s v="Расходы на предоставление дополнительной меры социальной поддержки по оборудованию предметами первой необходимости жилых помещений специализированного жилищного фонда, предоставляемых детям-сиротам и детям, оставшимся без попечения родителей, лицам из их "/>
    <s v="323"/>
    <s v="Приобретение товаров, работ, услуг в пользу граждан в целях их социального обеспечения"/>
    <s v="Администрация Кировского района Санкт-Петербурга"/>
    <s v="7805059546"/>
    <n v="1328.7"/>
    <n v="658.73329999999999"/>
    <n v="0"/>
    <n v="669.96669999999995"/>
    <n v="50"/>
  </r>
  <r>
    <x v="7"/>
    <x v="7"/>
    <s v="  1101 0450045020 611"/>
    <x v="20"/>
    <x v="8"/>
    <s v="01"/>
    <x v="20"/>
    <s v="04"/>
    <x v="10"/>
    <x v="12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91160.4"/>
    <n v="121742.82399999999"/>
    <n v="16510.888800000001"/>
    <n v="69417.576000000001"/>
    <n v="64"/>
  </r>
  <r>
    <x v="7"/>
    <x v="7"/>
    <s v="  1101 0450045060 612"/>
    <x v="20"/>
    <x v="8"/>
    <s v="01"/>
    <x v="20"/>
    <s v="04"/>
    <x v="10"/>
    <x v="12"/>
    <s v="5"/>
    <s v="Процессная часть перечня мероприятий государственной программы"/>
    <s v="0450045060"/>
    <s v="Расходы на проектирование, ремонт и оснащение оборудованием внутридворовых спортивных площадок для занятий физической культурой и спортом населения"/>
    <s v="612"/>
    <s v="Субсидии бюджетным учреждениям на иные цели"/>
    <s v="Администрация Кировского района Санкт-Петербурга"/>
    <s v="7805059546"/>
    <n v="35508.9"/>
    <n v="57"/>
    <n v="0"/>
    <n v="35451.9"/>
    <n v="0"/>
  </r>
  <r>
    <x v="7"/>
    <x v="7"/>
    <s v="  1102 0450045010 612"/>
    <x v="21"/>
    <x v="8"/>
    <s v="02"/>
    <x v="21"/>
    <s v="04"/>
    <x v="10"/>
    <x v="12"/>
    <s v="5"/>
    <s v="Процессная часть перечня мероприятий государственной программы"/>
    <s v="04500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693.1"/>
    <n v="1461.7384999999999"/>
    <n v="451.55810000000002"/>
    <n v="2231.3615"/>
    <n v="40"/>
  </r>
  <r>
    <x v="7"/>
    <x v="7"/>
    <s v="  1103 0450045090 611"/>
    <x v="22"/>
    <x v="8"/>
    <s v="03"/>
    <x v="22"/>
    <s v="04"/>
    <x v="10"/>
    <x v="12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56415.3"/>
    <n v="201163.14060000001"/>
    <n v="21010.8459"/>
    <n v="155252.1594"/>
    <n v="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5">
  <r>
    <s v="1"/>
    <x v="0"/>
    <s v="  0103 9950000060 244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3772.6"/>
    <n v="0"/>
    <n v="0"/>
    <n v="3772.6"/>
    <n v="0"/>
  </r>
  <r>
    <s v="1"/>
    <x v="0"/>
    <s v="  0103 9950000060 247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8.3000000000000007"/>
    <n v="0"/>
    <n v="0"/>
    <n v="8.3000000000000007"/>
    <n v="0"/>
  </r>
  <r>
    <s v="1"/>
    <x v="0"/>
    <s v="  0113 0650090100 530"/>
    <s v="0113"/>
    <s v="Общегосударственные вопросы"/>
    <s v="13"/>
    <s v="Другие общегосударственные вопросы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4.400000000000006"/>
    <n v="0"/>
    <n v="0"/>
    <n v="64.400000000000006"/>
    <n v="0"/>
  </r>
  <r>
    <s v="1"/>
    <x v="0"/>
    <s v="  0113 1650099220 244"/>
    <s v="0113"/>
    <s v="Общегосударственные вопросы"/>
    <s v="13"/>
    <s v="Другие общегосударственные вопросы"/>
    <s v="16"/>
    <s v="Экономическое и социальное развитие территорий Санкт-Петербурга"/>
    <s v="165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208.2"/>
    <n v="0"/>
    <n v="0"/>
    <n v="208.2"/>
    <n v="0"/>
  </r>
  <r>
    <s v="1"/>
    <x v="0"/>
    <s v="  0113 1750098720 244"/>
    <s v="0113"/>
    <s v="Общегосударственные вопросы"/>
    <s v="13"/>
    <s v="Другие общегосударственные вопросы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67.9"/>
    <n v="0"/>
    <n v="0"/>
    <n v="567.9"/>
    <n v="0"/>
  </r>
  <r>
    <s v="1"/>
    <x v="0"/>
    <s v="  0113 9950000090 1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246128.1"/>
    <n v="22136.058400000002"/>
    <n v="22136.058400000002"/>
    <n v="223992.0416"/>
    <n v="9"/>
  </r>
  <r>
    <s v="1"/>
    <x v="0"/>
    <s v="  0113 9950000090 12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40.5"/>
    <n v="20.663"/>
    <n v="20.663"/>
    <n v="119.837"/>
    <n v="15"/>
  </r>
  <r>
    <s v="1"/>
    <x v="0"/>
    <s v="  0113 9950000090 12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73941.2"/>
    <n v="76.575400000000002"/>
    <n v="76.575400000000002"/>
    <n v="73864.624599999996"/>
    <n v="0"/>
  </r>
  <r>
    <s v="1"/>
    <x v="0"/>
    <s v="  0113 9950000090 24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0"/>
    <n v="0"/>
    <n v="300"/>
    <n v="0"/>
  </r>
  <r>
    <s v="1"/>
    <x v="0"/>
    <s v="  0113 9950000090 243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18097.3"/>
    <n v="0"/>
    <n v="0"/>
    <n v="18097.3"/>
    <n v="0"/>
  </r>
  <r>
    <s v="1"/>
    <x v="0"/>
    <s v="  0113 995000009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93368.1"/>
    <n v="404.19069999999999"/>
    <n v="404.19069999999999"/>
    <n v="92963.909299999999"/>
    <n v="0"/>
  </r>
  <r>
    <s v="1"/>
    <x v="0"/>
    <s v="  0113 9950000090 247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160.9"/>
    <n v="1881.8282999999999"/>
    <n v="1881.8282999999999"/>
    <n v="14279.0717"/>
    <n v="12"/>
  </r>
  <r>
    <s v="1"/>
    <x v="0"/>
    <s v="  0113 9950000320 1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181743.4"/>
    <n v="10214.7201"/>
    <n v="10214.7201"/>
    <n v="171528.67989999999"/>
    <n v="6"/>
  </r>
  <r>
    <s v="1"/>
    <x v="0"/>
    <s v="  0113 9950000320 11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54700.4"/>
    <n v="2151.9915999999998"/>
    <n v="2151.9915999999998"/>
    <n v="52548.4084"/>
    <n v="4"/>
  </r>
  <r>
    <s v="1"/>
    <x v="0"/>
    <s v="  0113 995000032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2625.5"/>
    <n v="1.1308"/>
    <n v="1.1308"/>
    <n v="2624.3692000000001"/>
    <n v="0"/>
  </r>
  <r>
    <s v="1"/>
    <x v="0"/>
    <s v="  0113 9950000320 85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0.47589999999999999"/>
    <n v="0.47589999999999999"/>
    <n v="3.2241"/>
    <n v="13"/>
  </r>
  <r>
    <s v="1"/>
    <x v="0"/>
    <s v="  0113 9950000530 6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0925.600000000006"/>
    <n v="3058.5798"/>
    <n v="3058.5798"/>
    <n v="67867.020199999999"/>
    <n v="4"/>
  </r>
  <r>
    <s v="1"/>
    <x v="0"/>
    <s v="  0113 995000148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6627.5"/>
    <n v="0"/>
    <n v="0"/>
    <n v="6627.5"/>
    <n v="0"/>
  </r>
  <r>
    <s v="1"/>
    <x v="0"/>
    <s v="  0309 0650090880 244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4082.8"/>
    <n v="0"/>
    <n v="0"/>
    <n v="4082.8"/>
    <n v="0"/>
  </r>
  <r>
    <s v="1"/>
    <x v="0"/>
    <s v="  0309 0650090880 247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778.7"/>
    <n v="0"/>
    <n v="0"/>
    <n v="778.7"/>
    <n v="0"/>
  </r>
  <r>
    <s v="1"/>
    <x v="0"/>
    <s v="  0309 0650090880 851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5312.2"/>
    <n v="0"/>
    <n v="0"/>
    <n v="5312.2"/>
    <n v="0"/>
  </r>
  <r>
    <s v="1"/>
    <x v="0"/>
    <s v="  0314 0650090690 244"/>
    <s v="0314"/>
    <s v="Национальная безопасность и правоохранительная деятельность"/>
    <s v="14"/>
    <s v="Другие вопросы в области национальной безопасности и правоохранительной деятельности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2.1"/>
    <n v="0"/>
    <n v="0"/>
    <n v="22.1"/>
    <n v="0"/>
  </r>
  <r>
    <s v="1"/>
    <x v="0"/>
    <s v="  0410 0650090810 612"/>
    <s v="0410"/>
    <s v="Национальная экономика"/>
    <s v="10"/>
    <s v="Связь и информатик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612"/>
    <s v="Субсидии бюджетным учреждениям на иные цели"/>
    <s v="Администрация Кировского района Санкт-Петербурга"/>
    <s v="7805059546"/>
    <n v="32862.199999999997"/>
    <n v="0"/>
    <n v="0"/>
    <n v="32862.199999999997"/>
    <n v="0"/>
  </r>
  <r>
    <s v="1"/>
    <x v="0"/>
    <s v="  0410 9950096170 242"/>
    <s v="0410"/>
    <s v="Национальная экономика"/>
    <s v="10"/>
    <s v="Связь и информатика"/>
    <s v="99"/>
    <s v="Непрограммные расходы"/>
    <s v="995"/>
    <s v="5"/>
    <s v="Процессная часть перечня мероприятий государственной программы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5402.8"/>
    <n v="56.6813"/>
    <n v="56.6813"/>
    <n v="5346.1187"/>
    <n v="1"/>
  </r>
  <r>
    <s v="1"/>
    <x v="0"/>
    <s v="  0501 09500833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247.5"/>
    <n v="0"/>
    <n v="0"/>
    <n v="5247.5"/>
    <n v="0"/>
  </r>
  <r>
    <s v="1"/>
    <x v="0"/>
    <s v="  0501 095008347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58301.1"/>
    <n v="0"/>
    <n v="0"/>
    <n v="58301.1"/>
    <n v="0"/>
  </r>
  <r>
    <s v="1"/>
    <x v="0"/>
    <s v="  0501 09500834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1465.6"/>
    <n v="0"/>
    <n v="0"/>
    <n v="1465.6"/>
    <n v="0"/>
  </r>
  <r>
    <s v="1"/>
    <x v="0"/>
    <s v="  0501 095008348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107387"/>
    <n v="6271.6196"/>
    <n v="6271.6196"/>
    <n v="101115.38039999999"/>
    <n v="6"/>
  </r>
  <r>
    <s v="1"/>
    <x v="0"/>
    <s v="  0501 095008349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24678"/>
    <n v="0"/>
    <n v="0"/>
    <n v="24678"/>
    <n v="0"/>
  </r>
  <r>
    <s v="1"/>
    <x v="0"/>
    <s v="  0501 0950083490 247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6321.4"/>
    <n v="0"/>
    <n v="0"/>
    <n v="6321.4"/>
    <n v="0"/>
  </r>
  <r>
    <s v="1"/>
    <x v="0"/>
    <s v="  0501 095008349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785.7"/>
    <n v="372.48579999999998"/>
    <n v="372.48579999999998"/>
    <n v="4413.2142000000003"/>
    <n v="8"/>
  </r>
  <r>
    <s v="1"/>
    <x v="0"/>
    <s v="  0503 105008791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244"/>
    <s v="Прочая закупка товаров, работ и услуг"/>
    <s v="Администрация Кировского района Санкт-Петербурга"/>
    <s v="7805059546"/>
    <n v="1500"/>
    <n v="0"/>
    <n v="0"/>
    <n v="1500"/>
    <n v="0"/>
  </r>
  <r>
    <s v="1"/>
    <x v="0"/>
    <s v="  0503 105008793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52619.7"/>
    <n v="0"/>
    <n v="0"/>
    <n v="52619.7"/>
    <n v="0"/>
  </r>
  <r>
    <s v="1"/>
    <x v="0"/>
    <s v="  0505 0950083140 11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484074.8"/>
    <n v="33040.164100000002"/>
    <n v="33040.164100000002"/>
    <n v="451034.63589999999"/>
    <n v="7"/>
  </r>
  <r>
    <s v="1"/>
    <x v="0"/>
    <s v="  0505 0950083140 119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45129.20000000001"/>
    <n v="9299.0895999999993"/>
    <n v="9299.0895999999993"/>
    <n v="135830.11040000001"/>
    <n v="6"/>
  </r>
  <r>
    <s v="1"/>
    <x v="0"/>
    <s v="  0505 095008314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06296.5"/>
    <n v="15.8407"/>
    <n v="15.8407"/>
    <n v="106280.6593"/>
    <n v="0"/>
  </r>
  <r>
    <s v="1"/>
    <x v="0"/>
    <s v="  0505 0950083140 247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5728.8"/>
    <n v="0"/>
    <n v="0"/>
    <n v="5728.8"/>
    <n v="0"/>
  </r>
  <r>
    <s v="1"/>
    <x v="0"/>
    <s v="  0505 0950083140 85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454.5"/>
    <n v="0"/>
    <n v="0"/>
    <n v="1454.5"/>
    <n v="0"/>
  </r>
  <r>
    <s v="1"/>
    <x v="0"/>
    <s v="  0505 0950083140 852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675.8"/>
    <n v="8"/>
    <n v="8"/>
    <n v="667.8"/>
    <n v="1"/>
  </r>
  <r>
    <s v="1"/>
    <x v="0"/>
    <s v="  0505 095008345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50"/>
    <s v="Расходы на проведение мероприятий по созданию условий доступности для инвалидов и иных маломобильных групп населения"/>
    <s v="244"/>
    <s v="Прочая закупка товаров, работ и услуг"/>
    <s v="Администрация Кировского района Санкт-Петербурга"/>
    <s v="7805059546"/>
    <n v="3157.5"/>
    <n v="0"/>
    <n v="0"/>
    <n v="3157.5"/>
    <n v="0"/>
  </r>
  <r>
    <s v="1"/>
    <x v="0"/>
    <s v="  0701 0250020010 611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988386"/>
    <n v="281992.88370000001"/>
    <n v="281992.88370000001"/>
    <n v="4706393.1162999999"/>
    <n v="6"/>
  </r>
  <r>
    <s v="1"/>
    <x v="0"/>
    <s v="  0701 025002094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9473.1"/>
    <n v="0"/>
    <n v="0"/>
    <n v="29473.1"/>
    <n v="0"/>
  </r>
  <r>
    <s v="1"/>
    <x v="0"/>
    <s v="  0701 025002145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4664.6"/>
    <n v="0"/>
    <n v="0"/>
    <n v="34664.6"/>
    <n v="0"/>
  </r>
  <r>
    <s v="1"/>
    <x v="0"/>
    <s v="  0702 021EВ5179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21148"/>
    <n v="0"/>
    <n v="0"/>
    <n v="21148"/>
    <n v="0"/>
  </r>
  <r>
    <s v="1"/>
    <x v="0"/>
    <s v="  0702 021EВ5786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7860"/>
    <s v="Расходы на обеспечение оснащения государственных общеобразовательных организаций, в том числе структурных подразделений указанных организаций, государственными символами Российской Федерации"/>
    <s v="612"/>
    <s v="Субсидии бюджетным учреждениям на иные цели"/>
    <s v="Администрация Кировского района Санкт-Петербурга"/>
    <s v="7805059546"/>
    <n v="1977.2"/>
    <n v="0"/>
    <n v="0"/>
    <n v="1977.2"/>
    <n v="0"/>
  </r>
  <r>
    <s v="1"/>
    <x v="0"/>
    <s v="  0702 025002003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853107.2"/>
    <n v="310156.61070000002"/>
    <n v="310156.61070000002"/>
    <n v="4542950.5893000001"/>
    <n v="6"/>
  </r>
  <r>
    <s v="1"/>
    <x v="0"/>
    <s v="  0702 025002006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68859"/>
    <n v="5598.9251000000004"/>
    <n v="5598.9251000000004"/>
    <n v="163260.07490000001"/>
    <n v="3"/>
  </r>
  <r>
    <s v="1"/>
    <x v="0"/>
    <s v="  0702 025002007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1930.899999999994"/>
    <n v="5216.8594000000003"/>
    <n v="5216.8594000000003"/>
    <n v="76714.040599999993"/>
    <n v="6"/>
  </r>
  <r>
    <s v="1"/>
    <x v="0"/>
    <s v="  0702 0250020080 63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80"/>
    <s v="Субсидии частным образовательным организациям для реализации основных общеобразовательных программ"/>
    <s v="631"/>
    <s v="Субсидии на возмещение недополученных доходов и (или) возмещение фактически понесенных затрат"/>
    <s v="Администрация Кировского района Санкт-Петербурга"/>
    <s v="7805059546"/>
    <n v="1102.9000000000001"/>
    <n v="0"/>
    <n v="0"/>
    <n v="1102.9000000000001"/>
    <n v="0"/>
  </r>
  <r>
    <s v="1"/>
    <x v="0"/>
    <s v="  0702 025002068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80"/>
    <s v="Расходы на приобретение оборудования и инвентаря для вводимых после капитального ремонта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8490.7000000000007"/>
    <n v="0"/>
    <n v="0"/>
    <n v="8490.7000000000007"/>
    <n v="0"/>
  </r>
  <r>
    <s v="1"/>
    <x v="0"/>
    <s v="  0702 025002094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27820.2"/>
    <n v="0"/>
    <n v="0"/>
    <n v="127820.2"/>
    <n v="0"/>
  </r>
  <r>
    <s v="1"/>
    <x v="0"/>
    <s v="  0702 025002145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8422.3"/>
    <n v="0"/>
    <n v="0"/>
    <n v="28422.3"/>
    <n v="0"/>
  </r>
  <r>
    <s v="1"/>
    <x v="0"/>
    <s v="  0702 025005303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104515.5"/>
    <n v="0"/>
    <n v="0"/>
    <n v="104515.5"/>
    <n v="0"/>
  </r>
  <r>
    <s v="1"/>
    <x v="0"/>
    <s v="  0702 035004065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261384"/>
    <n v="428.3374"/>
    <n v="428.3374"/>
    <n v="260955.66260000001"/>
    <n v="0"/>
  </r>
  <r>
    <s v="1"/>
    <x v="0"/>
    <s v="  0702 03500R304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79288"/>
    <n v="0"/>
    <n v="0"/>
    <n v="179288"/>
    <n v="0"/>
  </r>
  <r>
    <s v="1"/>
    <x v="0"/>
    <s v="  0703 0250020300 611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53526.6"/>
    <n v="16619.287400000001"/>
    <n v="16619.287400000001"/>
    <n v="236907.3126"/>
    <n v="7"/>
  </r>
  <r>
    <s v="1"/>
    <x v="0"/>
    <s v="  0703 0250021580 816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580"/>
    <s v="Расходы на реализацию системы персонифицированного учета детей, осваивающих дополнительные образовательные программы (за исключением дополнительных предпрофессиональных программ в области искусств)"/>
    <s v="816"/>
    <s v="Субсидии в целях финансового обеспечения (возмещения)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0"/>
    <n v="0"/>
    <n v="0"/>
    <n v="100"/>
    <n v="0"/>
  </r>
  <r>
    <s v="1"/>
    <x v="0"/>
    <s v="  0705 0250020620 612"/>
    <s v="0705"/>
    <s v="Образование"/>
    <s v="05"/>
    <s v="Профессиональная подготовка, переподготовка и повышение квалификации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20"/>
    <s v="Расходы на обеспечение непрерывного и планомерного повышения квалификации руководящих и педагогических работников"/>
    <s v="612"/>
    <s v="Субсидии бюджетным учреждениям на иные цели"/>
    <s v="Администрация Кировского района Санкт-Петербурга"/>
    <s v="7805059546"/>
    <n v="1003.3"/>
    <n v="0"/>
    <n v="0"/>
    <n v="1003.3"/>
    <n v="0"/>
  </r>
  <r>
    <s v="1"/>
    <x v="0"/>
    <s v="  0707 1750078010 611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24582.9"/>
    <n v="4308.8928999999998"/>
    <n v="4308.8928999999998"/>
    <n v="220274.00709999999"/>
    <n v="2"/>
  </r>
  <r>
    <s v="1"/>
    <x v="0"/>
    <s v="  0707 17500785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9320.5"/>
    <n v="0"/>
    <n v="0"/>
    <n v="9320.5"/>
    <n v="0"/>
  </r>
  <r>
    <s v="1"/>
    <x v="0"/>
    <s v="  0707 175007945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648.3"/>
    <n v="0"/>
    <n v="0"/>
    <n v="1648.3"/>
    <n v="0"/>
  </r>
  <r>
    <s v="1"/>
    <x v="0"/>
    <s v="  0707 17500794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12658.4"/>
    <n v="0"/>
    <n v="0"/>
    <n v="12658.4"/>
    <n v="0"/>
  </r>
  <r>
    <s v="1"/>
    <x v="0"/>
    <s v="  0709 025002010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642.6"/>
    <n v="0"/>
    <n v="0"/>
    <n v="1642.6"/>
    <n v="0"/>
  </r>
  <r>
    <s v="1"/>
    <x v="0"/>
    <s v="  0709 0250020370 244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2351.4"/>
    <n v="0"/>
    <n v="0"/>
    <n v="92351.4"/>
    <n v="0"/>
  </r>
  <r>
    <s v="1"/>
    <x v="0"/>
    <s v="  0709 025002037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4681.8"/>
    <n v="0"/>
    <n v="0"/>
    <n v="14681.8"/>
    <n v="0"/>
  </r>
  <r>
    <s v="1"/>
    <x v="0"/>
    <s v="  0709 025002043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3320.4"/>
    <n v="2271.9958999999999"/>
    <n v="2271.9958999999999"/>
    <n v="41048.4041"/>
    <n v="5"/>
  </r>
  <r>
    <s v="1"/>
    <x v="0"/>
    <s v="  0709 025002044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9928.7"/>
    <n v="3974.2087999999999"/>
    <n v="3974.2087999999999"/>
    <n v="55954.491199999997"/>
    <n v="7"/>
  </r>
  <r>
    <s v="1"/>
    <x v="0"/>
    <s v="  0709 02500205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590"/>
    <s v="Субсидии на организацию проведения культурно-познавательной программы для обучающихся 9-х и 10-х классов государственных общеобразовательных организаций «Театральный урок в Мариинском театре»"/>
    <s v="612"/>
    <s v="Субсидии бюджетным учреждениям на иные цели"/>
    <s v="Администрация Кировского района Санкт-Петербурга"/>
    <s v="7805059546"/>
    <n v="7028.9"/>
    <n v="0"/>
    <n v="0"/>
    <n v="7028.9"/>
    <n v="0"/>
  </r>
  <r>
    <s v="1"/>
    <x v="0"/>
    <s v="  0709 02500211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190"/>
    <s v="Расходы на ремонт и оснащение спортивных сооружений (стадионов) государственных 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4012.1"/>
    <n v="0"/>
    <n v="0"/>
    <n v="44012.1"/>
    <n v="0"/>
  </r>
  <r>
    <s v="1"/>
    <x v="0"/>
    <s v="  0709 1750078650 612"/>
    <s v="0709"/>
    <s v="Образование"/>
    <s v="09"/>
    <s v="Другие вопросы в области образования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0"/>
    <n v="0"/>
    <n v="500"/>
    <n v="0"/>
  </r>
  <r>
    <s v="1"/>
    <x v="0"/>
    <s v="  0801 085007008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80"/>
    <s v="Субсидии бюджетным 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32056"/>
    <n v="14035.1014"/>
    <n v="14035.1014"/>
    <n v="218020.89859999999"/>
    <n v="6"/>
  </r>
  <r>
    <s v="1"/>
    <x v="0"/>
    <s v="  0801 085007009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90"/>
    <s v="Субсидии бюджетным 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6322.7"/>
    <n v="2615.4566"/>
    <n v="2615.4566"/>
    <n v="83707.243400000007"/>
    <n v="3"/>
  </r>
  <r>
    <s v="1"/>
    <x v="0"/>
    <s v="  0801 08500701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170"/>
    <s v="Субсидии бюджетным 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92328.9"/>
    <n v="9413.7749000000003"/>
    <n v="9413.7749000000003"/>
    <n v="182915.1251"/>
    <n v="5"/>
  </r>
  <r>
    <s v="1"/>
    <x v="0"/>
    <s v="  0801 08500702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270"/>
    <s v="Субсидии бюджетным 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3563"/>
    <n v="3380.136"/>
    <n v="3380.136"/>
    <n v="70182.864000000001"/>
    <n v="5"/>
  </r>
  <r>
    <s v="1"/>
    <x v="0"/>
    <s v="  0801 0850070470 244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11510.7"/>
    <n v="0"/>
    <n v="0"/>
    <n v="11510.7"/>
    <n v="0"/>
  </r>
  <r>
    <s v="1"/>
    <x v="0"/>
    <s v="  0801 085007096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40101.9"/>
    <n v="0"/>
    <n v="0"/>
    <n v="40101.9"/>
    <n v="0"/>
  </r>
  <r>
    <s v="1"/>
    <x v="0"/>
    <s v="  0801 085007161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712.6"/>
    <n v="0"/>
    <n v="0"/>
    <n v="712.6"/>
    <n v="0"/>
  </r>
  <r>
    <s v="1"/>
    <x v="0"/>
    <s v="  0801 085007164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40"/>
    <s v="Расходы на мероприятия по модернизации общедоступных библиотек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0745.7"/>
    <n v="0"/>
    <n v="0"/>
    <n v="30745.7"/>
    <n v="0"/>
  </r>
  <r>
    <s v="1"/>
    <x v="0"/>
    <s v="  0804 0850071320 612"/>
    <s v="0804"/>
    <s v="Культура, кинематография"/>
    <s v="04"/>
    <s v="Другие вопросы в области культуры, кинематографии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2448.4"/>
    <n v="0"/>
    <n v="0"/>
    <n v="12448.4"/>
    <n v="0"/>
  </r>
  <r>
    <s v="1"/>
    <x v="0"/>
    <s v="  0902 0150010080 611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07335"/>
    <n v="14496.9344"/>
    <n v="14496.9344"/>
    <n v="592838.06559999997"/>
    <n v="2"/>
  </r>
  <r>
    <s v="1"/>
    <x v="0"/>
    <s v="  0902 0150010080 614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54.6000000000004"/>
    <n v="71.046499999999995"/>
    <n v="71.046499999999995"/>
    <n v="5083.5535"/>
    <n v="1"/>
  </r>
  <r>
    <s v="1"/>
    <x v="0"/>
    <s v="  0909 011N953652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N9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79182.8"/>
    <n v="0"/>
    <n v="0"/>
    <n v="79182.8"/>
    <n v="0"/>
  </r>
  <r>
    <s v="1"/>
    <x v="0"/>
    <s v="  0909 011P3546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P3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50.1"/>
    <n v="0"/>
    <n v="0"/>
    <n v="50.1"/>
    <n v="0"/>
  </r>
  <r>
    <s v="1"/>
    <x v="0"/>
    <s v="  0909 01500100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20"/>
    <s v="Расходы на профилактику инфекционных заболеваний, включая иммунопрофилактику"/>
    <s v="612"/>
    <s v="Субсидии бюджетным учреждениям на иные цели"/>
    <s v="Администрация Кировского района Санкт-Петербурга"/>
    <s v="7805059546"/>
    <n v="35585.699999999997"/>
    <n v="0"/>
    <n v="0"/>
    <n v="35585.699999999997"/>
    <n v="0"/>
  </r>
  <r>
    <s v="1"/>
    <x v="0"/>
    <s v="  0909 0150010100 244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46.1"/>
    <n v="0"/>
    <n v="0"/>
    <n v="46.1"/>
    <n v="0"/>
  </r>
  <r>
    <s v="1"/>
    <x v="0"/>
    <s v="  0909 01500105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98282.8"/>
    <n v="0"/>
    <n v="0"/>
    <n v="98282.8"/>
    <n v="0"/>
  </r>
  <r>
    <s v="1"/>
    <x v="0"/>
    <s v="  0909 015001065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650"/>
    <s v="Расходы на приобретение немонтируемого оборудования и инвентаря для оснащения вводных объектов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00"/>
    <n v="0"/>
    <n v="0"/>
    <n v="100"/>
    <n v="0"/>
  </r>
  <r>
    <s v="1"/>
    <x v="0"/>
    <s v="  0909 015001083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30"/>
    <s v="Расходы на капитальный ремонт и замену лифтового оборудовани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5384.9"/>
    <n v="0"/>
    <n v="0"/>
    <n v="15384.9"/>
    <n v="0"/>
  </r>
  <r>
    <s v="1"/>
    <x v="0"/>
    <s v="  0909 015001100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34143.9"/>
    <n v="0"/>
    <n v="0"/>
    <n v="34143.9"/>
    <n v="0"/>
  </r>
  <r>
    <s v="1"/>
    <x v="0"/>
    <s v="  1002 035004046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1890.3"/>
    <n v="12674.825000000001"/>
    <n v="12674.825000000001"/>
    <n v="169215.47500000001"/>
    <n v="7"/>
  </r>
  <r>
    <s v="1"/>
    <x v="0"/>
    <s v="  1002 035004046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8356.2"/>
    <n v="946.47500000000002"/>
    <n v="946.47500000000002"/>
    <n v="17409.724999999999"/>
    <n v="5"/>
  </r>
  <r>
    <s v="1"/>
    <x v="0"/>
    <s v="  1002 035004048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9296.5"/>
    <n v="7740.7542999999996"/>
    <n v="7740.7542999999996"/>
    <n v="101555.7457"/>
    <n v="7"/>
  </r>
  <r>
    <s v="1"/>
    <x v="0"/>
    <s v="  1002 0350040530 612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10386"/>
    <n v="0"/>
    <n v="0"/>
    <n v="10386"/>
    <n v="0"/>
  </r>
  <r>
    <s v="1"/>
    <x v="0"/>
    <s v="  1002 035004063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2844.7"/>
    <n v="842.39509999999996"/>
    <n v="842.39509999999996"/>
    <n v="12002.304899999999"/>
    <n v="7"/>
  </r>
  <r>
    <s v="1"/>
    <x v="0"/>
    <s v="  1002 035004063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443478.3"/>
    <n v="37055.111599999997"/>
    <n v="37055.111599999997"/>
    <n v="406423.18839999998"/>
    <n v="8"/>
  </r>
  <r>
    <s v="1"/>
    <x v="0"/>
    <s v="  1002 035004064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058.7"/>
    <n v="4484.1278000000002"/>
    <n v="4484.1278000000002"/>
    <n v="46574.572200000002"/>
    <n v="9"/>
  </r>
  <r>
    <s v="1"/>
    <x v="0"/>
    <s v="  1003 0350040240 612"/>
    <s v="1003"/>
    <s v="Социальная политика"/>
    <s v="03"/>
    <s v="Социальное обеспече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8948.800000000003"/>
    <n v="0"/>
    <n v="0"/>
    <n v="48948.800000000003"/>
    <n v="0"/>
  </r>
  <r>
    <s v="1"/>
    <x v="0"/>
    <s v="  1004 0350040990 611"/>
    <s v="1004"/>
    <s v="Социальная политика"/>
    <s v="04"/>
    <s v="Охрана семьи и детства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990"/>
    <s v="Расходы на выплату компенсации части родительской платы за содержание ребенка в государственных или муниципальных образовательных учреждениях, реализующих общеобразовательную программу дошкольного образов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359.3"/>
    <n v="260"/>
    <n v="260"/>
    <n v="32099.3"/>
    <n v="1"/>
  </r>
  <r>
    <s v="1"/>
    <x v="0"/>
    <s v="  1101 041P545060 612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60"/>
    <s v="Расходы на проектирование, ремонт и оснащение оборудованием внутридворовых спортивных площадок для занятий физической культурой и спортом населения"/>
    <s v="612"/>
    <s v="Субсидии бюджетным учреждениям на иные цели"/>
    <s v="Администрация Кировского района Санкт-Петербурга"/>
    <s v="7805059546"/>
    <n v="9879.5"/>
    <n v="0"/>
    <n v="0"/>
    <n v="9879.5"/>
    <n v="0"/>
  </r>
  <r>
    <s v="1"/>
    <x v="0"/>
    <s v="  1101 0450045020 611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125.7"/>
    <n v="14700.0586"/>
    <n v="14700.0586"/>
    <n v="168425.64139999999"/>
    <n v="8"/>
  </r>
  <r>
    <s v="1"/>
    <x v="0"/>
    <s v="  1102 041P545010 612"/>
    <s v="1102"/>
    <s v="Физическая культура и спорт"/>
    <s v="02"/>
    <s v="Массовый спорт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545.6"/>
    <n v="0"/>
    <n v="0"/>
    <n v="3545.6"/>
    <n v="0"/>
  </r>
  <r>
    <s v="1"/>
    <x v="0"/>
    <s v="  1103 0450045090 611"/>
    <s v="1103"/>
    <s v="Физическая культура и спорт"/>
    <s v="03"/>
    <s v="Спорт высших достижений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5200.09999999998"/>
    <n v="18065.104500000001"/>
    <n v="18065.104500000001"/>
    <n v="307134.99550000002"/>
    <n v="6"/>
  </r>
  <r>
    <s v="10"/>
    <x v="1"/>
    <s v="  0103 9950000060 244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3772.6"/>
    <n v="58.130800000000001"/>
    <n v="8.1098999999999997"/>
    <n v="3714.4692"/>
    <n v="2"/>
  </r>
  <r>
    <s v="10"/>
    <x v="1"/>
    <s v="  0103 9950000060 247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8.3000000000000007"/>
    <n v="0.92269999999999996"/>
    <n v="0"/>
    <n v="7.3773"/>
    <n v="11"/>
  </r>
  <r>
    <s v="10"/>
    <x v="1"/>
    <s v="  0113 0650090100 530"/>
    <s v="0113"/>
    <s v="Общегосударственные вопросы"/>
    <s v="13"/>
    <s v="Другие общегосударственные вопросы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4.400000000000006"/>
    <n v="0"/>
    <n v="0"/>
    <n v="64.400000000000006"/>
    <n v="0"/>
  </r>
  <r>
    <s v="10"/>
    <x v="1"/>
    <s v="  0113 1650099220 244"/>
    <s v="0113"/>
    <s v="Общегосударственные вопросы"/>
    <s v="13"/>
    <s v="Другие общегосударственные вопросы"/>
    <s v="16"/>
    <s v="Экономическое и социальное развитие территорий Санкт-Петербурга"/>
    <s v="165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208.2"/>
    <n v="95.19"/>
    <n v="0"/>
    <n v="113.01"/>
    <n v="46"/>
  </r>
  <r>
    <s v="10"/>
    <x v="1"/>
    <s v="  0113 1750098720 244"/>
    <s v="0113"/>
    <s v="Общегосударственные вопросы"/>
    <s v="13"/>
    <s v="Другие общегосударственные вопросы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67.9"/>
    <n v="267.5752"/>
    <n v="0"/>
    <n v="300.32479999999998"/>
    <n v="47"/>
  </r>
  <r>
    <s v="10"/>
    <x v="1"/>
    <s v="  0113 9950000090 1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246128.1"/>
    <n v="201649.51920000001"/>
    <n v="16215.5761"/>
    <n v="44478.580800000003"/>
    <n v="82"/>
  </r>
  <r>
    <s v="10"/>
    <x v="1"/>
    <s v="  0113 9950000090 12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40.5"/>
    <n v="83.626000000000005"/>
    <n v="3.19"/>
    <n v="56.874000000000002"/>
    <n v="60"/>
  </r>
  <r>
    <s v="10"/>
    <x v="1"/>
    <s v="  0113 9950000090 12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73726.399999999994"/>
    <n v="61777.407500000001"/>
    <n v="5798.4823999999999"/>
    <n v="11948.9925"/>
    <n v="84"/>
  </r>
  <r>
    <s v="10"/>
    <x v="1"/>
    <s v="  0113 9950000090 24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152.02869999999999"/>
    <n v="9.3596000000000004"/>
    <n v="147.97130000000001"/>
    <n v="51"/>
  </r>
  <r>
    <s v="10"/>
    <x v="1"/>
    <s v="  0113 9950000090 243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7833.8"/>
    <n v="0"/>
    <n v="0"/>
    <n v="7833.8"/>
    <n v="0"/>
  </r>
  <r>
    <s v="10"/>
    <x v="1"/>
    <s v="  0113 995000009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99180.6"/>
    <n v="47906.970200000003"/>
    <n v="3304.6309999999999"/>
    <n v="51273.629800000002"/>
    <n v="48"/>
  </r>
  <r>
    <s v="10"/>
    <x v="1"/>
    <s v="  0113 9950000090 247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160.9"/>
    <n v="11663.629300000001"/>
    <n v="554.37620000000004"/>
    <n v="4497.2707"/>
    <n v="72"/>
  </r>
  <r>
    <s v="10"/>
    <x v="1"/>
    <s v="  0113 9950000090 83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503.1"/>
    <n v="502.91250000000002"/>
    <n v="0"/>
    <n v="0.1875"/>
    <n v="100"/>
  </r>
  <r>
    <s v="10"/>
    <x v="1"/>
    <s v="  0113 9950000090 853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853"/>
    <s v="Уплата иных платежей"/>
    <s v="Администрация Кировского района Санкт-Петербурга"/>
    <s v="7805059546"/>
    <n v="179.8"/>
    <n v="179.71199999999999"/>
    <n v="0"/>
    <n v="8.7999999999999995E-2"/>
    <n v="100"/>
  </r>
  <r>
    <s v="10"/>
    <x v="1"/>
    <s v="  0113 9950000320 1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181743.4"/>
    <n v="148746.8885"/>
    <n v="19607.505099999998"/>
    <n v="32996.511500000001"/>
    <n v="82"/>
  </r>
  <r>
    <s v="10"/>
    <x v="1"/>
    <s v="  0113 9950000320 11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54698.400000000001"/>
    <n v="40832.341200000003"/>
    <n v="2587.0684999999999"/>
    <n v="13866.058800000001"/>
    <n v="75"/>
  </r>
  <r>
    <s v="10"/>
    <x v="1"/>
    <s v="  0113 995000032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2625.5"/>
    <n v="2468.6484999999998"/>
    <n v="49.910400000000003"/>
    <n v="156.85149999999999"/>
    <n v="94"/>
  </r>
  <r>
    <s v="10"/>
    <x v="1"/>
    <s v="  0113 9950000320 3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321"/>
    <s v="Пособия, компенсации и иные социальные выплаты_x000a_гражданам, кроме публичных нормативных обязательств"/>
    <s v="Администрация Кировского района Санкт-Петербурга"/>
    <s v="7805059546"/>
    <n v="2"/>
    <n v="1.9904999999999999"/>
    <n v="0"/>
    <n v="9.4999999999999998E-3"/>
    <n v="100"/>
  </r>
  <r>
    <s v="10"/>
    <x v="1"/>
    <s v="  0113 9950000320 85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3.2248999999999999"/>
    <n v="0.91600000000000004"/>
    <n v="0.47510000000000002"/>
    <n v="87"/>
  </r>
  <r>
    <s v="10"/>
    <x v="1"/>
    <s v="  0113 9950000530 6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0925.600000000006"/>
    <n v="56520.927900000002"/>
    <n v="5958.2152999999998"/>
    <n v="14404.6721"/>
    <n v="80"/>
  </r>
  <r>
    <s v="10"/>
    <x v="1"/>
    <s v="  0113 995000148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3849"/>
    <n v="3038.3040000000001"/>
    <n v="218.99420000000001"/>
    <n v="810.69600000000003"/>
    <n v="79"/>
  </r>
  <r>
    <s v="10"/>
    <x v="1"/>
    <s v="  0309 0650090880 244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4082.8"/>
    <n v="3578.4357"/>
    <n v="321.46620000000001"/>
    <n v="504.36430000000001"/>
    <n v="88"/>
  </r>
  <r>
    <s v="10"/>
    <x v="1"/>
    <s v="  0309 0650090880 247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8518.1"/>
    <n v="513.08050000000003"/>
    <n v="109.6823"/>
    <n v="8005.0195000000003"/>
    <n v="6"/>
  </r>
  <r>
    <s v="10"/>
    <x v="1"/>
    <s v="  0309 0650090880 851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7750.5"/>
    <n v="6342.0691999999999"/>
    <n v="1828.547"/>
    <n v="1408.4308000000001"/>
    <n v="82"/>
  </r>
  <r>
    <s v="10"/>
    <x v="1"/>
    <s v="  0309 0650090880 853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3"/>
    <s v="Уплата иных платежей"/>
    <s v="Администрация Кировского района Санкт-Петербурга"/>
    <s v="7805059546"/>
    <n v="2554.3000000000002"/>
    <n v="2068.2707"/>
    <n v="0"/>
    <n v="486.02929999999998"/>
    <n v="81"/>
  </r>
  <r>
    <s v="10"/>
    <x v="1"/>
    <s v="  0314 0650090690 244"/>
    <s v="0314"/>
    <s v="Национальная безопасность и правоохранительная деятельность"/>
    <s v="14"/>
    <s v="Другие вопросы в области национальной безопасности и правоохранительной деятельности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2.1"/>
    <n v="11.1165"/>
    <n v="0"/>
    <n v="10.983499999999999"/>
    <n v="50"/>
  </r>
  <r>
    <s v="10"/>
    <x v="1"/>
    <s v="  0410 0650090810 612"/>
    <s v="0410"/>
    <s v="Национальная экономика"/>
    <s v="10"/>
    <s v="Связь и информатик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612"/>
    <s v="Субсидии бюджетным учреждениям на иные цели"/>
    <s v="Администрация Кировского района Санкт-Петербурга"/>
    <s v="7805059546"/>
    <n v="33219"/>
    <n v="7965.9939999999997"/>
    <n v="642.86580000000004"/>
    <n v="25253.006000000001"/>
    <n v="24"/>
  </r>
  <r>
    <s v="10"/>
    <x v="1"/>
    <s v="  0410 9950096170 242"/>
    <s v="0410"/>
    <s v="Национальная экономика"/>
    <s v="10"/>
    <s v="Связь и информатика"/>
    <s v="99"/>
    <s v="Непрограммные расходы"/>
    <s v="995"/>
    <s v="5"/>
    <s v="Процессная часть перечня мероприятий государственной программы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5402.8"/>
    <n v="3719.8539000000001"/>
    <n v="0"/>
    <n v="1682.9460999999999"/>
    <n v="69"/>
  </r>
  <r>
    <s v="10"/>
    <x v="1"/>
    <s v="  0501 09500833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247.5"/>
    <n v="5021.99"/>
    <n v="0"/>
    <n v="225.51"/>
    <n v="96"/>
  </r>
  <r>
    <s v="10"/>
    <x v="1"/>
    <s v="  0501 095008347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58390"/>
    <n v="17052.107"/>
    <n v="6790.9201999999996"/>
    <n v="41337.892999999996"/>
    <n v="29"/>
  </r>
  <r>
    <s v="10"/>
    <x v="1"/>
    <s v="  0501 09500834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3467.9"/>
    <n v="593.6721"/>
    <n v="7.3337000000000003"/>
    <n v="2874.2278999999999"/>
    <n v="17"/>
  </r>
  <r>
    <s v="10"/>
    <x v="1"/>
    <s v="  0501 095008348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104832.7"/>
    <n v="78152.236999999994"/>
    <n v="16.4819"/>
    <n v="26680.463"/>
    <n v="75"/>
  </r>
  <r>
    <s v="10"/>
    <x v="1"/>
    <s v="  0501 095008349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16476.900000000001"/>
    <n v="10754.849700000001"/>
    <n v="673.61260000000004"/>
    <n v="5722.0502999999999"/>
    <n v="65"/>
  </r>
  <r>
    <s v="10"/>
    <x v="1"/>
    <s v="  0501 0950083490 247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8415.9"/>
    <n v="4148.9507999999996"/>
    <n v="3920.288"/>
    <n v="4266.9492"/>
    <n v="49"/>
  </r>
  <r>
    <s v="10"/>
    <x v="1"/>
    <s v="  0501 095008349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785.7"/>
    <n v="3837.5237000000002"/>
    <n v="0"/>
    <n v="948.17629999999997"/>
    <n v="80"/>
  </r>
  <r>
    <s v="10"/>
    <x v="1"/>
    <s v="  0503 105008791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244"/>
    <s v="Прочая закупка товаров, работ и услуг"/>
    <s v="Администрация Кировского района Санкт-Петербурга"/>
    <s v="7805059546"/>
    <n v="3229.3"/>
    <n v="340"/>
    <n v="0"/>
    <n v="2889.3"/>
    <n v="11"/>
  </r>
  <r>
    <s v="10"/>
    <x v="1"/>
    <s v="  0503 105008791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853"/>
    <s v="Уплата иных платежей"/>
    <s v="Администрация Кировского района Санкт-Петербурга"/>
    <s v="7805059546"/>
    <n v="250.7"/>
    <n v="250.65"/>
    <n v="0"/>
    <n v="0.05"/>
    <n v="100"/>
  </r>
  <r>
    <s v="10"/>
    <x v="1"/>
    <s v="  0503 105008793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52212.9"/>
    <n v="9332.2780000000002"/>
    <n v="892.82989999999995"/>
    <n v="42880.622000000003"/>
    <n v="18"/>
  </r>
  <r>
    <s v="10"/>
    <x v="1"/>
    <s v="  0503 105008793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853"/>
    <s v="Уплата иных платежей"/>
    <s v="Администрация Кировского района Санкт-Петербурга"/>
    <s v="7805059546"/>
    <n v="406.8"/>
    <n v="406.8"/>
    <n v="0"/>
    <n v="0"/>
    <n v="100"/>
  </r>
  <r>
    <s v="10"/>
    <x v="1"/>
    <s v="  0503 105008827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244"/>
    <s v="Прочая закупка товаров, работ и услуг"/>
    <s v="Администрация Кировского района Санкт-Петербурга"/>
    <s v="7805059546"/>
    <n v="149818.5"/>
    <n v="72912.054000000004"/>
    <n v="27930.651900000001"/>
    <n v="76906.445999999996"/>
    <n v="49"/>
  </r>
  <r>
    <s v="10"/>
    <x v="1"/>
    <s v="  0503 105008827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853"/>
    <s v="Уплата иных платежей"/>
    <s v="Администрация Кировского района Санкт-Петербурга"/>
    <s v="7805059546"/>
    <n v="2086.8000000000002"/>
    <n v="2086.8000000000002"/>
    <n v="0"/>
    <n v="0"/>
    <n v="100"/>
  </r>
  <r>
    <s v="10"/>
    <x v="1"/>
    <s v="  0505 0950083140 11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459993.3"/>
    <n v="356942.70990000002"/>
    <n v="34781.425300000003"/>
    <n v="103050.5901"/>
    <n v="78"/>
  </r>
  <r>
    <s v="10"/>
    <x v="1"/>
    <s v="  0505 0950083140 119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37856.6"/>
    <n v="109143.2108"/>
    <n v="9847.1532000000007"/>
    <n v="28713.389200000001"/>
    <n v="79"/>
  </r>
  <r>
    <s v="10"/>
    <x v="1"/>
    <s v="  0505 095008314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21017.3"/>
    <n v="64955.890599999999"/>
    <n v="13953.067499999999"/>
    <n v="56061.409399999997"/>
    <n v="54"/>
  </r>
  <r>
    <s v="10"/>
    <x v="1"/>
    <s v="  0505 0950083140 247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4461.7"/>
    <n v="2400.6374999999998"/>
    <n v="234.07169999999999"/>
    <n v="2061.0625"/>
    <n v="54"/>
  </r>
  <r>
    <s v="10"/>
    <x v="1"/>
    <s v="  0505 0950083140 83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284.7"/>
    <n v="280.87279999999998"/>
    <n v="0"/>
    <n v="3.8271999999999999"/>
    <n v="99"/>
  </r>
  <r>
    <s v="10"/>
    <x v="1"/>
    <s v="  0505 0950083140 85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83.2"/>
    <n v="137.387"/>
    <n v="45.646999999999998"/>
    <n v="45.813000000000002"/>
    <n v="75"/>
  </r>
  <r>
    <s v="10"/>
    <x v="1"/>
    <s v="  0505 0950083140 852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675.8"/>
    <n v="537.55769999999995"/>
    <n v="104.425"/>
    <n v="138.2423"/>
    <n v="80"/>
  </r>
  <r>
    <s v="10"/>
    <x v="1"/>
    <s v="  0505 0950083140 853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3"/>
    <s v="Уплата иных платежей"/>
    <s v="Администрация Кировского района Санкт-Петербурга"/>
    <s v="7805059546"/>
    <n v="185"/>
    <n v="185"/>
    <n v="0"/>
    <n v="0"/>
    <n v="100"/>
  </r>
  <r>
    <s v="10"/>
    <x v="1"/>
    <s v="  0505 095008345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50"/>
    <s v="Расходы на проведение мероприятий по созданию условий доступности для инвалидов и иных маломобильных групп населения"/>
    <s v="244"/>
    <s v="Прочая закупка товаров, работ и услуг"/>
    <s v="Администрация Кировского района Санкт-Петербурга"/>
    <s v="7805059546"/>
    <n v="3157.5"/>
    <n v="2570.8843999999999"/>
    <n v="2570.8843999999999"/>
    <n v="586.61559999999997"/>
    <n v="81"/>
  </r>
  <r>
    <s v="10"/>
    <x v="1"/>
    <s v="  0701 0250020010 611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988386"/>
    <n v="3891529.8708000001"/>
    <n v="381988.71549999999"/>
    <n v="1096856.1292000001"/>
    <n v="78"/>
  </r>
  <r>
    <s v="10"/>
    <x v="1"/>
    <s v="  0701 025002094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9473.1"/>
    <n v="8176.0011999999997"/>
    <n v="0"/>
    <n v="21297.0988"/>
    <n v="28"/>
  </r>
  <r>
    <s v="10"/>
    <x v="1"/>
    <s v="  0701 025002145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2937.4"/>
    <n v="31137.7019"/>
    <n v="2929.9998999999998"/>
    <n v="1799.6981000000001"/>
    <n v="95"/>
  </r>
  <r>
    <s v="10"/>
    <x v="1"/>
    <s v="  0702 021EВ5179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21148"/>
    <n v="17623.060000000001"/>
    <n v="1762.2418"/>
    <n v="3524.94"/>
    <n v="83"/>
  </r>
  <r>
    <s v="10"/>
    <x v="1"/>
    <s v="  0702 021EВ5786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7860"/>
    <s v="Расходы на обеспечение оснащения государственных общеобразовательных организаций, в том числе структурных подразделений указанных организаций, государственными символами Российской Федерации"/>
    <s v="612"/>
    <s v="Субсидии бюджетным учреждениям на иные цели"/>
    <s v="Администрация Кировского района Санкт-Петербурга"/>
    <s v="7805059546"/>
    <n v="1977.2"/>
    <n v="1975.2195999999999"/>
    <n v="0"/>
    <n v="1.9803999999999999"/>
    <n v="100"/>
  </r>
  <r>
    <s v="10"/>
    <x v="1"/>
    <s v="  0702 025002003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853108.9000000004"/>
    <n v="3866971.9057999998"/>
    <n v="384673.02149999997"/>
    <n v="986136.99419999996"/>
    <n v="80"/>
  </r>
  <r>
    <s v="10"/>
    <x v="1"/>
    <s v="  0702 025002006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68859"/>
    <n v="118483.55190000001"/>
    <n v="10453.5497"/>
    <n v="50375.448100000001"/>
    <n v="70"/>
  </r>
  <r>
    <s v="10"/>
    <x v="1"/>
    <s v="  0702 025002007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1930.899999999994"/>
    <n v="64404.627999999997"/>
    <n v="6514.9404999999997"/>
    <n v="17526.272000000001"/>
    <n v="79"/>
  </r>
  <r>
    <s v="10"/>
    <x v="1"/>
    <s v="  0702 0250020080 633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80"/>
    <s v="Субсидии частным образовательным организациям для реализации основных общеобразовательных программ"/>
    <s v="633"/>
    <s v="Субсидии (гранты в форме субсидий), не подлежащие казначейскому сопровождению"/>
    <s v="Администрация Кировского района Санкт-Петербурга"/>
    <s v="7805059546"/>
    <n v="1102.9000000000001"/>
    <n v="827.17499999999995"/>
    <n v="0"/>
    <n v="275.72500000000002"/>
    <n v="75"/>
  </r>
  <r>
    <s v="10"/>
    <x v="1"/>
    <s v="  0702 025002009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90"/>
    <s v="Расходы на обеспечение книгами и учебными изданиями для комплектования библиотек государственных обще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107676.4"/>
    <n v="105285.89"/>
    <n v="25860.704900000001"/>
    <n v="2390.5100000000002"/>
    <n v="98"/>
  </r>
  <r>
    <s v="10"/>
    <x v="1"/>
    <s v="  0702 025002011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10"/>
    <s v="Расходы на оснащение базовых общеобразовательных организаций современными средствами обучения и воспитания с целью повышения качества общего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20000"/>
    <n v="19938.434000000001"/>
    <n v="16.75"/>
    <n v="61.566000000000003"/>
    <n v="100"/>
  </r>
  <r>
    <s v="10"/>
    <x v="1"/>
    <s v="  0702 025002068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80"/>
    <s v="Расходы на приобретение оборудования и инвентаря для вводимых после капитального ремонта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8490.7000000000007"/>
    <n v="0"/>
    <n v="0"/>
    <n v="8490.7000000000007"/>
    <n v="0"/>
  </r>
  <r>
    <s v="10"/>
    <x v="1"/>
    <s v="  0702 025002094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27820.2"/>
    <n v="28912.169000000002"/>
    <n v="13569.257600000001"/>
    <n v="98908.031000000003"/>
    <n v="23"/>
  </r>
  <r>
    <s v="10"/>
    <x v="1"/>
    <s v="  0702 025002145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5956.9"/>
    <n v="21174.7988"/>
    <n v="2147.6758"/>
    <n v="4782.1012000000001"/>
    <n v="82"/>
  </r>
  <r>
    <s v="10"/>
    <x v="1"/>
    <s v="  0702 025002146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60"/>
    <s v="Расходы на реализацию мероприятий проекта по вовлечению учащихся в развитие школьной инфраструктуры"/>
    <s v="612"/>
    <s v="Субсидии бюджетным учреждениям на иные цели"/>
    <s v="Администрация Кировского района Санкт-Петербурга"/>
    <s v="7805059546"/>
    <n v="2923.6"/>
    <n v="2539.3236000000002"/>
    <n v="580.79600000000005"/>
    <n v="384.27640000000002"/>
    <n v="87"/>
  </r>
  <r>
    <s v="10"/>
    <x v="1"/>
    <s v="  0702 025005303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104515.5"/>
    <n v="91036.77"/>
    <n v="9000"/>
    <n v="13478.73"/>
    <n v="87"/>
  </r>
  <r>
    <s v="10"/>
    <x v="1"/>
    <s v="  0702 035004065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261384"/>
    <n v="204822.774"/>
    <n v="35994.220300000001"/>
    <n v="56561.226000000002"/>
    <n v="78"/>
  </r>
  <r>
    <s v="10"/>
    <x v="1"/>
    <s v="  0702 03500R304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38374.70000000001"/>
    <n v="126863.08010000001"/>
    <n v="5128.2052000000003"/>
    <n v="11511.6199"/>
    <n v="92"/>
  </r>
  <r>
    <s v="10"/>
    <x v="1"/>
    <s v="  0703 0250020300 611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53526.6"/>
    <n v="218184.5454"/>
    <n v="24135.710500000001"/>
    <n v="35342.054600000003"/>
    <n v="86"/>
  </r>
  <r>
    <s v="10"/>
    <x v="1"/>
    <s v="  0703 0250021580 816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580"/>
    <s v="Расходы на реализацию системы персонифицированного учета детей, осваивающих дополнительные образовательные программы (за исключением дополнительных предпрофессиональных программ в области искусств)"/>
    <s v="816"/>
    <s v="Субсидии в целях финансового обеспечения (возмещения)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0"/>
    <n v="0"/>
    <n v="0"/>
    <n v="100"/>
    <n v="0"/>
  </r>
  <r>
    <s v="10"/>
    <x v="1"/>
    <s v="  0705 0250020620 612"/>
    <s v="0705"/>
    <s v="Образование"/>
    <s v="05"/>
    <s v="Профессиональная подготовка, переподготовка и повышение квалификации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20"/>
    <s v="Расходы на обеспечение непрерывного и планомерного повышения квалификации руководящих и педагогических работников"/>
    <s v="612"/>
    <s v="Субсидии бюджетным учреждениям на иные цели"/>
    <s v="Администрация Кировского района Санкт-Петербурга"/>
    <s v="7805059546"/>
    <n v="1003.3"/>
    <n v="650.21029999999996"/>
    <n v="47.678199999999997"/>
    <n v="353.08969999999999"/>
    <n v="65"/>
  </r>
  <r>
    <s v="10"/>
    <x v="1"/>
    <s v="  0707 1750078010 611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24582.9"/>
    <n v="154614.70110000001"/>
    <n v="22176.67"/>
    <n v="69968.198900000003"/>
    <n v="69"/>
  </r>
  <r>
    <s v="10"/>
    <x v="1"/>
    <s v="  0707 17500785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11946.1"/>
    <n v="0"/>
    <n v="0"/>
    <n v="11946.1"/>
    <n v="0"/>
  </r>
  <r>
    <s v="10"/>
    <x v="1"/>
    <s v="  0707 175007945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648.3"/>
    <n v="0"/>
    <n v="0"/>
    <n v="1648.3"/>
    <n v="0"/>
  </r>
  <r>
    <s v="10"/>
    <x v="1"/>
    <s v="  0707 17500794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10032.799999999999"/>
    <n v="6998.9593000000004"/>
    <n v="1934.9005999999999"/>
    <n v="3033.8407000000002"/>
    <n v="70"/>
  </r>
  <r>
    <s v="10"/>
    <x v="1"/>
    <s v="  0709 021E45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5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3914.4"/>
    <n v="13914.3143"/>
    <n v="0"/>
    <n v="8.5699999999999998E-2"/>
    <n v="100"/>
  </r>
  <r>
    <s v="10"/>
    <x v="1"/>
    <s v="  0709 021E4Д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Д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9077.8"/>
    <n v="16810.084500000001"/>
    <n v="123.0017"/>
    <n v="2267.7154999999998"/>
    <n v="88"/>
  </r>
  <r>
    <s v="10"/>
    <x v="1"/>
    <s v="  0709 025002010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642.6"/>
    <n v="1642.6"/>
    <n v="0"/>
    <n v="0"/>
    <n v="100"/>
  </r>
  <r>
    <s v="10"/>
    <x v="1"/>
    <s v="  0709 0250020370 244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2351.4"/>
    <n v="84443.039000000004"/>
    <n v="0"/>
    <n v="7908.3609999999999"/>
    <n v="91"/>
  </r>
  <r>
    <s v="10"/>
    <x v="1"/>
    <s v="  0709 025002037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4681.8"/>
    <n v="13662.830099999999"/>
    <n v="6"/>
    <n v="1018.9699000000001"/>
    <n v="93"/>
  </r>
  <r>
    <s v="10"/>
    <x v="1"/>
    <s v="  0709 025002043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3320.4"/>
    <n v="33555.621200000001"/>
    <n v="2669.3616000000002"/>
    <n v="9764.7788"/>
    <n v="77"/>
  </r>
  <r>
    <s v="10"/>
    <x v="1"/>
    <s v="  0709 025002044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9928.7"/>
    <n v="47678.896000000001"/>
    <n v="4223.0888999999997"/>
    <n v="12249.804"/>
    <n v="80"/>
  </r>
  <r>
    <s v="10"/>
    <x v="1"/>
    <s v="  0709 02500205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590"/>
    <s v="Субсидии на организацию проведения культурно-познавательной программы для обучающихся 9-х и 10-х классов государственных общеобразовательных организаций «Театральный урок в Мариинском театре»"/>
    <s v="612"/>
    <s v="Субсидии бюджетным учреждениям на иные цели"/>
    <s v="Администрация Кировского района Санкт-Петербурга"/>
    <s v="7805059546"/>
    <n v="7027.2"/>
    <n v="7027.2"/>
    <n v="0"/>
    <n v="0"/>
    <n v="100"/>
  </r>
  <r>
    <s v="10"/>
    <x v="1"/>
    <s v="  0709 02500210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090"/>
    <s v="Расходы на подготовку и проведение государственной итоговой аттестации по образовательным программам основного общего и среднего обще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9787.3"/>
    <n v="16256.127200000001"/>
    <n v="1812.1079"/>
    <n v="3531.1727999999998"/>
    <n v="82"/>
  </r>
  <r>
    <s v="10"/>
    <x v="1"/>
    <s v="  0709 02500211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190"/>
    <s v="Расходы на ремонт и оснащение спортивных сооружений (стадионов) государственных 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4012.1"/>
    <n v="25788.179599999999"/>
    <n v="0"/>
    <n v="18223.920399999999"/>
    <n v="59"/>
  </r>
  <r>
    <s v="10"/>
    <x v="1"/>
    <s v="  0709 02500R050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R0500"/>
    <s v="Расходы на ежемесячное денежное вознаграждение советникам директоров по воспитанию и взаимодействию с детскими общественными объединениями государственных общеобразовательных организаций, профессиональных образовательных организац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142.5"/>
    <n v="571.20000000000005"/>
    <n v="285.60000000000002"/>
    <n v="571.29999999999995"/>
    <n v="50"/>
  </r>
  <r>
    <s v="10"/>
    <x v="1"/>
    <s v="  0709 1750078650 612"/>
    <s v="0709"/>
    <s v="Образование"/>
    <s v="09"/>
    <s v="Другие вопросы в области образования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433.2"/>
    <n v="141"/>
    <n v="66.8"/>
    <n v="87"/>
  </r>
  <r>
    <s v="10"/>
    <x v="1"/>
    <s v="  0801 085007008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80"/>
    <s v="Субсидии бюджетным 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32056"/>
    <n v="200379.7543"/>
    <n v="17664.594300000001"/>
    <n v="31676.245699999999"/>
    <n v="86"/>
  </r>
  <r>
    <s v="10"/>
    <x v="1"/>
    <s v="  0801 085007009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90"/>
    <s v="Субсидии бюджетным 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6322.7"/>
    <n v="70222.685800000007"/>
    <n v="9523.8084999999992"/>
    <n v="16100.0142"/>
    <n v="81"/>
  </r>
  <r>
    <s v="10"/>
    <x v="1"/>
    <s v="  0801 08500701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170"/>
    <s v="Субсидии бюджетным 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92328.9"/>
    <n v="142748.03630000001"/>
    <n v="16983.172399999999"/>
    <n v="49580.863700000002"/>
    <n v="74"/>
  </r>
  <r>
    <s v="10"/>
    <x v="1"/>
    <s v="  0801 08500702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270"/>
    <s v="Субсидии бюджетным 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3563"/>
    <n v="58605.0101"/>
    <n v="5201.6108999999997"/>
    <n v="14957.9899"/>
    <n v="80"/>
  </r>
  <r>
    <s v="10"/>
    <x v="1"/>
    <s v="  0801 0850070470 244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7870.9"/>
    <n v="3914.6163999999999"/>
    <n v="637.89620000000002"/>
    <n v="3956.2836000000002"/>
    <n v="50"/>
  </r>
  <r>
    <s v="10"/>
    <x v="1"/>
    <s v="  0801 085007047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612"/>
    <s v="Субсидии бюджетным учреждениям на иные цели"/>
    <s v="Администрация Кировского района Санкт-Петербурга"/>
    <s v="7805059546"/>
    <n v="3639.8"/>
    <n v="3582.7080999999998"/>
    <n v="169.41"/>
    <n v="57.091900000000003"/>
    <n v="98"/>
  </r>
  <r>
    <s v="10"/>
    <x v="1"/>
    <s v="  0801 085007096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40101.9"/>
    <n v="38126.196000000004"/>
    <n v="1604.6948"/>
    <n v="1975.704"/>
    <n v="95"/>
  </r>
  <r>
    <s v="10"/>
    <x v="1"/>
    <s v="  0801 085007161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712.6"/>
    <n v="712.53840000000002"/>
    <n v="0"/>
    <n v="6.1600000000000002E-2"/>
    <n v="100"/>
  </r>
  <r>
    <s v="10"/>
    <x v="1"/>
    <s v="  0801 085007164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40"/>
    <s v="Расходы на мероприятия по модернизации общедоступных библиотек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0745.7"/>
    <n v="24834.273399999998"/>
    <n v="3383"/>
    <n v="5911.4265999999998"/>
    <n v="81"/>
  </r>
  <r>
    <s v="10"/>
    <x v="1"/>
    <s v="  0804 0850071320 612"/>
    <s v="0804"/>
    <s v="Культура, кинематография"/>
    <s v="04"/>
    <s v="Другие вопросы в области культуры, кинематографии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2448.4"/>
    <n v="3061.3195999999998"/>
    <n v="0"/>
    <n v="9387.0804000000007"/>
    <n v="25"/>
  </r>
  <r>
    <s v="10"/>
    <x v="1"/>
    <s v="  0902 0150010080 611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07335"/>
    <n v="421695.82089999999"/>
    <n v="42029.3053"/>
    <n v="185639.17910000001"/>
    <n v="69"/>
  </r>
  <r>
    <s v="10"/>
    <x v="1"/>
    <s v="  0902 0150010080 614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54.6000000000004"/>
    <n v="3096.4245999999998"/>
    <n v="224.9581"/>
    <n v="2058.1754000000001"/>
    <n v="60"/>
  </r>
  <r>
    <s v="10"/>
    <x v="1"/>
    <s v="  0909 011N953652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N9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79182.8"/>
    <n v="68986.297200000001"/>
    <n v="419.70479999999998"/>
    <n v="10196.5028"/>
    <n v="87"/>
  </r>
  <r>
    <s v="10"/>
    <x v="1"/>
    <s v="  0909 011P3546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P3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50.1"/>
    <n v="50.1"/>
    <n v="0"/>
    <n v="0"/>
    <n v="100"/>
  </r>
  <r>
    <s v="10"/>
    <x v="1"/>
    <s v="  0909 01500100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20"/>
    <s v="Расходы на профилактику инфекционных заболеваний, включая иммунопрофилактику"/>
    <s v="612"/>
    <s v="Субсидии бюджетным учреждениям на иные цели"/>
    <s v="Администрация Кировского района Санкт-Петербурга"/>
    <s v="7805059546"/>
    <n v="48923.9"/>
    <n v="26079.830699999999"/>
    <n v="6244.1498000000001"/>
    <n v="22844.069299999999"/>
    <n v="53"/>
  </r>
  <r>
    <s v="10"/>
    <x v="1"/>
    <s v="  0909 0150010100 244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46.1"/>
    <n v="36.159500000000001"/>
    <n v="0"/>
    <n v="9.9405000000000001"/>
    <n v="78"/>
  </r>
  <r>
    <s v="10"/>
    <x v="1"/>
    <s v="  0909 01500105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09042.9"/>
    <n v="14216.929400000001"/>
    <n v="14216.929400000001"/>
    <n v="94825.970600000001"/>
    <n v="13"/>
  </r>
  <r>
    <s v="10"/>
    <x v="1"/>
    <s v="  0909 015001057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70"/>
    <s v="Расходы на приобретение оборудования дл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4237.2"/>
    <n v="13660"/>
    <n v="0"/>
    <n v="577.20000000000005"/>
    <n v="96"/>
  </r>
  <r>
    <s v="10"/>
    <x v="1"/>
    <s v="  0909 015001065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650"/>
    <s v="Расходы на приобретение немонтируемого оборудования и инвентаря для оснащения вводных объектов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00"/>
    <n v="0"/>
    <n v="0"/>
    <n v="100"/>
    <n v="0"/>
  </r>
  <r>
    <s v="10"/>
    <x v="1"/>
    <s v="  0909 015001083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30"/>
    <s v="Расходы на капитальный ремонт и замену лифтового оборудовани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8607.7000000000007"/>
    <n v="0"/>
    <n v="0"/>
    <n v="8607.7000000000007"/>
    <n v="0"/>
  </r>
  <r>
    <s v="10"/>
    <x v="1"/>
    <s v="  0909 01500108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80"/>
    <s v="Субсидии государственным учреждениям здравоохранения на оказание экстренной медицинской помощи иностранным гражданам и гражданам не идентифицированным и не застрахованным в системе ОМС при заболеваниях, включенных в базовую программу ОМС"/>
    <s v="612"/>
    <s v="Субсидии бюджетным учреждениям на иные цели"/>
    <s v="Администрация Кировского района Санкт-Петербурга"/>
    <s v="7805059546"/>
    <n v="2903.1"/>
    <n v="1876.5787"/>
    <n v="128.4"/>
    <n v="1026.5213000000001"/>
    <n v="65"/>
  </r>
  <r>
    <s v="10"/>
    <x v="1"/>
    <s v="  0909 015001100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43694.2"/>
    <n v="26773.2235"/>
    <n v="3180.0382"/>
    <n v="16920.976500000001"/>
    <n v="61"/>
  </r>
  <r>
    <s v="10"/>
    <x v="1"/>
    <s v="  0909 015001101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10"/>
    <s v="Субсидии государственным учреждениям здравоохранения Санкт-Петербурга в целях поддержания высокого уровня оказания медицинской помощи и усиления кадрового потенциала в государственных учреждениях здравоохранения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94092.1"/>
    <n v="194088.435"/>
    <n v="1059.865"/>
    <n v="3.665"/>
    <n v="100"/>
  </r>
  <r>
    <s v="10"/>
    <x v="1"/>
    <s v="  1002 035004046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1890.3"/>
    <n v="152075.34179999999"/>
    <n v="14732.84"/>
    <n v="29814.958200000001"/>
    <n v="84"/>
  </r>
  <r>
    <s v="10"/>
    <x v="1"/>
    <s v="  1002 035004046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8356.2"/>
    <n v="13997.918600000001"/>
    <n v="1155.5727999999999"/>
    <n v="4358.2813999999998"/>
    <n v="76"/>
  </r>
  <r>
    <s v="10"/>
    <x v="1"/>
    <s v="  1002 035004048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9296.5"/>
    <n v="96294.702900000004"/>
    <n v="8794.8997999999992"/>
    <n v="13001.7971"/>
    <n v="88"/>
  </r>
  <r>
    <s v="10"/>
    <x v="1"/>
    <s v="  1002 0350040530 612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10386"/>
    <n v="0"/>
    <n v="0"/>
    <n v="10386"/>
    <n v="0"/>
  </r>
  <r>
    <s v="10"/>
    <x v="1"/>
    <s v="  1002 035004063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9809.2000000000007"/>
    <n v="9809.2000000000007"/>
    <n v="0"/>
    <n v="0"/>
    <n v="100"/>
  </r>
  <r>
    <s v="10"/>
    <x v="1"/>
    <s v="  1002 035004063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446513.8"/>
    <n v="373759.99209999997"/>
    <n v="36956.951999999997"/>
    <n v="72753.8079"/>
    <n v="84"/>
  </r>
  <r>
    <s v="10"/>
    <x v="1"/>
    <s v="  1002 035004064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058.7"/>
    <n v="42108.114099999999"/>
    <n v="4068.3038999999999"/>
    <n v="8950.5859"/>
    <n v="82"/>
  </r>
  <r>
    <s v="10"/>
    <x v="1"/>
    <s v="  1003 0350040240 612"/>
    <s v="1003"/>
    <s v="Социальная политика"/>
    <s v="03"/>
    <s v="Социальное обеспече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8948.800000000003"/>
    <n v="44550.012000000002"/>
    <n v="1183.4804999999999"/>
    <n v="4398.7879999999996"/>
    <n v="91"/>
  </r>
  <r>
    <s v="10"/>
    <x v="1"/>
    <s v="  1004 0350040990 611"/>
    <s v="1004"/>
    <s v="Социальная политика"/>
    <s v="04"/>
    <s v="Охрана семьи и детства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990"/>
    <s v="Расходы на выплату компенсации части родительской платы за содержание ребенка в государственных или муниципальных образовательных учреждениях, реализующих общеобразовательную программу дошкольного образов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359.3"/>
    <n v="17258.947499999998"/>
    <n v="892.39970000000005"/>
    <n v="15100.352500000001"/>
    <n v="53"/>
  </r>
  <r>
    <s v="10"/>
    <x v="1"/>
    <s v="  1004 0950083620 323"/>
    <s v="1004"/>
    <s v="Социальная политика"/>
    <s v="04"/>
    <s v="Охрана семьи и дет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620"/>
    <s v="Расходы на предоставление дополнительной меры социальной поддержки по оборудованию предметами первой необходимости жилых помещений специализированного жилищного фонда, предоставляемых детям-сиротам и детям, оставшимся без попечения родителей, лицам из их"/>
    <s v="323"/>
    <s v="Приобретение товаров, работ, услуг в пользу граждан в целях их социального обеспечения"/>
    <s v="Администрация Кировского района Санкт-Петербурга"/>
    <s v="7805059546"/>
    <n v="1552.3"/>
    <n v="0"/>
    <n v="0"/>
    <n v="1552.3"/>
    <n v="0"/>
  </r>
  <r>
    <s v="10"/>
    <x v="1"/>
    <s v="  1101 041P545060 612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60"/>
    <s v="Расходы на проектирование, ремонт и оснащение оборудованием внутридворовых спортивных площадок для занятий физической культурой и спортом населения"/>
    <s v="612"/>
    <s v="Субсидии бюджетным учреждениям на иные цели"/>
    <s v="Администрация Кировского района Санкт-Петербурга"/>
    <s v="7805059546"/>
    <n v="9879.5"/>
    <n v="9208.0640999999996"/>
    <n v="0"/>
    <n v="671.43589999999995"/>
    <n v="93"/>
  </r>
  <r>
    <s v="10"/>
    <x v="1"/>
    <s v="  1101 0450045020 611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125.7"/>
    <n v="140473.7439"/>
    <n v="13425.3223"/>
    <n v="42651.956100000003"/>
    <n v="77"/>
  </r>
  <r>
    <s v="10"/>
    <x v="1"/>
    <s v="  1102 041P545010 612"/>
    <s v="1102"/>
    <s v="Физическая культура и спорт"/>
    <s v="02"/>
    <s v="Массовый спорт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545.6"/>
    <n v="2598.5048999999999"/>
    <n v="686.31389999999999"/>
    <n v="947.0951"/>
    <n v="73"/>
  </r>
  <r>
    <s v="10"/>
    <x v="1"/>
    <s v="  1103 0450045090 611"/>
    <s v="1103"/>
    <s v="Физическая культура и спорт"/>
    <s v="03"/>
    <s v="Спорт высших достижений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4843.3"/>
    <n v="273338.96120000002"/>
    <n v="18134.809300000001"/>
    <n v="51504.338799999998"/>
    <n v="84"/>
  </r>
  <r>
    <s v="11"/>
    <x v="2"/>
    <s v="  0103 9950000060 244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310.89999999999998"/>
    <n v="73.981300000000005"/>
    <n v="15.8505"/>
    <n v="236.9187"/>
    <n v="24"/>
  </r>
  <r>
    <s v="11"/>
    <x v="2"/>
    <s v="  0103 9950000060 247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8.3000000000000007"/>
    <n v="1.7666999999999999"/>
    <n v="0.84399999999999997"/>
    <n v="6.5332999999999997"/>
    <n v="21"/>
  </r>
  <r>
    <s v="11"/>
    <x v="2"/>
    <s v="  0113 0650090100 530"/>
    <s v="0113"/>
    <s v="Общегосударственные вопросы"/>
    <s v="13"/>
    <s v="Другие общегосударственные вопросы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4.400000000000006"/>
    <n v="0"/>
    <n v="0"/>
    <n v="64.400000000000006"/>
    <n v="0"/>
  </r>
  <r>
    <s v="11"/>
    <x v="2"/>
    <s v="  0113 1650099220 244"/>
    <s v="0113"/>
    <s v="Общегосударственные вопросы"/>
    <s v="13"/>
    <s v="Другие общегосударственные вопросы"/>
    <s v="16"/>
    <s v="Экономическое и социальное развитие территорий Санкт-Петербурга"/>
    <s v="165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208.2"/>
    <n v="121.99"/>
    <n v="26.8"/>
    <n v="86.21"/>
    <n v="59"/>
  </r>
  <r>
    <s v="11"/>
    <x v="2"/>
    <s v="  0113 1750098720 244"/>
    <s v="0113"/>
    <s v="Общегосударственные вопросы"/>
    <s v="13"/>
    <s v="Другие общегосударственные вопросы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67.9"/>
    <n v="267.5752"/>
    <n v="0"/>
    <n v="300.32479999999998"/>
    <n v="47"/>
  </r>
  <r>
    <s v="11"/>
    <x v="2"/>
    <s v="  0113 9950000090 1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246128.1"/>
    <n v="216607.9909"/>
    <n v="14958.4717"/>
    <n v="29520.109100000001"/>
    <n v="88"/>
  </r>
  <r>
    <s v="11"/>
    <x v="2"/>
    <s v="  0113 9950000090 12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60.9"/>
    <n v="85.626000000000005"/>
    <n v="2"/>
    <n v="75.274000000000001"/>
    <n v="53"/>
  </r>
  <r>
    <s v="11"/>
    <x v="2"/>
    <s v="  0113 9950000090 12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73726.399999999994"/>
    <n v="66802.28"/>
    <n v="5024.8725000000004"/>
    <n v="6924.12"/>
    <n v="91"/>
  </r>
  <r>
    <s v="11"/>
    <x v="2"/>
    <s v="  0113 9950000090 24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162.96850000000001"/>
    <n v="10.9398"/>
    <n v="137.03149999999999"/>
    <n v="54"/>
  </r>
  <r>
    <s v="11"/>
    <x v="2"/>
    <s v="  0113 995000009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97780.2"/>
    <n v="68152.184800000003"/>
    <n v="20245.214599999999"/>
    <n v="29628.015200000002"/>
    <n v="70"/>
  </r>
  <r>
    <s v="11"/>
    <x v="2"/>
    <s v="  0113 9950000090 247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160.9"/>
    <n v="13078.345600000001"/>
    <n v="1414.7163"/>
    <n v="3082.5544"/>
    <n v="81"/>
  </r>
  <r>
    <s v="11"/>
    <x v="2"/>
    <s v="  0113 9950000090 83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503.1"/>
    <n v="502.91250000000002"/>
    <n v="0"/>
    <n v="0.1875"/>
    <n v="100"/>
  </r>
  <r>
    <s v="11"/>
    <x v="2"/>
    <s v="  0113 9950000090 853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853"/>
    <s v="Уплата иных платежей"/>
    <s v="Администрация Кировского района Санкт-Петербурга"/>
    <s v="7805059546"/>
    <n v="179.8"/>
    <n v="179.71199999999999"/>
    <n v="0"/>
    <n v="8.7999999999999995E-2"/>
    <n v="100"/>
  </r>
  <r>
    <s v="11"/>
    <x v="2"/>
    <s v="  0113 9950000320 1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181743.4"/>
    <n v="163575.34909999999"/>
    <n v="14828.4606"/>
    <n v="18168.050899999998"/>
    <n v="90"/>
  </r>
  <r>
    <s v="11"/>
    <x v="2"/>
    <s v="  0113 9950000320 11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54698.400000000001"/>
    <n v="47095.983"/>
    <n v="6263.6418000000003"/>
    <n v="7602.4170000000004"/>
    <n v="86"/>
  </r>
  <r>
    <s v="11"/>
    <x v="2"/>
    <s v="  0113 995000032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2625.5"/>
    <n v="2523.0461"/>
    <n v="54.397599999999997"/>
    <n v="102.4539"/>
    <n v="96"/>
  </r>
  <r>
    <s v="11"/>
    <x v="2"/>
    <s v="  0113 9950000320 3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321"/>
    <s v="Пособия, компенсации и иные социальные выплаты_x000a_гражданам, кроме публичных нормативных обязательств"/>
    <s v="Администрация Кировского района Санкт-Петербурга"/>
    <s v="7805059546"/>
    <n v="2"/>
    <n v="1.9904999999999999"/>
    <n v="0"/>
    <n v="9.4999999999999998E-3"/>
    <n v="100"/>
  </r>
  <r>
    <s v="11"/>
    <x v="2"/>
    <s v="  0113 9950000320 85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3.2248999999999999"/>
    <n v="0"/>
    <n v="0.47510000000000002"/>
    <n v="87"/>
  </r>
  <r>
    <s v="11"/>
    <x v="2"/>
    <s v="  0113 9950000530 6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0925.600000000006"/>
    <n v="62394.727800000001"/>
    <n v="5873.7999"/>
    <n v="8530.8721999999998"/>
    <n v="88"/>
  </r>
  <r>
    <s v="11"/>
    <x v="2"/>
    <s v="  0113 995000148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3849"/>
    <n v="3378.3231999999998"/>
    <n v="340.01920000000001"/>
    <n v="470.67680000000001"/>
    <n v="88"/>
  </r>
  <r>
    <s v="11"/>
    <x v="2"/>
    <s v="  0309 0650090880 244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4082.8"/>
    <n v="3981.6010999999999"/>
    <n v="403.16539999999998"/>
    <n v="101.19889999999999"/>
    <n v="98"/>
  </r>
  <r>
    <s v="11"/>
    <x v="2"/>
    <s v="  0309 0650090880 247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8518.1"/>
    <n v="2968.8155999999999"/>
    <n v="2455.7350999999999"/>
    <n v="5549.2843999999996"/>
    <n v="35"/>
  </r>
  <r>
    <s v="11"/>
    <x v="2"/>
    <s v="  0309 0650090880 851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7750.5"/>
    <n v="6342.0691999999999"/>
    <n v="0"/>
    <n v="1408.4308000000001"/>
    <n v="82"/>
  </r>
  <r>
    <s v="11"/>
    <x v="2"/>
    <s v="  0309 0650090880 853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3"/>
    <s v="Уплата иных платежей"/>
    <s v="Администрация Кировского района Санкт-Петербурга"/>
    <s v="7805059546"/>
    <n v="2554.3000000000002"/>
    <n v="2311.2420000000002"/>
    <n v="242.97130000000001"/>
    <n v="243.05799999999999"/>
    <n v="90"/>
  </r>
  <r>
    <s v="11"/>
    <x v="2"/>
    <s v="  0314 0650090690 244"/>
    <s v="0314"/>
    <s v="Национальная безопасность и правоохранительная деятельность"/>
    <s v="14"/>
    <s v="Другие вопросы в области национальной безопасности и правоохранительной деятельности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2.1"/>
    <n v="20.0015"/>
    <n v="8.8849999999999998"/>
    <n v="2.0985"/>
    <n v="91"/>
  </r>
  <r>
    <s v="11"/>
    <x v="2"/>
    <s v="  0410 0650090810 612"/>
    <s v="0410"/>
    <s v="Национальная экономика"/>
    <s v="10"/>
    <s v="Связь и информатик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612"/>
    <s v="Субсидии бюджетным учреждениям на иные цели"/>
    <s v="Администрация Кировского района Санкт-Петербурга"/>
    <s v="7805059546"/>
    <n v="33219"/>
    <n v="10460.9719"/>
    <n v="2494.9778999999999"/>
    <n v="22758.0281"/>
    <n v="31"/>
  </r>
  <r>
    <s v="11"/>
    <x v="2"/>
    <s v="  0410 9950096170 242"/>
    <s v="0410"/>
    <s v="Национальная экономика"/>
    <s v="10"/>
    <s v="Связь и информатика"/>
    <s v="99"/>
    <s v="Непрограммные расходы"/>
    <s v="995"/>
    <s v="5"/>
    <s v="Процессная часть перечня мероприятий государственной программы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13074.3"/>
    <n v="4543.5807000000004"/>
    <n v="823.72680000000003"/>
    <n v="8530.7193000000007"/>
    <n v="35"/>
  </r>
  <r>
    <s v="11"/>
    <x v="2"/>
    <s v="  0501 09500833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022"/>
    <n v="5021.99"/>
    <n v="0"/>
    <n v="0.01"/>
    <n v="100"/>
  </r>
  <r>
    <s v="11"/>
    <x v="2"/>
    <s v="  0501 095008347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58390"/>
    <n v="23332.478299999999"/>
    <n v="6280.3712999999998"/>
    <n v="35057.521699999998"/>
    <n v="40"/>
  </r>
  <r>
    <s v="11"/>
    <x v="2"/>
    <s v="  0501 09500834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3467.9"/>
    <n v="3041.4216000000001"/>
    <n v="2447.7494999999999"/>
    <n v="426.47840000000002"/>
    <n v="88"/>
  </r>
  <r>
    <s v="11"/>
    <x v="2"/>
    <s v="  0501 095008348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100977.1"/>
    <n v="81231.572700000004"/>
    <n v="3079.3357000000001"/>
    <n v="19745.527300000002"/>
    <n v="80"/>
  </r>
  <r>
    <s v="11"/>
    <x v="2"/>
    <s v="  0501 095008349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15874"/>
    <n v="12469.450199999999"/>
    <n v="1714.6005"/>
    <n v="3404.5497999999998"/>
    <n v="79"/>
  </r>
  <r>
    <s v="11"/>
    <x v="2"/>
    <s v="  0501 0950083490 247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8415.9"/>
    <n v="5341.9465"/>
    <n v="1192.9956999999999"/>
    <n v="3073.9535000000001"/>
    <n v="63"/>
  </r>
  <r>
    <s v="11"/>
    <x v="2"/>
    <s v="  0501 095008349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785.7"/>
    <n v="4244.6108000000004"/>
    <n v="407.08710000000002"/>
    <n v="541.08920000000001"/>
    <n v="89"/>
  </r>
  <r>
    <s v="11"/>
    <x v="2"/>
    <s v="  0503 105008791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244"/>
    <s v="Прочая закупка товаров, работ и услуг"/>
    <s v="Администрация Кировского района Санкт-Петербурга"/>
    <s v="7805059546"/>
    <n v="3229.3"/>
    <n v="340"/>
    <n v="0"/>
    <n v="2889.3"/>
    <n v="11"/>
  </r>
  <r>
    <s v="11"/>
    <x v="2"/>
    <s v="  0503 105008791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853"/>
    <s v="Уплата иных платежей"/>
    <s v="Администрация Кировского района Санкт-Петербурга"/>
    <s v="7805059546"/>
    <n v="250.7"/>
    <n v="250.65"/>
    <n v="0"/>
    <n v="0.05"/>
    <n v="100"/>
  </r>
  <r>
    <s v="11"/>
    <x v="2"/>
    <s v="  0503 105008793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52212.9"/>
    <n v="20355.785400000001"/>
    <n v="11023.5074"/>
    <n v="31857.114600000001"/>
    <n v="39"/>
  </r>
  <r>
    <s v="11"/>
    <x v="2"/>
    <s v="  0503 105008793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853"/>
    <s v="Уплата иных платежей"/>
    <s v="Администрация Кировского района Санкт-Петербурга"/>
    <s v="7805059546"/>
    <n v="406.8"/>
    <n v="406.8"/>
    <n v="0"/>
    <n v="0"/>
    <n v="100"/>
  </r>
  <r>
    <s v="11"/>
    <x v="2"/>
    <s v="  0503 105008827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244"/>
    <s v="Прочая закупка товаров, работ и услуг"/>
    <s v="Администрация Кировского района Санкт-Петербурга"/>
    <s v="7805059546"/>
    <n v="149818.5"/>
    <n v="115014.7699"/>
    <n v="42102.715900000003"/>
    <n v="34803.730100000001"/>
    <n v="77"/>
  </r>
  <r>
    <s v="11"/>
    <x v="2"/>
    <s v="  0503 105008827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853"/>
    <s v="Уплата иных платежей"/>
    <s v="Администрация Кировского района Санкт-Петербурга"/>
    <s v="7805059546"/>
    <n v="2086.8000000000002"/>
    <n v="2086.8000000000002"/>
    <n v="0"/>
    <n v="0"/>
    <n v="100"/>
  </r>
  <r>
    <s v="11"/>
    <x v="2"/>
    <s v="  0505 0950083140 11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444482.6"/>
    <n v="392699.72989999998"/>
    <n v="35757.019999999997"/>
    <n v="51782.8701"/>
    <n v="88"/>
  </r>
  <r>
    <s v="11"/>
    <x v="2"/>
    <s v="  0505 0950083140 119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33447.4"/>
    <n v="118848.3437"/>
    <n v="9705.1329000000005"/>
    <n v="14599.0563"/>
    <n v="89"/>
  </r>
  <r>
    <s v="11"/>
    <x v="2"/>
    <s v="  0505 095008314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39333.1"/>
    <n v="89428.888000000006"/>
    <n v="24472.9974"/>
    <n v="49904.212"/>
    <n v="64"/>
  </r>
  <r>
    <s v="11"/>
    <x v="2"/>
    <s v="  0505 0950083140 247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4461.7"/>
    <n v="2803.2037"/>
    <n v="402.56619999999998"/>
    <n v="1658.4963"/>
    <n v="63"/>
  </r>
  <r>
    <s v="11"/>
    <x v="2"/>
    <s v="  0505 0950083140 83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287.89999999999998"/>
    <n v="283.87540000000001"/>
    <n v="3.0026000000000002"/>
    <n v="4.0246000000000004"/>
    <n v="99"/>
  </r>
  <r>
    <s v="11"/>
    <x v="2"/>
    <s v="  0505 0950083140 85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83.2"/>
    <n v="137.387"/>
    <n v="0"/>
    <n v="45.813000000000002"/>
    <n v="75"/>
  </r>
  <r>
    <s v="11"/>
    <x v="2"/>
    <s v="  0505 0950083140 852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675.8"/>
    <n v="639.55769999999995"/>
    <n v="102"/>
    <n v="36.2423"/>
    <n v="95"/>
  </r>
  <r>
    <s v="11"/>
    <x v="2"/>
    <s v="  0505 0950083140 853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3"/>
    <s v="Уплата иных платежей"/>
    <s v="Администрация Кировского района Санкт-Петербурга"/>
    <s v="7805059546"/>
    <n v="185"/>
    <n v="185"/>
    <n v="0"/>
    <n v="0"/>
    <n v="100"/>
  </r>
  <r>
    <s v="11"/>
    <x v="2"/>
    <s v="  0505 095008345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50"/>
    <s v="Расходы на проведение мероприятий по созданию условий доступности для инвалидов и иных маломобильных групп населения"/>
    <s v="244"/>
    <s v="Прочая закупка товаров, работ и услуг"/>
    <s v="Администрация Кировского района Санкт-Петербурга"/>
    <s v="7805059546"/>
    <n v="2879.1"/>
    <n v="2570.8843999999999"/>
    <n v="0"/>
    <n v="308.21559999999999"/>
    <n v="89"/>
  </r>
  <r>
    <s v="11"/>
    <x v="2"/>
    <s v="  0701 0250020010 611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991267.4000000004"/>
    <n v="4377486.2565000001"/>
    <n v="485956.38569999998"/>
    <n v="613781.14350000001"/>
    <n v="88"/>
  </r>
  <r>
    <s v="11"/>
    <x v="2"/>
    <s v="  0701 025002094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9473.1"/>
    <n v="8176.0011999999997"/>
    <n v="0"/>
    <n v="21297.0988"/>
    <n v="28"/>
  </r>
  <r>
    <s v="11"/>
    <x v="2"/>
    <s v="  0701 025002145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2937.4"/>
    <n v="31841.935000000001"/>
    <n v="704.23310000000004"/>
    <n v="1095.4649999999999"/>
    <n v="97"/>
  </r>
  <r>
    <s v="11"/>
    <x v="2"/>
    <s v="  0702 021EВ5179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21148"/>
    <n v="19385.301800000001"/>
    <n v="1762.2418"/>
    <n v="1762.6982"/>
    <n v="92"/>
  </r>
  <r>
    <s v="11"/>
    <x v="2"/>
    <s v="  0702 021EВ5786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7860"/>
    <s v="Расходы на обеспечение оснащения государственных общеобразовательных организаций, в том числе структурных подразделений указанных организаций, государственными символами Российской Федерации"/>
    <s v="612"/>
    <s v="Субсидии бюджетным учреждениям на иные цели"/>
    <s v="Администрация Кировского района Санкт-Петербурга"/>
    <s v="7805059546"/>
    <n v="1977.2"/>
    <n v="1975.2195999999999"/>
    <n v="0"/>
    <n v="1.9803999999999999"/>
    <n v="100"/>
  </r>
  <r>
    <s v="11"/>
    <x v="2"/>
    <s v="  0702 025002003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862478.5"/>
    <n v="4286814.5844999999"/>
    <n v="419842.67869999999"/>
    <n v="575663.9155"/>
    <n v="88"/>
  </r>
  <r>
    <s v="11"/>
    <x v="2"/>
    <s v="  0702 025002006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68924.79999999999"/>
    <n v="134420.11139999999"/>
    <n v="15936.559499999999"/>
    <n v="34504.688600000001"/>
    <n v="80"/>
  </r>
  <r>
    <s v="11"/>
    <x v="2"/>
    <s v="  0702 025002007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2110.3"/>
    <n v="71005.143700000001"/>
    <n v="6600.5156999999999"/>
    <n v="11105.156300000001"/>
    <n v="86"/>
  </r>
  <r>
    <s v="11"/>
    <x v="2"/>
    <s v="  0702 0250020080 633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80"/>
    <s v="Субсидии частным образовательным организациям для реализации основных общеобразовательных программ"/>
    <s v="633"/>
    <s v="Субсидии (гранты в форме субсидий), не подлежащие казначейскому сопровождению"/>
    <s v="Администрация Кировского района Санкт-Петербурга"/>
    <s v="7805059546"/>
    <n v="1102.9000000000001"/>
    <n v="827.17499999999995"/>
    <n v="0"/>
    <n v="275.72500000000002"/>
    <n v="75"/>
  </r>
  <r>
    <s v="11"/>
    <x v="2"/>
    <s v="  0702 025002009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90"/>
    <s v="Расходы на обеспечение книгами и учебными изданиями для комплектования библиотек государственных обще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107676.4"/>
    <n v="107560.6026"/>
    <n v="2274.7125999999998"/>
    <n v="115.7974"/>
    <n v="100"/>
  </r>
  <r>
    <s v="11"/>
    <x v="2"/>
    <s v="  0702 025002011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10"/>
    <s v="Расходы на оснащение базовых общеобразовательных организаций современными средствами обучения и воспитания с целью повышения качества общего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20000"/>
    <n v="19938.434000000001"/>
    <n v="0"/>
    <n v="61.566000000000003"/>
    <n v="100"/>
  </r>
  <r>
    <s v="11"/>
    <x v="2"/>
    <s v="  0702 025002094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27820.2"/>
    <n v="37059.092799999999"/>
    <n v="8146.9237999999996"/>
    <n v="90761.107199999999"/>
    <n v="29"/>
  </r>
  <r>
    <s v="11"/>
    <x v="2"/>
    <s v="  0702 025002145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5956.9"/>
    <n v="23231.191200000001"/>
    <n v="2056.3924000000002"/>
    <n v="2725.7087999999999"/>
    <n v="89"/>
  </r>
  <r>
    <s v="11"/>
    <x v="2"/>
    <s v="  0702 025002146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60"/>
    <s v="Расходы на реализацию мероприятий проекта по вовлечению учащихся в развитие школьной инфраструктуры"/>
    <s v="612"/>
    <s v="Субсидии бюджетным учреждениям на иные цели"/>
    <s v="Администрация Кировского района Санкт-Петербурга"/>
    <s v="7805059546"/>
    <n v="2923.6"/>
    <n v="2729.7936"/>
    <n v="190.47"/>
    <n v="193.8064"/>
    <n v="93"/>
  </r>
  <r>
    <s v="11"/>
    <x v="2"/>
    <s v="  0702 025005303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104515.5"/>
    <n v="101057.09"/>
    <n v="10020.32"/>
    <n v="3458.41"/>
    <n v="97"/>
  </r>
  <r>
    <s v="11"/>
    <x v="2"/>
    <s v="  0702 035004065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261384"/>
    <n v="233674.66159999999"/>
    <n v="28851.887599999998"/>
    <n v="27709.338400000001"/>
    <n v="89"/>
  </r>
  <r>
    <s v="11"/>
    <x v="2"/>
    <s v="  0702 03500R304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38374.70000000001"/>
    <n v="135109.2726"/>
    <n v="8246.1924999999992"/>
    <n v="3265.4274"/>
    <n v="98"/>
  </r>
  <r>
    <s v="11"/>
    <x v="2"/>
    <s v="  0703 0250020300 611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53686.6"/>
    <n v="237740.87349999999"/>
    <n v="19556.328099999999"/>
    <n v="15945.726500000001"/>
    <n v="94"/>
  </r>
  <r>
    <s v="11"/>
    <x v="2"/>
    <s v="  0703 0250021580 816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580"/>
    <s v="Расходы на реализацию системы персонифицированного учета детей, осваивающих дополнительные образовательные программы (за исключением дополнительных предпрофессиональных программ в области искусств)"/>
    <s v="816"/>
    <s v="Субсидии в целях финансового обеспечения (возмещения)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0"/>
    <n v="0"/>
    <n v="0"/>
    <n v="100"/>
    <n v="0"/>
  </r>
  <r>
    <s v="11"/>
    <x v="2"/>
    <s v="  0705 0250020620 612"/>
    <s v="0705"/>
    <s v="Образование"/>
    <s v="05"/>
    <s v="Профессиональная подготовка, переподготовка и повышение квалификации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20"/>
    <s v="Расходы на обеспечение непрерывного и планомерного повышения квалификации руководящих и педагогических работников"/>
    <s v="612"/>
    <s v="Субсидии бюджетным учреждениям на иные цели"/>
    <s v="Администрация Кировского района Санкт-Петербурга"/>
    <s v="7805059546"/>
    <n v="1003.3"/>
    <n v="878.7672"/>
    <n v="228.55690000000001"/>
    <n v="124.53279999999999"/>
    <n v="88"/>
  </r>
  <r>
    <s v="11"/>
    <x v="2"/>
    <s v="  0707 1750078010 611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24582.9"/>
    <n v="175431.8254"/>
    <n v="20817.124299999999"/>
    <n v="49151.0746"/>
    <n v="78"/>
  </r>
  <r>
    <s v="11"/>
    <x v="2"/>
    <s v="  0707 17500785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11946.1"/>
    <n v="3058.694"/>
    <n v="3058.694"/>
    <n v="8887.4060000000009"/>
    <n v="26"/>
  </r>
  <r>
    <s v="11"/>
    <x v="2"/>
    <s v="  0707 175007945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648.3"/>
    <n v="676.66660000000002"/>
    <n v="676.66660000000002"/>
    <n v="971.63340000000005"/>
    <n v="41"/>
  </r>
  <r>
    <s v="11"/>
    <x v="2"/>
    <s v="  0707 17500794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10032.799999999999"/>
    <n v="6998.9593000000004"/>
    <n v="0"/>
    <n v="3033.8407000000002"/>
    <n v="70"/>
  </r>
  <r>
    <s v="11"/>
    <x v="2"/>
    <s v="  0709 021E45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5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3914.4"/>
    <n v="13914.3143"/>
    <n v="0"/>
    <n v="8.5699999999999998E-2"/>
    <n v="100"/>
  </r>
  <r>
    <s v="11"/>
    <x v="2"/>
    <s v="  0709 021E4Д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Д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9077.8"/>
    <n v="18996.112499999999"/>
    <n v="2186.0279999999998"/>
    <n v="81.6875"/>
    <n v="100"/>
  </r>
  <r>
    <s v="11"/>
    <x v="2"/>
    <s v="  0709 025002010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642.6"/>
    <n v="1642.6"/>
    <n v="0"/>
    <n v="0"/>
    <n v="100"/>
  </r>
  <r>
    <s v="11"/>
    <x v="2"/>
    <s v="  0709 0250020370 244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2351.4"/>
    <n v="87129.216700000004"/>
    <n v="2686.1777000000002"/>
    <n v="5222.1832999999997"/>
    <n v="94"/>
  </r>
  <r>
    <s v="11"/>
    <x v="2"/>
    <s v="  0709 025002037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4681.8"/>
    <n v="13986.1607"/>
    <n v="323.3306"/>
    <n v="695.63930000000005"/>
    <n v="95"/>
  </r>
  <r>
    <s v="11"/>
    <x v="2"/>
    <s v="  0709 025002043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3320.4"/>
    <n v="37153.619100000004"/>
    <n v="3597.9978999999998"/>
    <n v="6166.7808999999997"/>
    <n v="86"/>
  </r>
  <r>
    <s v="11"/>
    <x v="2"/>
    <s v="  0709 025002044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9928.7"/>
    <n v="52498.877899999999"/>
    <n v="4819.9818999999998"/>
    <n v="7429.8221000000003"/>
    <n v="88"/>
  </r>
  <r>
    <s v="11"/>
    <x v="2"/>
    <s v="  0709 02500205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590"/>
    <s v="Субсидии на организацию проведения культурно-познавательной программы для обучающихся 9-х и 10-х классов государственных общеобразовательных организаций «Театральный урок в Мариинском театре»"/>
    <s v="612"/>
    <s v="Субсидии бюджетным учреждениям на иные цели"/>
    <s v="Администрация Кировского района Санкт-Петербурга"/>
    <s v="7805059546"/>
    <n v="7027.2"/>
    <n v="7027.2"/>
    <n v="0"/>
    <n v="0"/>
    <n v="100"/>
  </r>
  <r>
    <s v="11"/>
    <x v="2"/>
    <s v="  0709 02500210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090"/>
    <s v="Расходы на подготовку и проведение государственной итоговой аттестации по образовательным программам основного общего и среднего обще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0202.099999999999"/>
    <n v="16828.032599999999"/>
    <n v="571.90539999999999"/>
    <n v="3374.0673999999999"/>
    <n v="83"/>
  </r>
  <r>
    <s v="11"/>
    <x v="2"/>
    <s v="  0709 02500211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190"/>
    <s v="Расходы на ремонт и оснащение спортивных сооружений (стадионов) государственных 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4012.1"/>
    <n v="27645.074199999999"/>
    <n v="1856.8946000000001"/>
    <n v="16367.025799999999"/>
    <n v="63"/>
  </r>
  <r>
    <s v="11"/>
    <x v="2"/>
    <s v="  0709 02500R050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R0500"/>
    <s v="Расходы на ежемесячное денежное вознаграждение советникам директоров по воспитанию и взаимодействию с детскими общественными объединениями государственных общеобразовательных организаций, профессиональных образовательных организац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142.5"/>
    <n v="856.8"/>
    <n v="285.60000000000002"/>
    <n v="285.7"/>
    <n v="75"/>
  </r>
  <r>
    <s v="11"/>
    <x v="2"/>
    <s v="  0709 1750078650 612"/>
    <s v="0709"/>
    <s v="Образование"/>
    <s v="09"/>
    <s v="Другие вопросы в области образования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452.7"/>
    <n v="19.5"/>
    <n v="47.3"/>
    <n v="91"/>
  </r>
  <r>
    <s v="11"/>
    <x v="2"/>
    <s v="  0801 085007008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80"/>
    <s v="Субсидии бюджетным 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32336.9"/>
    <n v="217128.30979999999"/>
    <n v="16748.555499999999"/>
    <n v="15208.590200000001"/>
    <n v="93"/>
  </r>
  <r>
    <s v="11"/>
    <x v="2"/>
    <s v="  0801 085007009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90"/>
    <s v="Субсидии бюджетным 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6322.7"/>
    <n v="76397.717699999994"/>
    <n v="6175.0319"/>
    <n v="9924.9822999999997"/>
    <n v="89"/>
  </r>
  <r>
    <s v="11"/>
    <x v="2"/>
    <s v="  0801 08500701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170"/>
    <s v="Субсидии бюджетным 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92328.9"/>
    <n v="157882.38459999999"/>
    <n v="15134.3483"/>
    <n v="34446.515399999997"/>
    <n v="82"/>
  </r>
  <r>
    <s v="11"/>
    <x v="2"/>
    <s v="  0801 08500702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270"/>
    <s v="Субсидии бюджетным 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3563"/>
    <n v="62855.756200000003"/>
    <n v="4250.7461000000003"/>
    <n v="10707.2438"/>
    <n v="85"/>
  </r>
  <r>
    <s v="11"/>
    <x v="2"/>
    <s v="  0801 0850070470 244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14867.8"/>
    <n v="4514.6163999999999"/>
    <n v="600"/>
    <n v="10353.1836"/>
    <n v="30"/>
  </r>
  <r>
    <s v="11"/>
    <x v="2"/>
    <s v="  0801 085007047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612"/>
    <s v="Субсидии бюджетным учреждениям на иные цели"/>
    <s v="Администрация Кировского района Санкт-Петербурга"/>
    <s v="7805059546"/>
    <n v="3639.8"/>
    <n v="3639.7981"/>
    <n v="57.09"/>
    <n v="1.9E-3"/>
    <n v="100"/>
  </r>
  <r>
    <s v="11"/>
    <x v="2"/>
    <s v="  0801 085007096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40101.9"/>
    <n v="38999.914700000001"/>
    <n v="873.71870000000001"/>
    <n v="1101.9853000000001"/>
    <n v="97"/>
  </r>
  <r>
    <s v="11"/>
    <x v="2"/>
    <s v="  0801 085007161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712.6"/>
    <n v="712.53840000000002"/>
    <n v="0"/>
    <n v="6.1600000000000002E-2"/>
    <n v="100"/>
  </r>
  <r>
    <s v="11"/>
    <x v="2"/>
    <s v="  0801 085007164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40"/>
    <s v="Расходы на мероприятия по модернизации общедоступных библиотек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0745.7"/>
    <n v="28613.554599999999"/>
    <n v="3779.2811999999999"/>
    <n v="2132.1453999999999"/>
    <n v="93"/>
  </r>
  <r>
    <s v="11"/>
    <x v="2"/>
    <s v="  0804 0850071320 612"/>
    <s v="0804"/>
    <s v="Культура, кинематография"/>
    <s v="04"/>
    <s v="Другие вопросы в области культуры, кинематографии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2167.5"/>
    <n v="3061.3195999999998"/>
    <n v="0"/>
    <n v="9106.1803999999993"/>
    <n v="25"/>
  </r>
  <r>
    <s v="11"/>
    <x v="2"/>
    <s v="  0902 0150010080 611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07335"/>
    <n v="475912.2928"/>
    <n v="54216.471899999997"/>
    <n v="131422.7072"/>
    <n v="78"/>
  </r>
  <r>
    <s v="11"/>
    <x v="2"/>
    <s v="  0902 0150010080 614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54.6000000000004"/>
    <n v="3301.5349000000001"/>
    <n v="205.1103"/>
    <n v="1853.0651"/>
    <n v="64"/>
  </r>
  <r>
    <s v="11"/>
    <x v="2"/>
    <s v="  0909 011N953652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N9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79182.8"/>
    <n v="78118.276500000007"/>
    <n v="9131.9793000000009"/>
    <n v="1064.5235"/>
    <n v="99"/>
  </r>
  <r>
    <s v="11"/>
    <x v="2"/>
    <s v="  0909 011P3546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P3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50.1"/>
    <n v="50.1"/>
    <n v="0"/>
    <n v="0"/>
    <n v="100"/>
  </r>
  <r>
    <s v="11"/>
    <x v="2"/>
    <s v="  0909 01500100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20"/>
    <s v="Расходы на профилактику инфекционных заболеваний, включая иммунопрофилактику"/>
    <s v="612"/>
    <s v="Субсидии бюджетным учреждениям на иные цели"/>
    <s v="Администрация Кировского района Санкт-Петербурга"/>
    <s v="7805059546"/>
    <n v="48923.9"/>
    <n v="41346.857400000001"/>
    <n v="15267.0267"/>
    <n v="7577.0425999999998"/>
    <n v="85"/>
  </r>
  <r>
    <s v="11"/>
    <x v="2"/>
    <s v="  0909 0150010100 244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36.200000000000003"/>
    <n v="36.159500000000001"/>
    <n v="0"/>
    <n v="4.0500000000000001E-2"/>
    <n v="100"/>
  </r>
  <r>
    <s v="11"/>
    <x v="2"/>
    <s v="  0909 01500105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09042.9"/>
    <n v="24111.636500000001"/>
    <n v="9894.7070999999996"/>
    <n v="84931.263500000001"/>
    <n v="22"/>
  </r>
  <r>
    <s v="11"/>
    <x v="2"/>
    <s v="  0909 015001057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70"/>
    <s v="Расходы на приобретение оборудования дл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4237.2"/>
    <n v="13660"/>
    <n v="0"/>
    <n v="577.20000000000005"/>
    <n v="96"/>
  </r>
  <r>
    <s v="11"/>
    <x v="2"/>
    <s v="  0909 015001065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650"/>
    <s v="Расходы на приобретение немонтируемого оборудования и инвентаря для оснащения вводных объектов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00"/>
    <n v="0"/>
    <n v="0"/>
    <n v="100"/>
    <n v="0"/>
  </r>
  <r>
    <s v="11"/>
    <x v="2"/>
    <s v="  0909 015001083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30"/>
    <s v="Расходы на капитальный ремонт и замену лифтового оборудовани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8607.7000000000007"/>
    <n v="8309.9735999999994"/>
    <n v="8309.9735999999994"/>
    <n v="297.72640000000001"/>
    <n v="97"/>
  </r>
  <r>
    <s v="11"/>
    <x v="2"/>
    <s v="  0909 01500108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80"/>
    <s v="Субсидии государственным учреждениям здравоохранения на оказание экстренной медицинской помощи иностранным гражданам и гражданам не идентифицированным и не застрахованным в системе ОМС при заболеваниях, включенных в базовую программу ОМС"/>
    <s v="612"/>
    <s v="Субсидии бюджетным учреждениям на иные цели"/>
    <s v="Администрация Кировского района Санкт-Петербурга"/>
    <s v="7805059546"/>
    <n v="2903.1"/>
    <n v="1880.499"/>
    <n v="3.9203000000000001"/>
    <n v="1022.601"/>
    <n v="65"/>
  </r>
  <r>
    <s v="11"/>
    <x v="2"/>
    <s v="  0909 015001100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43694.2"/>
    <n v="28989.203699999998"/>
    <n v="2215.9802"/>
    <n v="14704.996300000001"/>
    <n v="66"/>
  </r>
  <r>
    <s v="11"/>
    <x v="2"/>
    <s v="  0909 015001101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10"/>
    <s v="Субсидии государственным учреждениям здравоохранения Санкт-Петербурга в целях поддержания высокого уровня оказания медицинской помощи и усиления кадрового потенциала в государственных учреждениях здравоохранения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00289.59999999998"/>
    <n v="194088.435"/>
    <n v="0"/>
    <n v="106201.16499999999"/>
    <n v="65"/>
  </r>
  <r>
    <s v="11"/>
    <x v="2"/>
    <s v="  1002 035004046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1890.3"/>
    <n v="166313.0092"/>
    <n v="14237.6674"/>
    <n v="15577.290800000001"/>
    <n v="91"/>
  </r>
  <r>
    <s v="11"/>
    <x v="2"/>
    <s v="  1002 035004046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8356.2"/>
    <n v="14908.3398"/>
    <n v="910.4212"/>
    <n v="3447.8602000000001"/>
    <n v="81"/>
  </r>
  <r>
    <s v="11"/>
    <x v="2"/>
    <s v="  1002 035004048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9470.6"/>
    <n v="103195.6759"/>
    <n v="6900.973"/>
    <n v="6274.9241000000002"/>
    <n v="94"/>
  </r>
  <r>
    <s v="11"/>
    <x v="2"/>
    <s v="  1002 0350040530 612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9825.9"/>
    <n v="0"/>
    <n v="0"/>
    <n v="9825.9"/>
    <n v="0"/>
  </r>
  <r>
    <s v="11"/>
    <x v="2"/>
    <s v="  1002 035004063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9809.2000000000007"/>
    <n v="9809.2000000000007"/>
    <n v="0"/>
    <n v="0"/>
    <n v="100"/>
  </r>
  <r>
    <s v="11"/>
    <x v="2"/>
    <s v="  1002 035004063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446513.8"/>
    <n v="413100.20610000001"/>
    <n v="39340.214"/>
    <n v="33413.5939"/>
    <n v="93"/>
  </r>
  <r>
    <s v="11"/>
    <x v="2"/>
    <s v="  1002 035004064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444.7"/>
    <n v="46544.292399999998"/>
    <n v="4436.1782999999996"/>
    <n v="4900.4075999999995"/>
    <n v="90"/>
  </r>
  <r>
    <s v="11"/>
    <x v="2"/>
    <s v="  1003 0350040240 612"/>
    <s v="1003"/>
    <s v="Социальная политика"/>
    <s v="03"/>
    <s v="Социальное обеспече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8948.800000000003"/>
    <n v="45685.069499999998"/>
    <n v="1135.0574999999999"/>
    <n v="3263.7305000000001"/>
    <n v="93"/>
  </r>
  <r>
    <s v="11"/>
    <x v="2"/>
    <s v="  1004 0350040990 611"/>
    <s v="1004"/>
    <s v="Социальная политика"/>
    <s v="04"/>
    <s v="Охрана семьи и детства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990"/>
    <s v="Расходы на выплату компенсации части родительской платы за содержание ребенка в государственных или муниципальных образовательных учреждениях, реализующих общеобразовательную программу дошкольного образов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359.3"/>
    <n v="20149.405200000001"/>
    <n v="2890.4576999999999"/>
    <n v="12209.8948"/>
    <n v="62"/>
  </r>
  <r>
    <s v="11"/>
    <x v="2"/>
    <s v="  1004 0950083620 323"/>
    <s v="1004"/>
    <s v="Социальная политика"/>
    <s v="04"/>
    <s v="Охрана семьи и дет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620"/>
    <s v="Расходы на предоставление дополнительной меры социальной поддержки по оборудованию предметами первой необходимости жилых помещений специализированного жилищного фонда, предоставляемых детям-сиротам и детям, оставшимся без попечения родителей, лицам из их"/>
    <s v="323"/>
    <s v="Приобретение товаров, работ, услуг в пользу граждан в целях их социального обеспечения"/>
    <s v="Администрация Кировского района Санкт-Петербурга"/>
    <s v="7805059546"/>
    <n v="1552.3"/>
    <n v="0"/>
    <n v="0"/>
    <n v="1552.3"/>
    <n v="0"/>
  </r>
  <r>
    <s v="11"/>
    <x v="2"/>
    <s v="  1101 041P545060 612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60"/>
    <s v="Расходы на проектирование, ремонт и оснащение оборудованием внутридворовых спортивных площадок для занятий физической культурой и спортом населения"/>
    <s v="612"/>
    <s v="Субсидии бюджетным учреждениям на иные цели"/>
    <s v="Администрация Кировского района Санкт-Петербурга"/>
    <s v="7805059546"/>
    <n v="9879.5"/>
    <n v="9208.0640999999996"/>
    <n v="0"/>
    <n v="671.43589999999995"/>
    <n v="93"/>
  </r>
  <r>
    <s v="11"/>
    <x v="2"/>
    <s v="  1101 0450045020 611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125.7"/>
    <n v="156190.61060000001"/>
    <n v="15716.8667"/>
    <n v="26935.089400000001"/>
    <n v="85"/>
  </r>
  <r>
    <s v="11"/>
    <x v="2"/>
    <s v="  1102 041P545010 612"/>
    <s v="1102"/>
    <s v="Физическая культура и спорт"/>
    <s v="02"/>
    <s v="Массовый спорт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545.6"/>
    <n v="2881.6381999999999"/>
    <n v="283.13330000000002"/>
    <n v="663.96180000000004"/>
    <n v="81"/>
  </r>
  <r>
    <s v="11"/>
    <x v="2"/>
    <s v="  1103 0450045090 611"/>
    <s v="1103"/>
    <s v="Физическая культура и спорт"/>
    <s v="03"/>
    <s v="Спорт высших достижений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4843.3"/>
    <n v="297001.74489999999"/>
    <n v="23662.7837"/>
    <n v="27841.555100000001"/>
    <n v="91"/>
  </r>
  <r>
    <s v="12"/>
    <x v="3"/>
    <s v="  0103 9950000060 244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310.89999999999998"/>
    <n v="128.5992"/>
    <n v="54.617899999999999"/>
    <n v="182.30080000000001"/>
    <n v="41"/>
  </r>
  <r>
    <s v="12"/>
    <x v="3"/>
    <s v="  0103 9950000060 247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8.3000000000000007"/>
    <n v="1.7666999999999999"/>
    <n v="0"/>
    <n v="6.5332999999999997"/>
    <n v="21"/>
  </r>
  <r>
    <s v="12"/>
    <x v="3"/>
    <s v="  0113 0650090100 530"/>
    <s v="0113"/>
    <s v="Общегосударственные вопросы"/>
    <s v="13"/>
    <s v="Другие общегосударственные вопросы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4.400000000000006"/>
    <n v="0"/>
    <n v="0"/>
    <n v="64.400000000000006"/>
    <n v="0"/>
  </r>
  <r>
    <s v="12"/>
    <x v="3"/>
    <s v="  0113 1650099220 244"/>
    <s v="0113"/>
    <s v="Общегосударственные вопросы"/>
    <s v="13"/>
    <s v="Другие общегосударственные вопросы"/>
    <s v="16"/>
    <s v="Экономическое и социальное развитие территорий Санкт-Петербурга"/>
    <s v="165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157.5"/>
    <n v="157.49"/>
    <n v="35.5"/>
    <n v="0.01"/>
    <n v="100"/>
  </r>
  <r>
    <s v="12"/>
    <x v="3"/>
    <s v="  0113 1750098720 244"/>
    <s v="0113"/>
    <s v="Общегосударственные вопросы"/>
    <s v="13"/>
    <s v="Другие общегосударственные вопросы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67.1"/>
    <n v="567.0752"/>
    <n v="299.5"/>
    <n v="2.4799999999999999E-2"/>
    <n v="100"/>
  </r>
  <r>
    <s v="12"/>
    <x v="3"/>
    <s v="  0113 9950000090 1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246128.1"/>
    <n v="246128.06030000001"/>
    <n v="29520.0694"/>
    <n v="3.9699999999999999E-2"/>
    <n v="100"/>
  </r>
  <r>
    <s v="12"/>
    <x v="3"/>
    <s v="  0113 9950000090 12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24.9"/>
    <n v="124.8695"/>
    <n v="39.243499999999997"/>
    <n v="3.0499999999999999E-2"/>
    <n v="100"/>
  </r>
  <r>
    <s v="12"/>
    <x v="3"/>
    <s v="  0113 9950000090 12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73726.399999999994"/>
    <n v="73726.399999999994"/>
    <n v="6924.12"/>
    <n v="0"/>
    <n v="100"/>
  </r>
  <r>
    <s v="12"/>
    <x v="3"/>
    <s v="  0113 9950000090 24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200"/>
    <n v="37.031500000000001"/>
    <n v="100"/>
    <n v="67"/>
  </r>
  <r>
    <s v="12"/>
    <x v="3"/>
    <s v="  0113 995000009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96825.600000000006"/>
    <n v="95256.777400000006"/>
    <n v="27104.5926"/>
    <n v="1568.8226"/>
    <n v="98"/>
  </r>
  <r>
    <s v="12"/>
    <x v="3"/>
    <s v="  0113 9950000090 247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160.9"/>
    <n v="16160.9"/>
    <n v="3082.5544"/>
    <n v="0"/>
    <n v="100"/>
  </r>
  <r>
    <s v="12"/>
    <x v="3"/>
    <s v="  0113 9950000090 83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1288.7"/>
    <n v="1288.4321"/>
    <n v="785.51959999999997"/>
    <n v="0.26790000000000003"/>
    <n v="100"/>
  </r>
  <r>
    <s v="12"/>
    <x v="3"/>
    <s v="  0113 9950000090 853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853"/>
    <s v="Уплата иных платежей"/>
    <s v="Администрация Кировского района Санкт-Петербурга"/>
    <s v="7805059546"/>
    <n v="179.8"/>
    <n v="179.71199999999999"/>
    <n v="0"/>
    <n v="8.7999999999999995E-2"/>
    <n v="100"/>
  </r>
  <r>
    <s v="12"/>
    <x v="3"/>
    <s v="  0113 9950000320 1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186070.5"/>
    <n v="186024.9817"/>
    <n v="22449.632600000001"/>
    <n v="45.518300000000004"/>
    <n v="100"/>
  </r>
  <r>
    <s v="12"/>
    <x v="3"/>
    <s v="  0113 9950000320 11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56013.7"/>
    <n v="55957.261200000001"/>
    <n v="8861.2782000000007"/>
    <n v="56.438800000000001"/>
    <n v="100"/>
  </r>
  <r>
    <s v="12"/>
    <x v="3"/>
    <s v="  0113 995000032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2617"/>
    <n v="2601.3679000000002"/>
    <n v="78.321799999999996"/>
    <n v="15.632099999999999"/>
    <n v="99"/>
  </r>
  <r>
    <s v="12"/>
    <x v="3"/>
    <s v="  0113 9950000320 3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321"/>
    <s v="Пособия, компенсации и иные социальные выплаты_x000a_гражданам, кроме публичных нормативных обязательств"/>
    <s v="Администрация Кировского района Санкт-Петербурга"/>
    <s v="7805059546"/>
    <n v="2"/>
    <n v="1.9904999999999999"/>
    <n v="0"/>
    <n v="9.4999999999999998E-3"/>
    <n v="100"/>
  </r>
  <r>
    <s v="12"/>
    <x v="3"/>
    <s v="  0113 9950000320 85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3.2248999999999999"/>
    <n v="0"/>
    <n v="0.47510000000000002"/>
    <n v="87"/>
  </r>
  <r>
    <s v="12"/>
    <x v="3"/>
    <s v="  0113 9950000530 6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0925.600000000006"/>
    <n v="70925.600000000006"/>
    <n v="8530.8721999999998"/>
    <n v="0"/>
    <n v="100"/>
  </r>
  <r>
    <s v="12"/>
    <x v="3"/>
    <s v="  0113 995000148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3849"/>
    <n v="3848.9695000000002"/>
    <n v="470.6463"/>
    <n v="3.0499999999999999E-2"/>
    <n v="100"/>
  </r>
  <r>
    <s v="12"/>
    <x v="3"/>
    <s v="  0113 9950002790 1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2790"/>
    <s v="Расходы на иные выплаты лицам, замещающим государственные должности Санкт-Петербурга, и государственным гражданским служащим Санкт-Петербурга в исполнительных органах государственной власти Санкт-Петербурга в соответствии с законодательством Санкт-Петербу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7308"/>
    <n v="7308"/>
    <n v="7308"/>
    <n v="0"/>
    <n v="100"/>
  </r>
  <r>
    <s v="12"/>
    <x v="3"/>
    <s v="  0309 0650090880 244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4082.8"/>
    <n v="4082.5360999999998"/>
    <n v="100.935"/>
    <n v="0.26390000000000002"/>
    <n v="100"/>
  </r>
  <r>
    <s v="12"/>
    <x v="3"/>
    <s v="  0309 0650090880 247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8518.1"/>
    <n v="8518.0998999999993"/>
    <n v="5549.2843000000003"/>
    <n v="1E-4"/>
    <n v="100"/>
  </r>
  <r>
    <s v="12"/>
    <x v="3"/>
    <s v="  0309 0650090880 851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7750.5"/>
    <n v="7750.5"/>
    <n v="1408.4308000000001"/>
    <n v="0"/>
    <n v="100"/>
  </r>
  <r>
    <s v="12"/>
    <x v="3"/>
    <s v="  0309 0650090880 853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3"/>
    <s v="Уплата иных платежей"/>
    <s v="Администрация Кировского района Санкт-Петербурга"/>
    <s v="7805059546"/>
    <n v="2554.3000000000002"/>
    <n v="2554.2132999999999"/>
    <n v="242.97130000000001"/>
    <n v="8.6699999999999999E-2"/>
    <n v="100"/>
  </r>
  <r>
    <s v="12"/>
    <x v="3"/>
    <s v="  0314 0650090690 244"/>
    <s v="0314"/>
    <s v="Национальная безопасность и правоохранительная деятельность"/>
    <s v="14"/>
    <s v="Другие вопросы в области национальной безопасности и правоохранительной деятельности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0.100000000000001"/>
    <n v="20.0015"/>
    <n v="0"/>
    <n v="9.8500000000000004E-2"/>
    <n v="100"/>
  </r>
  <r>
    <s v="12"/>
    <x v="3"/>
    <s v="  0410 0650090810 612"/>
    <s v="0410"/>
    <s v="Национальная экономика"/>
    <s v="10"/>
    <s v="Связь и информатик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612"/>
    <s v="Субсидии бюджетным учреждениям на иные цели"/>
    <s v="Администрация Кировского района Санкт-Петербурга"/>
    <s v="7805059546"/>
    <n v="33219"/>
    <n v="33218.916899999997"/>
    <n v="22757.945"/>
    <n v="8.3099999999999993E-2"/>
    <n v="100"/>
  </r>
  <r>
    <s v="12"/>
    <x v="3"/>
    <s v="  0410 9950096170 242"/>
    <s v="0410"/>
    <s v="Национальная экономика"/>
    <s v="10"/>
    <s v="Связь и информатика"/>
    <s v="99"/>
    <s v="Непрограммные расходы"/>
    <s v="995"/>
    <s v="5"/>
    <s v="Процессная часть перечня мероприятий государственной программы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13074.3"/>
    <n v="13064.7145"/>
    <n v="8521.1337999999996"/>
    <n v="9.5854999999999997"/>
    <n v="100"/>
  </r>
  <r>
    <s v="12"/>
    <x v="3"/>
    <s v="  0501 09500833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022"/>
    <n v="5021.99"/>
    <n v="0"/>
    <n v="0.01"/>
    <n v="100"/>
  </r>
  <r>
    <s v="12"/>
    <x v="3"/>
    <s v="  0501 095008347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57862.6"/>
    <n v="41725.410000000003"/>
    <n v="18392.931700000001"/>
    <n v="16137.19"/>
    <n v="72"/>
  </r>
  <r>
    <s v="12"/>
    <x v="3"/>
    <s v="  0501 09500834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3467.9"/>
    <n v="3464.4942000000001"/>
    <n v="423.07260000000002"/>
    <n v="3.4058000000000002"/>
    <n v="100"/>
  </r>
  <r>
    <s v="12"/>
    <x v="3"/>
    <s v="  0501 095008348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100977.1"/>
    <n v="100977.0906"/>
    <n v="19745.517899999999"/>
    <n v="9.4000000000000004E-3"/>
    <n v="100"/>
  </r>
  <r>
    <s v="12"/>
    <x v="3"/>
    <s v="  0501 095008349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15874"/>
    <n v="15850.8477"/>
    <n v="3381.3975"/>
    <n v="23.1523"/>
    <n v="100"/>
  </r>
  <r>
    <s v="12"/>
    <x v="3"/>
    <s v="  0501 0950083490 247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8415.9"/>
    <n v="7725.5698000000002"/>
    <n v="2383.6233000000002"/>
    <n v="690.33019999999999"/>
    <n v="92"/>
  </r>
  <r>
    <s v="12"/>
    <x v="3"/>
    <s v="  0501 095008349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785.7"/>
    <n v="4785.6993000000002"/>
    <n v="541.08849999999995"/>
    <n v="6.9999999999999999E-4"/>
    <n v="100"/>
  </r>
  <r>
    <s v="12"/>
    <x v="3"/>
    <s v="  0503 105008791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244"/>
    <s v="Прочая закупка товаров, работ и услуг"/>
    <s v="Администрация Кировского района Санкт-Петербурга"/>
    <s v="7805059546"/>
    <n v="3229.3"/>
    <n v="2760.8451"/>
    <n v="2420.8451"/>
    <n v="468.45490000000001"/>
    <n v="85"/>
  </r>
  <r>
    <s v="12"/>
    <x v="3"/>
    <s v="  0503 105008791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853"/>
    <s v="Уплата иных платежей"/>
    <s v="Администрация Кировского района Санкт-Петербурга"/>
    <s v="7805059546"/>
    <n v="250.7"/>
    <n v="250.65"/>
    <n v="0"/>
    <n v="0.05"/>
    <n v="100"/>
  </r>
  <r>
    <s v="12"/>
    <x v="3"/>
    <s v="  0503 105008793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48176.4"/>
    <n v="47644.632700000002"/>
    <n v="27288.847300000001"/>
    <n v="531.76729999999998"/>
    <n v="99"/>
  </r>
  <r>
    <s v="12"/>
    <x v="3"/>
    <s v="  0503 105008793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853"/>
    <s v="Уплата иных платежей"/>
    <s v="Администрация Кировского района Санкт-Петербурга"/>
    <s v="7805059546"/>
    <n v="406.8"/>
    <n v="406.8"/>
    <n v="0"/>
    <n v="0"/>
    <n v="100"/>
  </r>
  <r>
    <s v="12"/>
    <x v="3"/>
    <s v="  0503 105008827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244"/>
    <s v="Прочая закупка товаров, работ и услуг"/>
    <s v="Администрация Кировского района Санкт-Петербурга"/>
    <s v="7805059546"/>
    <n v="149818.5"/>
    <n v="145927.63690000001"/>
    <n v="30912.866999999998"/>
    <n v="3890.8631"/>
    <n v="97"/>
  </r>
  <r>
    <s v="12"/>
    <x v="3"/>
    <s v="  0503 105008827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853"/>
    <s v="Уплата иных платежей"/>
    <s v="Администрация Кировского района Санкт-Петербурга"/>
    <s v="7805059546"/>
    <n v="2086.8000000000002"/>
    <n v="2086.8000000000002"/>
    <n v="0"/>
    <n v="0"/>
    <n v="100"/>
  </r>
  <r>
    <s v="12"/>
    <x v="3"/>
    <s v="  0505 0950083140 11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444482.6"/>
    <n v="444482.6"/>
    <n v="51782.8701"/>
    <n v="0"/>
    <n v="100"/>
  </r>
  <r>
    <s v="12"/>
    <x v="3"/>
    <s v="  0505 0950083140 119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33447.4"/>
    <n v="133447.34039999999"/>
    <n v="14598.9967"/>
    <n v="5.96E-2"/>
    <n v="100"/>
  </r>
  <r>
    <s v="12"/>
    <x v="3"/>
    <s v="  0505 095008314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39333.1"/>
    <n v="131436.7752"/>
    <n v="42007.887199999997"/>
    <n v="7896.3248000000003"/>
    <n v="94"/>
  </r>
  <r>
    <s v="12"/>
    <x v="3"/>
    <s v="  0505 0950083140 247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4461.7"/>
    <n v="4461.6282000000001"/>
    <n v="1658.4245000000001"/>
    <n v="7.1800000000000003E-2"/>
    <n v="100"/>
  </r>
  <r>
    <s v="12"/>
    <x v="3"/>
    <s v="  0505 0950083140 83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284"/>
    <n v="283.87540000000001"/>
    <n v="0"/>
    <n v="0.1246"/>
    <n v="100"/>
  </r>
  <r>
    <s v="12"/>
    <x v="3"/>
    <s v="  0505 0950083140 85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83.2"/>
    <n v="183.2"/>
    <n v="45.813000000000002"/>
    <n v="0"/>
    <n v="100"/>
  </r>
  <r>
    <s v="12"/>
    <x v="3"/>
    <s v="  0505 0950083140 852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679.7"/>
    <n v="679.697"/>
    <n v="40.139299999999999"/>
    <n v="3.0000000000000001E-3"/>
    <n v="100"/>
  </r>
  <r>
    <s v="12"/>
    <x v="3"/>
    <s v="  0505 0950083140 853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3"/>
    <s v="Уплата иных платежей"/>
    <s v="Администрация Кировского района Санкт-Петербурга"/>
    <s v="7805059546"/>
    <n v="185"/>
    <n v="185"/>
    <n v="0"/>
    <n v="0"/>
    <n v="100"/>
  </r>
  <r>
    <s v="12"/>
    <x v="3"/>
    <s v="  0505 095008345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50"/>
    <s v="Расходы на проведение мероприятий по созданию условий доступности для инвалидов и иных маломобильных групп населения"/>
    <s v="244"/>
    <s v="Прочая закупка товаров, работ и услуг"/>
    <s v="Администрация Кировского района Санкт-Петербурга"/>
    <s v="7805059546"/>
    <n v="2761.6"/>
    <n v="2761.4953999999998"/>
    <n v="190.61099999999999"/>
    <n v="0.1046"/>
    <n v="100"/>
  </r>
  <r>
    <s v="12"/>
    <x v="3"/>
    <s v="  0701 0250020010 611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209410.8"/>
    <n v="5209410.8"/>
    <n v="831924.54350000003"/>
    <n v="0"/>
    <n v="100"/>
  </r>
  <r>
    <s v="12"/>
    <x v="3"/>
    <s v="  0701 025002094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42675.4"/>
    <n v="42675.4"/>
    <n v="34499.398800000003"/>
    <n v="0"/>
    <n v="100"/>
  </r>
  <r>
    <s v="12"/>
    <x v="3"/>
    <s v="  0701 025002145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2937.4"/>
    <n v="32937.360000000001"/>
    <n v="1095.425"/>
    <n v="0.04"/>
    <n v="100"/>
  </r>
  <r>
    <s v="12"/>
    <x v="3"/>
    <s v="  0702 021EВ5179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21148"/>
    <n v="21147.8315"/>
    <n v="1762.5297"/>
    <n v="0.16850000000000001"/>
    <n v="100"/>
  </r>
  <r>
    <s v="12"/>
    <x v="3"/>
    <s v="  0702 021EВ5786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7860"/>
    <s v="Расходы на обеспечение оснащения государственных общеобразовательных организаций, в том числе структурных подразделений указанных организаций, государственными символами Российской Федерации"/>
    <s v="612"/>
    <s v="Субсидии бюджетным учреждениям на иные цели"/>
    <s v="Администрация Кировского района Санкт-Петербурга"/>
    <s v="7805059546"/>
    <n v="1977.2"/>
    <n v="1975.2195999999999"/>
    <n v="0"/>
    <n v="1.9803999999999999"/>
    <n v="100"/>
  </r>
  <r>
    <s v="12"/>
    <x v="3"/>
    <s v="  0702 025002003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004262.9000000004"/>
    <n v="5004262.9000000004"/>
    <n v="717448.31550000003"/>
    <n v="0"/>
    <n v="100"/>
  </r>
  <r>
    <s v="12"/>
    <x v="3"/>
    <s v="  0702 025002006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76762.4"/>
    <n v="176762.4"/>
    <n v="42342.2886"/>
    <n v="0"/>
    <n v="100"/>
  </r>
  <r>
    <s v="12"/>
    <x v="3"/>
    <s v="  0702 025002007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2110.3"/>
    <n v="82110.3"/>
    <n v="11105.156300000001"/>
    <n v="0"/>
    <n v="100"/>
  </r>
  <r>
    <s v="12"/>
    <x v="3"/>
    <s v="  0702 0250020080 633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80"/>
    <s v="Субсидии частным образовательным организациям для реализации основных общеобразовательных программ"/>
    <s v="633"/>
    <s v="Субсидии (гранты в форме субсидий), не подлежащие казначейскому сопровождению"/>
    <s v="Администрация Кировского района Санкт-Петербурга"/>
    <s v="7805059546"/>
    <n v="1102.9000000000001"/>
    <n v="1102.9000000000001"/>
    <n v="275.72500000000002"/>
    <n v="0"/>
    <n v="100"/>
  </r>
  <r>
    <s v="12"/>
    <x v="3"/>
    <s v="  0702 025002009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90"/>
    <s v="Расходы на обеспечение книгами и учебными изданиями для комплектования библиотек государственных обще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110161.60000000001"/>
    <n v="110161.56"/>
    <n v="2600.9573999999998"/>
    <n v="0.04"/>
    <n v="100"/>
  </r>
  <r>
    <s v="12"/>
    <x v="3"/>
    <s v="  0702 025002011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10"/>
    <s v="Расходы на оснащение базовых общеобразовательных организаций современными средствами обучения и воспитания с целью повышения качества общего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34431.800000000003"/>
    <n v="34431.800000000003"/>
    <n v="14493.366"/>
    <n v="0"/>
    <n v="100"/>
  </r>
  <r>
    <s v="12"/>
    <x v="3"/>
    <s v="  0702 025002094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82697.2"/>
    <n v="82697.2"/>
    <n v="45638.107199999999"/>
    <n v="0"/>
    <n v="100"/>
  </r>
  <r>
    <s v="12"/>
    <x v="3"/>
    <s v="  0702 025002145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5956.9"/>
    <n v="25956.78"/>
    <n v="2725.5888"/>
    <n v="0.12"/>
    <n v="100"/>
  </r>
  <r>
    <s v="12"/>
    <x v="3"/>
    <s v="  0702 025002146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60"/>
    <s v="Расходы на реализацию мероприятий проекта по вовлечению учащихся в развитие школьной инфраструктуры"/>
    <s v="612"/>
    <s v="Субсидии бюджетным учреждениям на иные цели"/>
    <s v="Администрация Кировского района Санкт-Петербурга"/>
    <s v="7805059546"/>
    <n v="2923.6"/>
    <n v="2923.6"/>
    <n v="193.8064"/>
    <n v="0"/>
    <n v="100"/>
  </r>
  <r>
    <s v="12"/>
    <x v="3"/>
    <s v="  0702 025005303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104515.5"/>
    <n v="104515.5"/>
    <n v="3458.41"/>
    <n v="0"/>
    <n v="100"/>
  </r>
  <r>
    <s v="12"/>
    <x v="3"/>
    <s v="  0702 035004065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296352.09999999998"/>
    <n v="296352.09999999998"/>
    <n v="62677.438399999999"/>
    <n v="0"/>
    <n v="100"/>
  </r>
  <r>
    <s v="12"/>
    <x v="3"/>
    <s v="  0702 03500R304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38374.70000000001"/>
    <n v="138374.6146"/>
    <n v="3265.3420000000001"/>
    <n v="8.5400000000000004E-2"/>
    <n v="100"/>
  </r>
  <r>
    <s v="12"/>
    <x v="3"/>
    <s v="  0703 0250020300 611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89806.5"/>
    <n v="289806.5"/>
    <n v="52065.626499999998"/>
    <n v="0"/>
    <n v="100"/>
  </r>
  <r>
    <s v="12"/>
    <x v="3"/>
    <s v="  0705 0250020620 612"/>
    <s v="0705"/>
    <s v="Образование"/>
    <s v="05"/>
    <s v="Профессиональная подготовка, переподготовка и повышение квалификации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20"/>
    <s v="Расходы на обеспечение непрерывного и планомерного повышения квалификации руководящих и педагогических работников"/>
    <s v="612"/>
    <s v="Субсидии бюджетным учреждениям на иные цели"/>
    <s v="Администрация Кировского района Санкт-Петербурга"/>
    <s v="7805059546"/>
    <n v="1003.3"/>
    <n v="1003.3"/>
    <n v="124.53279999999999"/>
    <n v="0"/>
    <n v="100"/>
  </r>
  <r>
    <s v="12"/>
    <x v="3"/>
    <s v="  0707 1750078010 611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25843.1"/>
    <n v="225843.1"/>
    <n v="50411.274599999997"/>
    <n v="0"/>
    <n v="100"/>
  </r>
  <r>
    <s v="12"/>
    <x v="3"/>
    <s v="  0707 17500785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11946.1"/>
    <n v="11946.1"/>
    <n v="8887.4060000000009"/>
    <n v="0"/>
    <n v="100"/>
  </r>
  <r>
    <s v="12"/>
    <x v="3"/>
    <s v="  0707 175007945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648.3"/>
    <n v="1648.3"/>
    <n v="971.63340000000005"/>
    <n v="0"/>
    <n v="100"/>
  </r>
  <r>
    <s v="12"/>
    <x v="3"/>
    <s v="  0707 17500794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10032.799999999999"/>
    <n v="10032.799999999999"/>
    <n v="3033.8407000000002"/>
    <n v="0"/>
    <n v="100"/>
  </r>
  <r>
    <s v="12"/>
    <x v="3"/>
    <s v="  0709 021E45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5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3914.4"/>
    <n v="13914.3143"/>
    <n v="0"/>
    <n v="8.5699999999999998E-2"/>
    <n v="100"/>
  </r>
  <r>
    <s v="12"/>
    <x v="3"/>
    <s v="  0709 021E4Д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Д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9077.8"/>
    <n v="19077.8"/>
    <n v="81.6875"/>
    <n v="0"/>
    <n v="100"/>
  </r>
  <r>
    <s v="12"/>
    <x v="3"/>
    <s v="  0709 025002010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642.6"/>
    <n v="1642.6"/>
    <n v="0"/>
    <n v="0"/>
    <n v="100"/>
  </r>
  <r>
    <s v="12"/>
    <x v="3"/>
    <s v="  0709 0250020370 244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2044"/>
    <n v="92043.879700000005"/>
    <n v="4914.6629999999996"/>
    <n v="0.1203"/>
    <n v="100"/>
  </r>
  <r>
    <s v="12"/>
    <x v="3"/>
    <s v="  0709 025002037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3986.2"/>
    <n v="13986.2"/>
    <n v="3.9300000000000002E-2"/>
    <n v="0"/>
    <n v="100"/>
  </r>
  <r>
    <s v="12"/>
    <x v="3"/>
    <s v="  0709 025002043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3320.4"/>
    <n v="43320.4"/>
    <n v="6166.7808999999997"/>
    <n v="0"/>
    <n v="100"/>
  </r>
  <r>
    <s v="12"/>
    <x v="3"/>
    <s v="  0709 025002044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9928.7"/>
    <n v="59928.7"/>
    <n v="7429.8221000000003"/>
    <n v="0"/>
    <n v="100"/>
  </r>
  <r>
    <s v="12"/>
    <x v="3"/>
    <s v="  0709 02500205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590"/>
    <s v="Субсидии на организацию проведения культурно-познавательной программы для обучающихся 9-х и 10-х классов государственных общеобразовательных организаций «Театральный урок в Мариинском театре»"/>
    <s v="612"/>
    <s v="Субсидии бюджетным учреждениям на иные цели"/>
    <s v="Администрация Кировского района Санкт-Петербурга"/>
    <s v="7805059546"/>
    <n v="7027.2"/>
    <n v="7027.2"/>
    <n v="0"/>
    <n v="0"/>
    <n v="100"/>
  </r>
  <r>
    <s v="12"/>
    <x v="3"/>
    <s v="  0709 02500210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090"/>
    <s v="Расходы на подготовку и проведение государственной итоговой аттестации по образовательным программам основного общего и среднего обще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0202.099999999999"/>
    <n v="20202.099999999999"/>
    <n v="3374.0673999999999"/>
    <n v="0"/>
    <n v="100"/>
  </r>
  <r>
    <s v="12"/>
    <x v="3"/>
    <s v="  0709 02500211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190"/>
    <s v="Расходы на ремонт и оснащение спортивных сооружений (стадионов) государственных 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4012.1"/>
    <n v="44011.3"/>
    <n v="16366.2258"/>
    <n v="0.8"/>
    <n v="100"/>
  </r>
  <r>
    <s v="12"/>
    <x v="3"/>
    <s v="  0709 02500R050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R0500"/>
    <s v="Расходы на ежемесячное денежное вознаграждение советникам директоров по воспитанию и взаимодействию с детскими общественными объединениями государственных общеобразовательных организаций, профессиональных образовательных организац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142.5"/>
    <n v="1142.5"/>
    <n v="285.7"/>
    <n v="0"/>
    <n v="100"/>
  </r>
  <r>
    <s v="12"/>
    <x v="3"/>
    <s v="  0709 1750078650 612"/>
    <s v="0709"/>
    <s v="Образование"/>
    <s v="09"/>
    <s v="Другие вопросы в области образования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500"/>
    <n v="47.3"/>
    <n v="0"/>
    <n v="100"/>
  </r>
  <r>
    <s v="12"/>
    <x v="3"/>
    <s v="  0801 085007008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80"/>
    <s v="Субсидии бюджетным 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55235.1"/>
    <n v="255235.1"/>
    <n v="38106.790200000003"/>
    <n v="0"/>
    <n v="100"/>
  </r>
  <r>
    <s v="12"/>
    <x v="3"/>
    <s v="  0801 085007009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90"/>
    <s v="Субсидии бюджетным 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6322.7"/>
    <n v="86322.7"/>
    <n v="9924.9822999999997"/>
    <n v="0"/>
    <n v="100"/>
  </r>
  <r>
    <s v="12"/>
    <x v="3"/>
    <s v="  0801 08500701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170"/>
    <s v="Субсидии бюджетным 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92973.8"/>
    <n v="192973.8"/>
    <n v="35091.415399999998"/>
    <n v="0"/>
    <n v="100"/>
  </r>
  <r>
    <s v="12"/>
    <x v="3"/>
    <s v="  0801 08500702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270"/>
    <s v="Субсидии бюджетным 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5843.100000000006"/>
    <n v="75843.100000000006"/>
    <n v="12987.343800000001"/>
    <n v="0"/>
    <n v="100"/>
  </r>
  <r>
    <s v="12"/>
    <x v="3"/>
    <s v="  0801 0850070470 244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14867.8"/>
    <n v="14867.58"/>
    <n v="10352.963599999999"/>
    <n v="0.22"/>
    <n v="100"/>
  </r>
  <r>
    <s v="12"/>
    <x v="3"/>
    <s v="  0801 085007047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612"/>
    <s v="Субсидии бюджетным учреждениям на иные цели"/>
    <s v="Администрация Кировского района Санкт-Петербурга"/>
    <s v="7805059546"/>
    <n v="3639.8"/>
    <n v="3639.8"/>
    <n v="1.9E-3"/>
    <n v="0"/>
    <n v="100"/>
  </r>
  <r>
    <s v="12"/>
    <x v="3"/>
    <s v="  0801 085007096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40101.9"/>
    <n v="40101.9"/>
    <n v="1101.9853000000001"/>
    <n v="0"/>
    <n v="100"/>
  </r>
  <r>
    <s v="12"/>
    <x v="3"/>
    <s v="  0801 085007161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712.6"/>
    <n v="712.6"/>
    <n v="6.1600000000000002E-2"/>
    <n v="0"/>
    <n v="100"/>
  </r>
  <r>
    <s v="12"/>
    <x v="3"/>
    <s v="  0801 085007164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40"/>
    <s v="Расходы на мероприятия по модернизации общедоступных библиотек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0745.7"/>
    <n v="30745.7"/>
    <n v="2132.1453999999999"/>
    <n v="0"/>
    <n v="100"/>
  </r>
  <r>
    <s v="12"/>
    <x v="3"/>
    <s v="  0804 0850070060 244"/>
    <s v="0804"/>
    <s v="Культура, кинематография"/>
    <s v="04"/>
    <s v="Другие вопросы в области культуры, кинематографии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60"/>
    <s v="Расходы на содержание и ремонт памятников ансамбля «Зеленый пояс Славы»"/>
    <s v="244"/>
    <s v="Прочая закупка товаров, работ и услуг"/>
    <s v="Администрация Кировского района Санкт-Петербурга"/>
    <s v="7805059546"/>
    <n v="4036.5"/>
    <n v="3958.6545000000001"/>
    <n v="3958.6545000000001"/>
    <n v="77.845500000000001"/>
    <n v="98"/>
  </r>
  <r>
    <s v="12"/>
    <x v="3"/>
    <s v="  0804 0850071320 612"/>
    <s v="0804"/>
    <s v="Культура, кинематография"/>
    <s v="04"/>
    <s v="Другие вопросы в области культуры, кинематографии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1522.6"/>
    <n v="11522.6"/>
    <n v="8461.2803999999996"/>
    <n v="0"/>
    <n v="100"/>
  </r>
  <r>
    <s v="12"/>
    <x v="3"/>
    <s v="  0902 0150010080 611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08050.9"/>
    <n v="608050.9"/>
    <n v="132138.6072"/>
    <n v="0"/>
    <n v="100"/>
  </r>
  <r>
    <s v="12"/>
    <x v="3"/>
    <s v="  0902 0150010080 614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4438.7"/>
    <n v="4438.7"/>
    <n v="1137.1650999999999"/>
    <n v="0"/>
    <n v="100"/>
  </r>
  <r>
    <s v="12"/>
    <x v="3"/>
    <s v="  0909 011N953652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N9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78118.399999999994"/>
    <n v="78118.276500000007"/>
    <n v="0"/>
    <n v="0.1235"/>
    <n v="100"/>
  </r>
  <r>
    <s v="12"/>
    <x v="3"/>
    <s v="  0909 011P3546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P3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50.1"/>
    <n v="50.1"/>
    <n v="0"/>
    <n v="0"/>
    <n v="100"/>
  </r>
  <r>
    <s v="12"/>
    <x v="3"/>
    <s v="  0909 01500100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20"/>
    <s v="Расходы на профилактику инфекционных заболеваний, включая иммунопрофилактику"/>
    <s v="612"/>
    <s v="Субсидии бюджетным учреждениям на иные цели"/>
    <s v="Администрация Кировского района Санкт-Петербурга"/>
    <s v="7805059546"/>
    <n v="48923.9"/>
    <n v="48923.9"/>
    <n v="7577.0425999999998"/>
    <n v="0"/>
    <n v="100"/>
  </r>
  <r>
    <s v="12"/>
    <x v="3"/>
    <s v="  0909 0150010100 244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36.200000000000003"/>
    <n v="36.159500000000001"/>
    <n v="0"/>
    <n v="4.0500000000000001E-2"/>
    <n v="100"/>
  </r>
  <r>
    <s v="12"/>
    <x v="3"/>
    <s v="  0909 01500105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08423.5"/>
    <n v="108423.5"/>
    <n v="84311.863500000007"/>
    <n v="0"/>
    <n v="100"/>
  </r>
  <r>
    <s v="12"/>
    <x v="3"/>
    <s v="  0909 015001054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40"/>
    <s v="Расходы на прочие мероприятия в области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560.79999999999995"/>
    <n v="560.79999999999995"/>
    <n v="560.79999999999995"/>
    <n v="0"/>
    <n v="100"/>
  </r>
  <r>
    <s v="12"/>
    <x v="3"/>
    <s v="  0909 015001057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70"/>
    <s v="Расходы на приобретение оборудования дл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4675.5"/>
    <n v="14675.5"/>
    <n v="1015.5"/>
    <n v="0"/>
    <n v="100"/>
  </r>
  <r>
    <s v="12"/>
    <x v="3"/>
    <s v="  0909 015001083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30"/>
    <s v="Расходы на капитальный ремонт и замену лифтового оборудовани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8310"/>
    <n v="8310"/>
    <n v="2.64E-2"/>
    <n v="0"/>
    <n v="100"/>
  </r>
  <r>
    <s v="12"/>
    <x v="3"/>
    <s v="  0909 01500108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80"/>
    <s v="Субсидии государственным учреждениям здравоохранения на оказание экстренной медицинской помощи иностранным гражданам и гражданам не идентифицированным и не застрахованным в системе ОМС при заболеваниях, включенных в базовую программу ОМС"/>
    <s v="612"/>
    <s v="Субсидии бюджетным учреждениям на иные цели"/>
    <s v="Администрация Кировского района Санкт-Петербурга"/>
    <s v="7805059546"/>
    <n v="2903.1"/>
    <n v="2903.1"/>
    <n v="1022.601"/>
    <n v="0"/>
    <n v="100"/>
  </r>
  <r>
    <s v="12"/>
    <x v="3"/>
    <s v="  0909 015001100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43694.2"/>
    <n v="43694.2"/>
    <n v="14704.996300000001"/>
    <n v="0"/>
    <n v="100"/>
  </r>
  <r>
    <s v="12"/>
    <x v="3"/>
    <s v="  0909 015001101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10"/>
    <s v="Субсидии государственным учреждениям здравоохранения Санкт-Петербурга в целях поддержания высокого уровня оказания медицинской помощи и усиления кадрового потенциала в государственных учреждениях здравоохранения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57020.9"/>
    <n v="357020.9"/>
    <n v="162932.465"/>
    <n v="0"/>
    <n v="100"/>
  </r>
  <r>
    <s v="12"/>
    <x v="3"/>
    <s v="  1002 035004046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926.9"/>
    <n v="183926.9"/>
    <n v="17613.890800000001"/>
    <n v="0"/>
    <n v="100"/>
  </r>
  <r>
    <s v="12"/>
    <x v="3"/>
    <s v="  1002 035004046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8481"/>
    <n v="18481"/>
    <n v="3572.6601999999998"/>
    <n v="0"/>
    <n v="100"/>
  </r>
  <r>
    <s v="12"/>
    <x v="3"/>
    <s v="  1002 035004048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15"/>
    <n v="415"/>
    <n v="415"/>
    <n v="0"/>
    <n v="100"/>
  </r>
  <r>
    <s v="12"/>
    <x v="3"/>
    <s v="  1002 035004048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11005.4"/>
    <n v="111005.4"/>
    <n v="7809.7241000000004"/>
    <n v="0"/>
    <n v="100"/>
  </r>
  <r>
    <s v="12"/>
    <x v="3"/>
    <s v="  1002 0350040530 612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9825.9"/>
    <n v="9825.9"/>
    <n v="9825.9"/>
    <n v="0"/>
    <n v="100"/>
  </r>
  <r>
    <s v="12"/>
    <x v="3"/>
    <s v="  1002 035004063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0240.5"/>
    <n v="10240.5"/>
    <n v="431.3"/>
    <n v="0"/>
    <n v="100"/>
  </r>
  <r>
    <s v="12"/>
    <x v="3"/>
    <s v="  1002 035004063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459406.8"/>
    <n v="459406.8"/>
    <n v="46306.5939"/>
    <n v="0"/>
    <n v="100"/>
  </r>
  <r>
    <s v="12"/>
    <x v="3"/>
    <s v="  1002 035004064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013.5"/>
    <n v="1013.5"/>
    <n v="1013.5"/>
    <n v="0"/>
    <n v="100"/>
  </r>
  <r>
    <s v="12"/>
    <x v="3"/>
    <s v="  1002 035004064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583.8"/>
    <n v="51583.8"/>
    <n v="5039.5075999999999"/>
    <n v="0"/>
    <n v="100"/>
  </r>
  <r>
    <s v="12"/>
    <x v="3"/>
    <s v="  1003 0350040240 612"/>
    <s v="1003"/>
    <s v="Социальная политика"/>
    <s v="03"/>
    <s v="Социальное обеспече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8948.800000000003"/>
    <n v="48922.671000000002"/>
    <n v="3237.6015000000002"/>
    <n v="26.129000000000001"/>
    <n v="100"/>
  </r>
  <r>
    <s v="12"/>
    <x v="3"/>
    <s v="  1004 0350040990 611"/>
    <s v="1004"/>
    <s v="Социальная политика"/>
    <s v="04"/>
    <s v="Охрана семьи и детства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990"/>
    <s v="Расходы на выплату компенсации части родительской платы за содержание ребенка в государственных или муниципальных образовательных учреждениях, реализующих общеобразовательную программу дошкольного образов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359.3"/>
    <n v="32359.3"/>
    <n v="12209.8948"/>
    <n v="0"/>
    <n v="100"/>
  </r>
  <r>
    <s v="12"/>
    <x v="3"/>
    <s v="  1004 0950083620 323"/>
    <s v="1004"/>
    <s v="Социальная политика"/>
    <s v="04"/>
    <s v="Охрана семьи и дет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620"/>
    <s v="Расходы на предоставление дополнительной меры социальной поддержки по оборудованию предметами первой необходимости жилых помещений специализированного жилищного фонда, предоставляемых детям-сиротам и детям, оставшимся без попечения родителей, лицам из их"/>
    <s v="323"/>
    <s v="Приобретение товаров, работ, услуг в пользу граждан в целях их социального обеспечения"/>
    <s v="Администрация Кировского района Санкт-Петербурга"/>
    <s v="7805059546"/>
    <n v="846.5"/>
    <n v="758.12599999999998"/>
    <n v="758.12599999999998"/>
    <n v="88.373999999999995"/>
    <n v="90"/>
  </r>
  <r>
    <s v="12"/>
    <x v="3"/>
    <s v="  1101 041P545060 612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60"/>
    <s v="Расходы на проектирование, ремонт и оснащение оборудованием внутридворовых спортивных площадок для занятий физической культурой и спортом населения"/>
    <s v="612"/>
    <s v="Субсидии бюджетным учреждениям на иные цели"/>
    <s v="Администрация Кировского района Санкт-Петербурга"/>
    <s v="7805059546"/>
    <n v="9879.5"/>
    <n v="9879.5"/>
    <n v="671.43589999999995"/>
    <n v="0"/>
    <n v="100"/>
  </r>
  <r>
    <s v="12"/>
    <x v="3"/>
    <s v="  1101 0450045020 611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125.7"/>
    <n v="183125.7"/>
    <n v="26935.089400000001"/>
    <n v="0"/>
    <n v="100"/>
  </r>
  <r>
    <s v="12"/>
    <x v="3"/>
    <s v="  1102 041P545010 612"/>
    <s v="1102"/>
    <s v="Физическая культура и спорт"/>
    <s v="02"/>
    <s v="Массовый спорт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545.6"/>
    <n v="3545.6"/>
    <n v="663.96180000000004"/>
    <n v="0"/>
    <n v="100"/>
  </r>
  <r>
    <s v="12"/>
    <x v="3"/>
    <s v="  1103 0450045090 611"/>
    <s v="1103"/>
    <s v="Физическая культура и спорт"/>
    <s v="03"/>
    <s v="Спорт высших достижений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4843.3"/>
    <n v="324843.3"/>
    <n v="27841.555100000001"/>
    <n v="0"/>
    <n v="100"/>
  </r>
  <r>
    <s v="2"/>
    <x v="4"/>
    <s v="  0103 9950000060 244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3772.6"/>
    <n v="0"/>
    <n v="0"/>
    <n v="3772.6"/>
    <n v="0"/>
  </r>
  <r>
    <s v="2"/>
    <x v="4"/>
    <s v="  0103 9950000060 247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8.3000000000000007"/>
    <n v="0"/>
    <n v="0"/>
    <n v="8.3000000000000007"/>
    <n v="0"/>
  </r>
  <r>
    <s v="2"/>
    <x v="4"/>
    <s v="  0113 0650090100 530"/>
    <s v="0113"/>
    <s v="Общегосударственные вопросы"/>
    <s v="13"/>
    <s v="Другие общегосударственные вопросы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4.400000000000006"/>
    <n v="0"/>
    <n v="0"/>
    <n v="64.400000000000006"/>
    <n v="0"/>
  </r>
  <r>
    <s v="2"/>
    <x v="4"/>
    <s v="  0113 1650099220 244"/>
    <s v="0113"/>
    <s v="Общегосударственные вопросы"/>
    <s v="13"/>
    <s v="Другие общегосударственные вопросы"/>
    <s v="16"/>
    <s v="Экономическое и социальное развитие территорий Санкт-Петербурга"/>
    <s v="165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208.2"/>
    <n v="9.1999999999999993"/>
    <n v="9.1999999999999993"/>
    <n v="199"/>
    <n v="4"/>
  </r>
  <r>
    <s v="2"/>
    <x v="4"/>
    <s v="  0113 1750098720 244"/>
    <s v="0113"/>
    <s v="Общегосударственные вопросы"/>
    <s v="13"/>
    <s v="Другие общегосударственные вопросы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67.9"/>
    <n v="0"/>
    <n v="0"/>
    <n v="567.9"/>
    <n v="0"/>
  </r>
  <r>
    <s v="2"/>
    <x v="4"/>
    <s v="  0113 9950000090 1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246128.1"/>
    <n v="40925.040000000001"/>
    <n v="18788.981599999999"/>
    <n v="205203.06"/>
    <n v="17"/>
  </r>
  <r>
    <s v="2"/>
    <x v="4"/>
    <s v="  0113 9950000090 12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40.5"/>
    <n v="22.827999999999999"/>
    <n v="2.165"/>
    <n v="117.672"/>
    <n v="16"/>
  </r>
  <r>
    <s v="2"/>
    <x v="4"/>
    <s v="  0113 9950000090 12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73941.2"/>
    <n v="5489.5043999999998"/>
    <n v="5412.9290000000001"/>
    <n v="68451.695600000006"/>
    <n v="7"/>
  </r>
  <r>
    <s v="2"/>
    <x v="4"/>
    <s v="  0113 9950000090 24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0"/>
    <n v="0"/>
    <n v="300"/>
    <n v="0"/>
  </r>
  <r>
    <s v="2"/>
    <x v="4"/>
    <s v="  0113 9950000090 243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18097.3"/>
    <n v="0"/>
    <n v="0"/>
    <n v="18097.3"/>
    <n v="0"/>
  </r>
  <r>
    <s v="2"/>
    <x v="4"/>
    <s v="  0113 995000009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93368.1"/>
    <n v="2114.9297000000001"/>
    <n v="1710.739"/>
    <n v="91253.170299999998"/>
    <n v="2"/>
  </r>
  <r>
    <s v="2"/>
    <x v="4"/>
    <s v="  0113 9950000090 247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160.9"/>
    <n v="2864.2764000000002"/>
    <n v="982.44809999999995"/>
    <n v="13296.623600000001"/>
    <n v="18"/>
  </r>
  <r>
    <s v="2"/>
    <x v="4"/>
    <s v="  0113 9950000320 1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181743.4"/>
    <n v="27545.2451"/>
    <n v="17330.525000000001"/>
    <n v="154198.15489999999"/>
    <n v="15"/>
  </r>
  <r>
    <s v="2"/>
    <x v="4"/>
    <s v="  0113 9950000320 11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54700.4"/>
    <n v="5725.6437999999998"/>
    <n v="3573.6522"/>
    <n v="48974.756200000003"/>
    <n v="10"/>
  </r>
  <r>
    <s v="2"/>
    <x v="4"/>
    <s v="  0113 995000032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2625.5"/>
    <n v="837.32889999999998"/>
    <n v="836.19809999999995"/>
    <n v="1788.1711"/>
    <n v="32"/>
  </r>
  <r>
    <s v="2"/>
    <x v="4"/>
    <s v="  0113 9950000320 85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0.47589999999999999"/>
    <n v="0"/>
    <n v="3.2241"/>
    <n v="13"/>
  </r>
  <r>
    <s v="2"/>
    <x v="4"/>
    <s v="  0113 9950000530 6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0925.600000000006"/>
    <n v="9108.6"/>
    <n v="6050.0201999999999"/>
    <n v="61817"/>
    <n v="13"/>
  </r>
  <r>
    <s v="2"/>
    <x v="4"/>
    <s v="  0113 995000148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6627.5"/>
    <n v="251.1336"/>
    <n v="251.1336"/>
    <n v="6376.3663999999999"/>
    <n v="4"/>
  </r>
  <r>
    <s v="2"/>
    <x v="4"/>
    <s v="  0309 0650090880 244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4082.8"/>
    <n v="0"/>
    <n v="0"/>
    <n v="4082.8"/>
    <n v="0"/>
  </r>
  <r>
    <s v="2"/>
    <x v="4"/>
    <s v="  0309 0650090880 247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778.7"/>
    <n v="0"/>
    <n v="0"/>
    <n v="778.7"/>
    <n v="0"/>
  </r>
  <r>
    <s v="2"/>
    <x v="4"/>
    <s v="  0309 0650090880 851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5312.2"/>
    <n v="1212.2782"/>
    <n v="1212.2782"/>
    <n v="4099.9218000000001"/>
    <n v="23"/>
  </r>
  <r>
    <s v="2"/>
    <x v="4"/>
    <s v="  0309 0650090880 853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3"/>
    <s v="Уплата иных платежей"/>
    <s v="Администрация Кировского района Санкт-Петербурга"/>
    <s v="7805059546"/>
    <n v="1748.2"/>
    <n v="317.84449999999998"/>
    <n v="317.84449999999998"/>
    <n v="1430.3554999999999"/>
    <n v="18"/>
  </r>
  <r>
    <s v="2"/>
    <x v="4"/>
    <s v="  0314 0650090690 244"/>
    <s v="0314"/>
    <s v="Национальная безопасность и правоохранительная деятельность"/>
    <s v="14"/>
    <s v="Другие вопросы в области национальной безопасности и правоохранительной деятельности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2.1"/>
    <n v="0"/>
    <n v="0"/>
    <n v="22.1"/>
    <n v="0"/>
  </r>
  <r>
    <s v="2"/>
    <x v="4"/>
    <s v="  0410 0650090810 612"/>
    <s v="0410"/>
    <s v="Национальная экономика"/>
    <s v="10"/>
    <s v="Связь и информатик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612"/>
    <s v="Субсидии бюджетным учреждениям на иные цели"/>
    <s v="Администрация Кировского района Санкт-Петербурга"/>
    <s v="7805059546"/>
    <n v="32862.199999999997"/>
    <n v="0"/>
    <n v="0"/>
    <n v="32862.199999999997"/>
    <n v="0"/>
  </r>
  <r>
    <s v="2"/>
    <x v="4"/>
    <s v="  0410 9950096170 242"/>
    <s v="0410"/>
    <s v="Национальная экономика"/>
    <s v="10"/>
    <s v="Связь и информатика"/>
    <s v="99"/>
    <s v="Непрограммные расходы"/>
    <s v="995"/>
    <s v="5"/>
    <s v="Процессная часть перечня мероприятий государственной программы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5402.8"/>
    <n v="1388.6061"/>
    <n v="1331.9248"/>
    <n v="4014.1939000000002"/>
    <n v="26"/>
  </r>
  <r>
    <s v="2"/>
    <x v="4"/>
    <s v="  0501 09500833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247.5"/>
    <n v="0"/>
    <n v="0"/>
    <n v="5247.5"/>
    <n v="0"/>
  </r>
  <r>
    <s v="2"/>
    <x v="4"/>
    <s v="  0501 095008347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58301.1"/>
    <n v="0"/>
    <n v="0"/>
    <n v="58301.1"/>
    <n v="0"/>
  </r>
  <r>
    <s v="2"/>
    <x v="4"/>
    <s v="  0501 09500834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1465.6"/>
    <n v="0"/>
    <n v="0"/>
    <n v="1465.6"/>
    <n v="0"/>
  </r>
  <r>
    <s v="2"/>
    <x v="4"/>
    <s v="  0501 095008348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105638.8"/>
    <n v="22238.394100000001"/>
    <n v="15966.7745"/>
    <n v="83400.405899999998"/>
    <n v="21"/>
  </r>
  <r>
    <s v="2"/>
    <x v="4"/>
    <s v="  0501 095008349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24678"/>
    <n v="31.9129"/>
    <n v="31.9129"/>
    <n v="24646.087100000001"/>
    <n v="0"/>
  </r>
  <r>
    <s v="2"/>
    <x v="4"/>
    <s v="  0501 0950083490 247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6321.4"/>
    <n v="0"/>
    <n v="0"/>
    <n v="6321.4"/>
    <n v="0"/>
  </r>
  <r>
    <s v="2"/>
    <x v="4"/>
    <s v="  0501 095008349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785.7"/>
    <n v="1117.9674"/>
    <n v="745.48159999999996"/>
    <n v="3667.7325999999998"/>
    <n v="23"/>
  </r>
  <r>
    <s v="2"/>
    <x v="4"/>
    <s v="  0503 105008791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244"/>
    <s v="Прочая закупка товаров, работ и услуг"/>
    <s v="Администрация Кировского района Санкт-Петербурга"/>
    <s v="7805059546"/>
    <n v="1500"/>
    <n v="0"/>
    <n v="0"/>
    <n v="1500"/>
    <n v="0"/>
  </r>
  <r>
    <s v="2"/>
    <x v="4"/>
    <s v="  0503 105008793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52619.7"/>
    <n v="0"/>
    <n v="0"/>
    <n v="52619.7"/>
    <n v="0"/>
  </r>
  <r>
    <s v="2"/>
    <x v="4"/>
    <s v="  0503 105008827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244"/>
    <s v="Прочая закупка товаров, работ и услуг"/>
    <s v="Администрация Кировского района Санкт-Петербурга"/>
    <s v="7805059546"/>
    <n v="152084.6"/>
    <n v="0"/>
    <n v="0"/>
    <n v="152084.6"/>
    <n v="0"/>
  </r>
  <r>
    <s v="2"/>
    <x v="4"/>
    <s v="  0503 105008827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853"/>
    <s v="Уплата иных платежей"/>
    <s v="Администрация Кировского района Санкт-Петербурга"/>
    <s v="7805059546"/>
    <n v="142.80000000000001"/>
    <n v="142.80000000000001"/>
    <n v="142.80000000000001"/>
    <n v="0"/>
    <n v="100"/>
  </r>
  <r>
    <s v="2"/>
    <x v="4"/>
    <s v="  0505 0950083140 11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484074.8"/>
    <n v="70749.790299999993"/>
    <n v="37709.626199999999"/>
    <n v="413325.0097"/>
    <n v="15"/>
  </r>
  <r>
    <s v="2"/>
    <x v="4"/>
    <s v="  0505 0950083140 119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45129.20000000001"/>
    <n v="21015.764599999999"/>
    <n v="11716.674999999999"/>
    <n v="124113.4354"/>
    <n v="14"/>
  </r>
  <r>
    <s v="2"/>
    <x v="4"/>
    <s v="  0505 095008314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06296.5"/>
    <n v="4380.7551999999996"/>
    <n v="4364.9144999999999"/>
    <n v="101915.7448"/>
    <n v="4"/>
  </r>
  <r>
    <s v="2"/>
    <x v="4"/>
    <s v="  0505 0950083140 247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5728.8"/>
    <n v="122.4178"/>
    <n v="122.4178"/>
    <n v="5606.3822"/>
    <n v="2"/>
  </r>
  <r>
    <s v="2"/>
    <x v="4"/>
    <s v="  0505 0950083140 85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454.5"/>
    <n v="0"/>
    <n v="0"/>
    <n v="1454.5"/>
    <n v="0"/>
  </r>
  <r>
    <s v="2"/>
    <x v="4"/>
    <s v="  0505 0950083140 852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675.8"/>
    <n v="49.140999999999998"/>
    <n v="41.140999999999998"/>
    <n v="626.65899999999999"/>
    <n v="7"/>
  </r>
  <r>
    <s v="2"/>
    <x v="4"/>
    <s v="  0505 095008345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50"/>
    <s v="Расходы на проведение мероприятий по созданию условий доступности для инвалидов и иных маломобильных групп населения"/>
    <s v="244"/>
    <s v="Прочая закупка товаров, работ и услуг"/>
    <s v="Администрация Кировского района Санкт-Петербурга"/>
    <s v="7805059546"/>
    <n v="3157.5"/>
    <n v="0"/>
    <n v="0"/>
    <n v="3157.5"/>
    <n v="0"/>
  </r>
  <r>
    <s v="2"/>
    <x v="4"/>
    <s v="  0701 0250020010 611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988386"/>
    <n v="652531.71799999999"/>
    <n v="370538.83429999999"/>
    <n v="4335854.2819999997"/>
    <n v="13"/>
  </r>
  <r>
    <s v="2"/>
    <x v="4"/>
    <s v="  0701 025002094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9473.1"/>
    <n v="0"/>
    <n v="0"/>
    <n v="29473.1"/>
    <n v="0"/>
  </r>
  <r>
    <s v="2"/>
    <x v="4"/>
    <s v="  0701 025002145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4664.6"/>
    <n v="0"/>
    <n v="0"/>
    <n v="34664.6"/>
    <n v="0"/>
  </r>
  <r>
    <s v="2"/>
    <x v="4"/>
    <s v="  0702 021EВ5179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21148"/>
    <n v="3524.6387"/>
    <n v="3524.6387"/>
    <n v="17623.3613"/>
    <n v="17"/>
  </r>
  <r>
    <s v="2"/>
    <x v="4"/>
    <s v="  0702 021EВ5786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7860"/>
    <s v="Расходы на обеспечение оснащения государственных общеобразовательных организаций, в том числе структурных подразделений указанных организаций, государственными символами Российской Федерации"/>
    <s v="612"/>
    <s v="Субсидии бюджетным учреждениям на иные цели"/>
    <s v="Администрация Кировского района Санкт-Петербурга"/>
    <s v="7805059546"/>
    <n v="1977.2"/>
    <n v="0"/>
    <n v="0"/>
    <n v="1977.2"/>
    <n v="0"/>
  </r>
  <r>
    <s v="2"/>
    <x v="4"/>
    <s v="  0702 025002003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853107.2"/>
    <n v="705256.5638"/>
    <n v="395099.95309999998"/>
    <n v="4147850.6362000001"/>
    <n v="15"/>
  </r>
  <r>
    <s v="2"/>
    <x v="4"/>
    <s v="  0702 025002006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68859"/>
    <n v="16746.845300000001"/>
    <n v="11147.9202"/>
    <n v="152112.15470000001"/>
    <n v="10"/>
  </r>
  <r>
    <s v="2"/>
    <x v="4"/>
    <s v="  0702 025002007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1930.899999999994"/>
    <n v="12704.3784"/>
    <n v="7487.5190000000002"/>
    <n v="69226.521599999993"/>
    <n v="16"/>
  </r>
  <r>
    <s v="2"/>
    <x v="4"/>
    <s v="  0702 0250020080 63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80"/>
    <s v="Субсидии частным образовательным организациям для реализации основных общеобразовательных программ"/>
    <s v="631"/>
    <s v="Субсидии на возмещение недополученных доходов и (или) возмещение фактически понесенных затрат"/>
    <s v="Администрация Кировского района Санкт-Петербурга"/>
    <s v="7805059546"/>
    <n v="1102.9000000000001"/>
    <n v="0"/>
    <n v="0"/>
    <n v="1102.9000000000001"/>
    <n v="0"/>
  </r>
  <r>
    <s v="2"/>
    <x v="4"/>
    <s v="  0702 025002011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10"/>
    <s v="Расходы на оснащение базовых общеобразовательных организаций современными средствами обучения и воспитания с целью повышения качества общего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20000"/>
    <n v="0"/>
    <n v="0"/>
    <n v="20000"/>
    <n v="0"/>
  </r>
  <r>
    <s v="2"/>
    <x v="4"/>
    <s v="  0702 025002068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80"/>
    <s v="Расходы на приобретение оборудования и инвентаря для вводимых после капитального ремонта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8490.7000000000007"/>
    <n v="0"/>
    <n v="0"/>
    <n v="8490.7000000000007"/>
    <n v="0"/>
  </r>
  <r>
    <s v="2"/>
    <x v="4"/>
    <s v="  0702 025002094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27820.2"/>
    <n v="0"/>
    <n v="0"/>
    <n v="127820.2"/>
    <n v="0"/>
  </r>
  <r>
    <s v="2"/>
    <x v="4"/>
    <s v="  0702 025002145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8422.3"/>
    <n v="0"/>
    <n v="0"/>
    <n v="28422.3"/>
    <n v="0"/>
  </r>
  <r>
    <s v="2"/>
    <x v="4"/>
    <s v="  0702 025002146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60"/>
    <s v="Расходы на реализацию мероприятий проекта по вовлечению учащихся в развитие школьной инфраструктуры"/>
    <s v="612"/>
    <s v="Субсидии бюджетным учреждениям на иные цели"/>
    <s v="Администрация Кировского района Санкт-Петербурга"/>
    <s v="7805059546"/>
    <n v="2923.6"/>
    <n v="0"/>
    <n v="0"/>
    <n v="2923.6"/>
    <n v="0"/>
  </r>
  <r>
    <s v="2"/>
    <x v="4"/>
    <s v="  0702 025005303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104515.5"/>
    <n v="17419.2"/>
    <n v="17419.2"/>
    <n v="87096.3"/>
    <n v="17"/>
  </r>
  <r>
    <s v="2"/>
    <x v="4"/>
    <s v="  0702 035004065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261384"/>
    <n v="28257.7628"/>
    <n v="27829.4254"/>
    <n v="233126.2372"/>
    <n v="11"/>
  </r>
  <r>
    <s v="2"/>
    <x v="4"/>
    <s v="  0702 03500R304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79288"/>
    <n v="35857.436800000003"/>
    <n v="35857.436800000003"/>
    <n v="143430.5632"/>
    <n v="20"/>
  </r>
  <r>
    <s v="2"/>
    <x v="4"/>
    <s v="  0703 0250020300 611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53526.6"/>
    <n v="37257.109900000003"/>
    <n v="20637.822499999998"/>
    <n v="216269.4901"/>
    <n v="15"/>
  </r>
  <r>
    <s v="2"/>
    <x v="4"/>
    <s v="  0703 0250021580 816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580"/>
    <s v="Расходы на реализацию системы персонифицированного учета детей, осваивающих дополнительные образовательные программы (за исключением дополнительных предпрофессиональных программ в области искусств)"/>
    <s v="816"/>
    <s v="Субсидии в целях финансового обеспечения (возмещения)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0"/>
    <n v="0"/>
    <n v="0"/>
    <n v="100"/>
    <n v="0"/>
  </r>
  <r>
    <s v="2"/>
    <x v="4"/>
    <s v="  0705 0250020620 612"/>
    <s v="0705"/>
    <s v="Образование"/>
    <s v="05"/>
    <s v="Профессиональная подготовка, переподготовка и повышение квалификации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20"/>
    <s v="Расходы на обеспечение непрерывного и планомерного повышения квалификации руководящих и педагогических работников"/>
    <s v="612"/>
    <s v="Субсидии бюджетным учреждениям на иные цели"/>
    <s v="Администрация Кировского района Санкт-Петербурга"/>
    <s v="7805059546"/>
    <n v="1003.3"/>
    <n v="0"/>
    <n v="0"/>
    <n v="1003.3"/>
    <n v="0"/>
  </r>
  <r>
    <s v="2"/>
    <x v="4"/>
    <s v="  0707 1750078010 611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24582.9"/>
    <n v="19480.817899999998"/>
    <n v="15171.924999999999"/>
    <n v="205102.0821"/>
    <n v="9"/>
  </r>
  <r>
    <s v="2"/>
    <x v="4"/>
    <s v="  0707 17500785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9320.5"/>
    <n v="0"/>
    <n v="0"/>
    <n v="9320.5"/>
    <n v="0"/>
  </r>
  <r>
    <s v="2"/>
    <x v="4"/>
    <s v="  0707 175007945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648.3"/>
    <n v="0"/>
    <n v="0"/>
    <n v="1648.3"/>
    <n v="0"/>
  </r>
  <r>
    <s v="2"/>
    <x v="4"/>
    <s v="  0707 17500794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12658.4"/>
    <n v="0"/>
    <n v="0"/>
    <n v="12658.4"/>
    <n v="0"/>
  </r>
  <r>
    <s v="2"/>
    <x v="4"/>
    <s v="  0709 021E45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5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3914.4"/>
    <n v="0"/>
    <n v="0"/>
    <n v="13914.4"/>
    <n v="0"/>
  </r>
  <r>
    <s v="2"/>
    <x v="4"/>
    <s v="  0709 021E4Д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Д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9077.8"/>
    <n v="0"/>
    <n v="0"/>
    <n v="19077.8"/>
    <n v="0"/>
  </r>
  <r>
    <s v="2"/>
    <x v="4"/>
    <s v="  0709 025002010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642.6"/>
    <n v="0"/>
    <n v="0"/>
    <n v="1642.6"/>
    <n v="0"/>
  </r>
  <r>
    <s v="2"/>
    <x v="4"/>
    <s v="  0709 0250020370 244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2351.4"/>
    <n v="0"/>
    <n v="0"/>
    <n v="92351.4"/>
    <n v="0"/>
  </r>
  <r>
    <s v="2"/>
    <x v="4"/>
    <s v="  0709 025002037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4681.8"/>
    <n v="0"/>
    <n v="0"/>
    <n v="14681.8"/>
    <n v="0"/>
  </r>
  <r>
    <s v="2"/>
    <x v="4"/>
    <s v="  0709 025002043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3320.4"/>
    <n v="5780.5797000000002"/>
    <n v="3508.5837999999999"/>
    <n v="37539.820299999999"/>
    <n v="13"/>
  </r>
  <r>
    <s v="2"/>
    <x v="4"/>
    <s v="  0709 025002044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9928.7"/>
    <n v="9051.9904000000006"/>
    <n v="5077.7816000000003"/>
    <n v="50876.709600000002"/>
    <n v="15"/>
  </r>
  <r>
    <s v="2"/>
    <x v="4"/>
    <s v="  0709 02500205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590"/>
    <s v="Субсидии на организацию проведения культурно-познавательной программы для обучающихся 9-х и 10-х классов государственных общеобразовательных организаций «Театральный урок в Мариинском театре»"/>
    <s v="612"/>
    <s v="Субсидии бюджетным учреждениям на иные цели"/>
    <s v="Администрация Кировского района Санкт-Петербурга"/>
    <s v="7805059546"/>
    <n v="7028.9"/>
    <n v="1022.4"/>
    <n v="1022.4"/>
    <n v="6006.5"/>
    <n v="15"/>
  </r>
  <r>
    <s v="2"/>
    <x v="4"/>
    <s v="  0709 02500210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090"/>
    <s v="Расходы на подготовку и проведение государственной итоговой аттестации по образовательным программам основного общего и среднего обще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9787.3"/>
    <n v="0"/>
    <n v="0"/>
    <n v="19787.3"/>
    <n v="0"/>
  </r>
  <r>
    <s v="2"/>
    <x v="4"/>
    <s v="  0709 02500211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190"/>
    <s v="Расходы на ремонт и оснащение спортивных сооружений (стадионов) государственных 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4012.1"/>
    <n v="0"/>
    <n v="0"/>
    <n v="44012.1"/>
    <n v="0"/>
  </r>
  <r>
    <s v="2"/>
    <x v="4"/>
    <s v="  0709 1750078650 612"/>
    <s v="0709"/>
    <s v="Образование"/>
    <s v="09"/>
    <s v="Другие вопросы в области образования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0"/>
    <n v="0"/>
    <n v="500"/>
    <n v="0"/>
  </r>
  <r>
    <s v="2"/>
    <x v="4"/>
    <s v="  0801 085007008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80"/>
    <s v="Субсидии бюджетным 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32056"/>
    <n v="41655.2255"/>
    <n v="27620.124100000001"/>
    <n v="190400.7745"/>
    <n v="18"/>
  </r>
  <r>
    <s v="2"/>
    <x v="4"/>
    <s v="  0801 085007009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90"/>
    <s v="Субсидии бюджетным 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6322.7"/>
    <n v="8778.5200999999997"/>
    <n v="6163.0635000000002"/>
    <n v="77544.179900000003"/>
    <n v="10"/>
  </r>
  <r>
    <s v="2"/>
    <x v="4"/>
    <s v="  0801 08500701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170"/>
    <s v="Субсидии бюджетным 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92328.9"/>
    <n v="25489.874100000001"/>
    <n v="16076.099200000001"/>
    <n v="166839.02590000001"/>
    <n v="13"/>
  </r>
  <r>
    <s v="2"/>
    <x v="4"/>
    <s v="  0801 08500702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270"/>
    <s v="Субсидии бюджетным 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3563"/>
    <n v="9704.3811000000005"/>
    <n v="6324.2451000000001"/>
    <n v="63858.618900000001"/>
    <n v="13"/>
  </r>
  <r>
    <s v="2"/>
    <x v="4"/>
    <s v="  0801 0850070470 244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8508.2999999999993"/>
    <n v="0"/>
    <n v="0"/>
    <n v="8508.2999999999993"/>
    <n v="0"/>
  </r>
  <r>
    <s v="2"/>
    <x v="4"/>
    <s v="  0801 085007047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612"/>
    <s v="Субсидии бюджетным учреждениям на иные цели"/>
    <s v="Администрация Кировского района Санкт-Петербурга"/>
    <s v="7805059546"/>
    <n v="3002.4"/>
    <n v="0"/>
    <n v="0"/>
    <n v="3002.4"/>
    <n v="0"/>
  </r>
  <r>
    <s v="2"/>
    <x v="4"/>
    <s v="  0801 085007096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40101.9"/>
    <n v="0"/>
    <n v="0"/>
    <n v="40101.9"/>
    <n v="0"/>
  </r>
  <r>
    <s v="2"/>
    <x v="4"/>
    <s v="  0801 085007161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712.6"/>
    <n v="0"/>
    <n v="0"/>
    <n v="712.6"/>
    <n v="0"/>
  </r>
  <r>
    <s v="2"/>
    <x v="4"/>
    <s v="  0801 085007164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40"/>
    <s v="Расходы на мероприятия по модернизации общедоступных библиотек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0745.7"/>
    <n v="0"/>
    <n v="0"/>
    <n v="30745.7"/>
    <n v="0"/>
  </r>
  <r>
    <s v="2"/>
    <x v="4"/>
    <s v="  0804 0850071320 612"/>
    <s v="0804"/>
    <s v="Культура, кинематография"/>
    <s v="04"/>
    <s v="Другие вопросы в области культуры, кинематографии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2448.4"/>
    <n v="3061.3195999999998"/>
    <n v="3061.3195999999998"/>
    <n v="9387.0804000000007"/>
    <n v="25"/>
  </r>
  <r>
    <s v="2"/>
    <x v="4"/>
    <s v="  0902 0150010080 611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07335"/>
    <n v="59818.211000000003"/>
    <n v="45321.276599999997"/>
    <n v="547516.78899999999"/>
    <n v="10"/>
  </r>
  <r>
    <s v="2"/>
    <x v="4"/>
    <s v="  0902 0150010080 614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54.6000000000004"/>
    <n v="360.53250000000003"/>
    <n v="289.48599999999999"/>
    <n v="4794.0675000000001"/>
    <n v="7"/>
  </r>
  <r>
    <s v="2"/>
    <x v="4"/>
    <s v="  0909 011N953652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N9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79182.8"/>
    <n v="68566.592399999994"/>
    <n v="68566.592399999994"/>
    <n v="10616.2076"/>
    <n v="87"/>
  </r>
  <r>
    <s v="2"/>
    <x v="4"/>
    <s v="  0909 011P3546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P3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50.1"/>
    <n v="0"/>
    <n v="0"/>
    <n v="50.1"/>
    <n v="0"/>
  </r>
  <r>
    <s v="2"/>
    <x v="4"/>
    <s v="  0909 01500100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20"/>
    <s v="Расходы на профилактику инфекционных заболеваний, включая иммунопрофилактику"/>
    <s v="612"/>
    <s v="Субсидии бюджетным учреждениям на иные цели"/>
    <s v="Администрация Кировского района Санкт-Петербурга"/>
    <s v="7805059546"/>
    <n v="35585.699999999997"/>
    <n v="0"/>
    <n v="0"/>
    <n v="35585.699999999997"/>
    <n v="0"/>
  </r>
  <r>
    <s v="2"/>
    <x v="4"/>
    <s v="  0909 0150010100 244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46.1"/>
    <n v="0"/>
    <n v="0"/>
    <n v="46.1"/>
    <n v="0"/>
  </r>
  <r>
    <s v="2"/>
    <x v="4"/>
    <s v="  0909 01500105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98282.8"/>
    <n v="0"/>
    <n v="0"/>
    <n v="98282.8"/>
    <n v="0"/>
  </r>
  <r>
    <s v="2"/>
    <x v="4"/>
    <s v="  0909 015001065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650"/>
    <s v="Расходы на приобретение немонтируемого оборудования и инвентаря для оснащения вводных объектов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00"/>
    <n v="0"/>
    <n v="0"/>
    <n v="100"/>
    <n v="0"/>
  </r>
  <r>
    <s v="2"/>
    <x v="4"/>
    <s v="  0909 015001083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30"/>
    <s v="Расходы на капитальный ремонт и замену лифтового оборудовани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5384.9"/>
    <n v="0"/>
    <n v="0"/>
    <n v="15384.9"/>
    <n v="0"/>
  </r>
  <r>
    <s v="2"/>
    <x v="4"/>
    <s v="  0909 01500108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80"/>
    <s v="Субсидии государственным учреждениям здравоохранения на оказание экстренной медицинской помощи иностранным гражданам и гражданам не идентифицированным и не застрахованным в системе ОМС при заболеваниях, включенных в базовую программу ОМС"/>
    <s v="612"/>
    <s v="Субсидии бюджетным учреждениям на иные цели"/>
    <s v="Администрация Кировского района Санкт-Петербурга"/>
    <s v="7805059546"/>
    <n v="2903.1"/>
    <n v="0"/>
    <n v="0"/>
    <n v="2903.1"/>
    <n v="0"/>
  </r>
  <r>
    <s v="2"/>
    <x v="4"/>
    <s v="  0909 015001100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34143.9"/>
    <n v="2895.4992000000002"/>
    <n v="2895.4992000000002"/>
    <n v="31248.400799999999"/>
    <n v="8"/>
  </r>
  <r>
    <s v="2"/>
    <x v="4"/>
    <s v="  1002 035004046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1890.3"/>
    <n v="28166.3"/>
    <n v="15491.475"/>
    <n v="153724"/>
    <n v="15"/>
  </r>
  <r>
    <s v="2"/>
    <x v="4"/>
    <s v="  1002 035004046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8356.2"/>
    <n v="2200.6974"/>
    <n v="1254.2224000000001"/>
    <n v="16155.5026"/>
    <n v="12"/>
  </r>
  <r>
    <s v="2"/>
    <x v="4"/>
    <s v="  1002 035004048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9296.5"/>
    <n v="20103.070899999999"/>
    <n v="12362.3166"/>
    <n v="89193.429099999994"/>
    <n v="18"/>
  </r>
  <r>
    <s v="2"/>
    <x v="4"/>
    <s v="  1002 0350040530 612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10386"/>
    <n v="0"/>
    <n v="0"/>
    <n v="10386"/>
    <n v="0"/>
  </r>
  <r>
    <s v="2"/>
    <x v="4"/>
    <s v="  1002 035004063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2844.7"/>
    <n v="1809.3429000000001"/>
    <n v="966.94780000000003"/>
    <n v="11035.357099999999"/>
    <n v="14"/>
  </r>
  <r>
    <s v="2"/>
    <x v="4"/>
    <s v="  1002 035004063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443478.3"/>
    <n v="74056.525899999993"/>
    <n v="37001.414299999997"/>
    <n v="369421.77409999998"/>
    <n v="17"/>
  </r>
  <r>
    <s v="2"/>
    <x v="4"/>
    <s v="  1002 035004064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058.7"/>
    <n v="8530.0550000000003"/>
    <n v="4045.9272000000001"/>
    <n v="42528.644999999997"/>
    <n v="17"/>
  </r>
  <r>
    <s v="2"/>
    <x v="4"/>
    <s v="  1003 0350040240 612"/>
    <s v="1003"/>
    <s v="Социальная политика"/>
    <s v="03"/>
    <s v="Социальное обеспече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8948.800000000003"/>
    <n v="1321.7375"/>
    <n v="1321.7375"/>
    <n v="47627.0625"/>
    <n v="3"/>
  </r>
  <r>
    <s v="2"/>
    <x v="4"/>
    <s v="  1004 0350040990 611"/>
    <s v="1004"/>
    <s v="Социальная политика"/>
    <s v="04"/>
    <s v="Охрана семьи и детства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990"/>
    <s v="Расходы на выплату компенсации части родительской платы за содержание ребенка в государственных или муниципальных образовательных учреждениях, реализующих общеобразовательную программу дошкольного образов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359.3"/>
    <n v="260"/>
    <n v="0"/>
    <n v="32099.3"/>
    <n v="1"/>
  </r>
  <r>
    <s v="2"/>
    <x v="4"/>
    <s v="  1101 041P545060 612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60"/>
    <s v="Расходы на проектирование, ремонт и оснащение оборудованием внутридворовых спортивных площадок для занятий физической культурой и спортом населения"/>
    <s v="612"/>
    <s v="Субсидии бюджетным учреждениям на иные цели"/>
    <s v="Администрация Кировского района Санкт-Петербурга"/>
    <s v="7805059546"/>
    <n v="9879.5"/>
    <n v="0"/>
    <n v="0"/>
    <n v="9879.5"/>
    <n v="0"/>
  </r>
  <r>
    <s v="2"/>
    <x v="4"/>
    <s v="  1101 0450045020 611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125.7"/>
    <n v="30321.824700000001"/>
    <n v="15621.766100000001"/>
    <n v="152803.87530000001"/>
    <n v="17"/>
  </r>
  <r>
    <s v="2"/>
    <x v="4"/>
    <s v="  1102 041P545010 612"/>
    <s v="1102"/>
    <s v="Физическая культура и спорт"/>
    <s v="02"/>
    <s v="Массовый спорт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545.6"/>
    <n v="0"/>
    <n v="0"/>
    <n v="3545.6"/>
    <n v="0"/>
  </r>
  <r>
    <s v="2"/>
    <x v="4"/>
    <s v="  1103 0450045090 611"/>
    <s v="1103"/>
    <s v="Физическая культура и спорт"/>
    <s v="03"/>
    <s v="Спорт высших достижений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5200.09999999998"/>
    <n v="47663.330800000003"/>
    <n v="29598.226299999998"/>
    <n v="277536.76919999998"/>
    <n v="15"/>
  </r>
  <r>
    <s v="3"/>
    <x v="5"/>
    <s v="  0103 9950000060 244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3772.6"/>
    <n v="0"/>
    <n v="0"/>
    <n v="3772.6"/>
    <n v="0"/>
  </r>
  <r>
    <s v="3"/>
    <x v="5"/>
    <s v="  0103 9950000060 247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8.3000000000000007"/>
    <n v="0"/>
    <n v="0"/>
    <n v="8.3000000000000007"/>
    <n v="0"/>
  </r>
  <r>
    <s v="3"/>
    <x v="5"/>
    <s v="  0113 0650090100 530"/>
    <s v="0113"/>
    <s v="Общегосударственные вопросы"/>
    <s v="13"/>
    <s v="Другие общегосударственные вопросы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4.400000000000006"/>
    <n v="0"/>
    <n v="0"/>
    <n v="64.400000000000006"/>
    <n v="0"/>
  </r>
  <r>
    <s v="3"/>
    <x v="5"/>
    <s v="  0113 1650099220 244"/>
    <s v="0113"/>
    <s v="Общегосударственные вопросы"/>
    <s v="13"/>
    <s v="Другие общегосударственные вопросы"/>
    <s v="16"/>
    <s v="Экономическое и социальное развитие территорий Санкт-Петербурга"/>
    <s v="165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208.2"/>
    <n v="29.3"/>
    <n v="20.100000000000001"/>
    <n v="178.9"/>
    <n v="14"/>
  </r>
  <r>
    <s v="3"/>
    <x v="5"/>
    <s v="  0113 1750098720 244"/>
    <s v="0113"/>
    <s v="Общегосударственные вопросы"/>
    <s v="13"/>
    <s v="Другие общегосударственные вопросы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67.9"/>
    <n v="0"/>
    <n v="0"/>
    <n v="567.9"/>
    <n v="0"/>
  </r>
  <r>
    <s v="3"/>
    <x v="5"/>
    <s v="  0113 9950000090 1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246128.1"/>
    <n v="68577.834900000002"/>
    <n v="27652.794900000001"/>
    <n v="177550.26509999999"/>
    <n v="28"/>
  </r>
  <r>
    <s v="3"/>
    <x v="5"/>
    <s v="  0113 9950000090 12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40.5"/>
    <n v="29.449000000000002"/>
    <n v="6.6210000000000004"/>
    <n v="111.051"/>
    <n v="21"/>
  </r>
  <r>
    <s v="3"/>
    <x v="5"/>
    <s v="  0113 9950000090 12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73941.2"/>
    <n v="10698.413699999999"/>
    <n v="5208.9093000000003"/>
    <n v="63242.7863"/>
    <n v="14"/>
  </r>
  <r>
    <s v="3"/>
    <x v="5"/>
    <s v="  0113 9950000090 24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0"/>
    <n v="0"/>
    <n v="300"/>
    <n v="0"/>
  </r>
  <r>
    <s v="3"/>
    <x v="5"/>
    <s v="  0113 9950000090 243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16354.3"/>
    <n v="0"/>
    <n v="0"/>
    <n v="16354.3"/>
    <n v="0"/>
  </r>
  <r>
    <s v="3"/>
    <x v="5"/>
    <s v="  0113 995000009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95111.1"/>
    <n v="4252.0698000000002"/>
    <n v="2137.1401000000001"/>
    <n v="90859.030199999994"/>
    <n v="4"/>
  </r>
  <r>
    <s v="3"/>
    <x v="5"/>
    <s v="  0113 9950000090 247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160.9"/>
    <n v="4761.4795999999997"/>
    <n v="1897.2031999999999"/>
    <n v="11399.420400000001"/>
    <n v="29"/>
  </r>
  <r>
    <s v="3"/>
    <x v="5"/>
    <s v="  0113 9950000320 1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181743.4"/>
    <n v="41472.531199999998"/>
    <n v="13927.286099999999"/>
    <n v="140270.8688"/>
    <n v="23"/>
  </r>
  <r>
    <s v="3"/>
    <x v="5"/>
    <s v="  0113 9950000320 11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54698.400000000001"/>
    <n v="10242.047500000001"/>
    <n v="4516.4036999999998"/>
    <n v="44456.352500000001"/>
    <n v="19"/>
  </r>
  <r>
    <s v="3"/>
    <x v="5"/>
    <s v="  0113 995000032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2625.5"/>
    <n v="962.14850000000001"/>
    <n v="124.81959999999999"/>
    <n v="1663.3515"/>
    <n v="37"/>
  </r>
  <r>
    <s v="3"/>
    <x v="5"/>
    <s v="  0113 9950000320 3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321"/>
    <s v="Пособия, компенсации и иные социальные выплаты_x000a_гражданам, кроме публичных нормативных обязательств"/>
    <s v="Администрация Кировского района Санкт-Петербурга"/>
    <s v="7805059546"/>
    <n v="2"/>
    <n v="1.9904999999999999"/>
    <n v="1.9904999999999999"/>
    <n v="9.4999999999999998E-3"/>
    <n v="100"/>
  </r>
  <r>
    <s v="3"/>
    <x v="5"/>
    <s v="  0113 9950000320 85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0.47589999999999999"/>
    <n v="0"/>
    <n v="3.2241"/>
    <n v="13"/>
  </r>
  <r>
    <s v="3"/>
    <x v="5"/>
    <s v="  0113 9950000530 6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0925.600000000006"/>
    <n v="14608.6"/>
    <n v="5500"/>
    <n v="56317"/>
    <n v="21"/>
  </r>
  <r>
    <s v="3"/>
    <x v="5"/>
    <s v="  0113 995000148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6362.8"/>
    <n v="536.76199999999994"/>
    <n v="285.6284"/>
    <n v="5826.0379999999996"/>
    <n v="8"/>
  </r>
  <r>
    <s v="3"/>
    <x v="5"/>
    <s v="  0309 0650090880 244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4082.8"/>
    <n v="0"/>
    <n v="0"/>
    <n v="4082.8"/>
    <n v="0"/>
  </r>
  <r>
    <s v="3"/>
    <x v="5"/>
    <s v="  0309 0650090880 247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778.7"/>
    <n v="110.6816"/>
    <n v="110.6816"/>
    <n v="668.01840000000004"/>
    <n v="14"/>
  </r>
  <r>
    <s v="3"/>
    <x v="5"/>
    <s v="  0309 0650090880 851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5312.2"/>
    <n v="2714.5491999999999"/>
    <n v="1502.271"/>
    <n v="2597.6507999999999"/>
    <n v="51"/>
  </r>
  <r>
    <s v="3"/>
    <x v="5"/>
    <s v="  0309 0650090880 853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3"/>
    <s v="Уплата иных платежей"/>
    <s v="Администрация Кировского района Санкт-Петербурга"/>
    <s v="7805059546"/>
    <n v="1748.2"/>
    <n v="476.76670000000001"/>
    <n v="158.9222"/>
    <n v="1271.4332999999999"/>
    <n v="27"/>
  </r>
  <r>
    <s v="3"/>
    <x v="5"/>
    <s v="  0314 0650090690 244"/>
    <s v="0314"/>
    <s v="Национальная безопасность и правоохранительная деятельность"/>
    <s v="14"/>
    <s v="Другие вопросы в области национальной безопасности и правоохранительной деятельности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2.1"/>
    <n v="0"/>
    <n v="0"/>
    <n v="22.1"/>
    <n v="0"/>
  </r>
  <r>
    <s v="3"/>
    <x v="5"/>
    <s v="  0410 0650090810 612"/>
    <s v="0410"/>
    <s v="Национальная экономика"/>
    <s v="10"/>
    <s v="Связь и информатик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612"/>
    <s v="Субсидии бюджетным учреждениям на иные цели"/>
    <s v="Администрация Кировского района Санкт-Петербурга"/>
    <s v="7805059546"/>
    <n v="32862.199999999997"/>
    <n v="0"/>
    <n v="0"/>
    <n v="32862.199999999997"/>
    <n v="0"/>
  </r>
  <r>
    <s v="3"/>
    <x v="5"/>
    <s v="  0410 9950096170 242"/>
    <s v="0410"/>
    <s v="Национальная экономика"/>
    <s v="10"/>
    <s v="Связь и информатика"/>
    <s v="99"/>
    <s v="Непрограммные расходы"/>
    <s v="995"/>
    <s v="5"/>
    <s v="Процессная часть перечня мероприятий государственной программы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5402.8"/>
    <n v="1388.6061"/>
    <n v="0"/>
    <n v="4014.1939000000002"/>
    <n v="26"/>
  </r>
  <r>
    <s v="3"/>
    <x v="5"/>
    <s v="  0501 09500833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247.5"/>
    <n v="0"/>
    <n v="0"/>
    <n v="5247.5"/>
    <n v="0"/>
  </r>
  <r>
    <s v="3"/>
    <x v="5"/>
    <s v="  0501 095008347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58395.199999999997"/>
    <n v="0"/>
    <n v="0"/>
    <n v="58395.199999999997"/>
    <n v="0"/>
  </r>
  <r>
    <s v="3"/>
    <x v="5"/>
    <s v="  0501 09500834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1465.6"/>
    <n v="48.814900000000002"/>
    <n v="48.814900000000002"/>
    <n v="1416.7851000000001"/>
    <n v="3"/>
  </r>
  <r>
    <s v="3"/>
    <x v="5"/>
    <s v="  0501 095008348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105638.8"/>
    <n v="30733.2186"/>
    <n v="8494.8245000000006"/>
    <n v="74905.581399999995"/>
    <n v="29"/>
  </r>
  <r>
    <s v="3"/>
    <x v="5"/>
    <s v="  0501 095008349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24583.9"/>
    <n v="360.12139999999999"/>
    <n v="328.20850000000002"/>
    <n v="24223.778600000001"/>
    <n v="1"/>
  </r>
  <r>
    <s v="3"/>
    <x v="5"/>
    <s v="  0501 0950083490 247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6321.4"/>
    <n v="0"/>
    <n v="0"/>
    <n v="6321.4"/>
    <n v="0"/>
  </r>
  <r>
    <s v="3"/>
    <x v="5"/>
    <s v="  0501 095008349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785.7"/>
    <n v="1490.7082"/>
    <n v="372.74079999999998"/>
    <n v="3294.9917999999998"/>
    <n v="31"/>
  </r>
  <r>
    <s v="3"/>
    <x v="5"/>
    <s v="  0503 105008791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244"/>
    <s v="Прочая закупка товаров, работ и услуг"/>
    <s v="Администрация Кировского района Санкт-Петербурга"/>
    <s v="7805059546"/>
    <n v="1249.3"/>
    <n v="0"/>
    <n v="0"/>
    <n v="1249.3"/>
    <n v="0"/>
  </r>
  <r>
    <s v="3"/>
    <x v="5"/>
    <s v="  0503 105008791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853"/>
    <s v="Уплата иных платежей"/>
    <s v="Администрация Кировского района Санкт-Петербурга"/>
    <s v="7805059546"/>
    <n v="250.7"/>
    <n v="250.65"/>
    <n v="250.65"/>
    <n v="0.05"/>
    <n v="100"/>
  </r>
  <r>
    <s v="3"/>
    <x v="5"/>
    <s v="  0503 105008793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52212.9"/>
    <n v="2153.4225999999999"/>
    <n v="2153.4225999999999"/>
    <n v="50059.477400000003"/>
    <n v="4"/>
  </r>
  <r>
    <s v="3"/>
    <x v="5"/>
    <s v="  0503 105008793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853"/>
    <s v="Уплата иных платежей"/>
    <s v="Администрация Кировского района Санкт-Петербурга"/>
    <s v="7805059546"/>
    <n v="406.8"/>
    <n v="406.8"/>
    <n v="406.8"/>
    <n v="0"/>
    <n v="100"/>
  </r>
  <r>
    <s v="3"/>
    <x v="5"/>
    <s v="  0503 105008827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244"/>
    <s v="Прочая закупка товаров, работ и услуг"/>
    <s v="Администрация Кировского района Санкт-Петербурга"/>
    <s v="7805059546"/>
    <n v="152084.6"/>
    <n v="583"/>
    <n v="583"/>
    <n v="151501.6"/>
    <n v="0"/>
  </r>
  <r>
    <s v="3"/>
    <x v="5"/>
    <s v="  0503 105008827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853"/>
    <s v="Уплата иных платежей"/>
    <s v="Администрация Кировского района Санкт-Петербурга"/>
    <s v="7805059546"/>
    <n v="142.80000000000001"/>
    <n v="142.80000000000001"/>
    <n v="0"/>
    <n v="0"/>
    <n v="100"/>
  </r>
  <r>
    <s v="3"/>
    <x v="5"/>
    <s v="  0505 0950083140 11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484074.8"/>
    <n v="120528.34390000001"/>
    <n v="49778.553599999999"/>
    <n v="363546.45610000001"/>
    <n v="25"/>
  </r>
  <r>
    <s v="3"/>
    <x v="5"/>
    <s v="  0505 0950083140 119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45129.20000000001"/>
    <n v="39773.577599999997"/>
    <n v="18757.812999999998"/>
    <n v="105355.62239999999"/>
    <n v="27"/>
  </r>
  <r>
    <s v="3"/>
    <x v="5"/>
    <s v="  0505 095008314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06296.5"/>
    <n v="14262.549499999999"/>
    <n v="9881.7942999999996"/>
    <n v="92033.950500000006"/>
    <n v="13"/>
  </r>
  <r>
    <s v="3"/>
    <x v="5"/>
    <s v="  0505 0950083140 247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5728.8"/>
    <n v="330.55079999999998"/>
    <n v="208.13300000000001"/>
    <n v="5398.2492000000002"/>
    <n v="6"/>
  </r>
  <r>
    <s v="3"/>
    <x v="5"/>
    <s v="  0505 0950083140 83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264.7"/>
    <n v="260.87279999999998"/>
    <n v="260.87279999999998"/>
    <n v="3.8271999999999999"/>
    <n v="99"/>
  </r>
  <r>
    <s v="3"/>
    <x v="5"/>
    <s v="  0505 0950083140 85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454.5"/>
    <n v="45.942"/>
    <n v="45.942"/>
    <n v="1408.558"/>
    <n v="3"/>
  </r>
  <r>
    <s v="3"/>
    <x v="5"/>
    <s v="  0505 0950083140 852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675.8"/>
    <n v="133.74"/>
    <n v="84.599000000000004"/>
    <n v="542.05999999999995"/>
    <n v="20"/>
  </r>
  <r>
    <s v="3"/>
    <x v="5"/>
    <s v="  0505 095008345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50"/>
    <s v="Расходы на проведение мероприятий по созданию условий доступности для инвалидов и иных маломобильных групп населения"/>
    <s v="244"/>
    <s v="Прочая закупка товаров, работ и услуг"/>
    <s v="Администрация Кировского района Санкт-Петербурга"/>
    <s v="7805059546"/>
    <n v="3157.5"/>
    <n v="0"/>
    <n v="0"/>
    <n v="3157.5"/>
    <n v="0"/>
  </r>
  <r>
    <s v="3"/>
    <x v="5"/>
    <s v="  0701 0250020010 611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988386"/>
    <n v="1036380.0371"/>
    <n v="383848.31910000002"/>
    <n v="3952005.9629000002"/>
    <n v="21"/>
  </r>
  <r>
    <s v="3"/>
    <x v="5"/>
    <s v="  0701 025002094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9473.1"/>
    <n v="0"/>
    <n v="0"/>
    <n v="29473.1"/>
    <n v="0"/>
  </r>
  <r>
    <s v="3"/>
    <x v="5"/>
    <s v="  0701 025002145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4664.6"/>
    <n v="0"/>
    <n v="0"/>
    <n v="34664.6"/>
    <n v="0"/>
  </r>
  <r>
    <s v="3"/>
    <x v="5"/>
    <s v="  0702 021EВ5179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21148"/>
    <n v="5286.9404999999997"/>
    <n v="1762.3018"/>
    <n v="15861.059499999999"/>
    <n v="25"/>
  </r>
  <r>
    <s v="3"/>
    <x v="5"/>
    <s v="  0702 021EВ5786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7860"/>
    <s v="Расходы на обеспечение оснащения государственных общеобразовательных организаций, в том числе структурных подразделений указанных организаций, государственными символами Российской Федерации"/>
    <s v="612"/>
    <s v="Субсидии бюджетным учреждениям на иные цели"/>
    <s v="Администрация Кировского района Санкт-Петербурга"/>
    <s v="7805059546"/>
    <n v="1977.2"/>
    <n v="0"/>
    <n v="0"/>
    <n v="1977.2"/>
    <n v="0"/>
  </r>
  <r>
    <s v="3"/>
    <x v="5"/>
    <s v="  0702 025002003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853107.2"/>
    <n v="1099750.4853999999"/>
    <n v="394493.9216"/>
    <n v="3753356.7146000001"/>
    <n v="23"/>
  </r>
  <r>
    <s v="3"/>
    <x v="5"/>
    <s v="  0702 025002006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68859"/>
    <n v="30058.396799999999"/>
    <n v="13311.5515"/>
    <n v="138800.60320000001"/>
    <n v="18"/>
  </r>
  <r>
    <s v="3"/>
    <x v="5"/>
    <s v="  0702 025002007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1930.899999999994"/>
    <n v="18202.752199999999"/>
    <n v="5498.3738000000003"/>
    <n v="63728.147799999999"/>
    <n v="22"/>
  </r>
  <r>
    <s v="3"/>
    <x v="5"/>
    <s v="  0702 0250020080 63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80"/>
    <s v="Субсидии частным образовательным организациям для реализации основных общеобразовательных программ"/>
    <s v="631"/>
    <s v="Субсидии на возмещение недополученных доходов и (или) возмещение фактически понесенных затрат"/>
    <s v="Администрация Кировского района Санкт-Петербурга"/>
    <s v="7805059546"/>
    <n v="1102.9000000000001"/>
    <n v="0"/>
    <n v="0"/>
    <n v="1102.9000000000001"/>
    <n v="0"/>
  </r>
  <r>
    <s v="3"/>
    <x v="5"/>
    <s v="  0702 025002009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90"/>
    <s v="Расходы на обеспечение книгами и учебными изданиями для комплектования библиотек государственных обще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55795.7"/>
    <n v="0"/>
    <n v="0"/>
    <n v="55795.7"/>
    <n v="0"/>
  </r>
  <r>
    <s v="3"/>
    <x v="5"/>
    <s v="  0702 025002011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10"/>
    <s v="Расходы на оснащение базовых общеобразовательных организаций современными средствами обучения и воспитания с целью повышения качества общего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20000"/>
    <n v="0"/>
    <n v="0"/>
    <n v="20000"/>
    <n v="0"/>
  </r>
  <r>
    <s v="3"/>
    <x v="5"/>
    <s v="  0702 025002068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80"/>
    <s v="Расходы на приобретение оборудования и инвентаря для вводимых после капитального ремонта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8490.7000000000007"/>
    <n v="0"/>
    <n v="0"/>
    <n v="8490.7000000000007"/>
    <n v="0"/>
  </r>
  <r>
    <s v="3"/>
    <x v="5"/>
    <s v="  0702 025002094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27820.2"/>
    <n v="0"/>
    <n v="0"/>
    <n v="127820.2"/>
    <n v="0"/>
  </r>
  <r>
    <s v="3"/>
    <x v="5"/>
    <s v="  0702 025002145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8422.3"/>
    <n v="0"/>
    <n v="0"/>
    <n v="28422.3"/>
    <n v="0"/>
  </r>
  <r>
    <s v="3"/>
    <x v="5"/>
    <s v="  0702 025002146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60"/>
    <s v="Расходы на реализацию мероприятий проекта по вовлечению учащихся в развитие школьной инфраструктуры"/>
    <s v="612"/>
    <s v="Субсидии бюджетным учреждениям на иные цели"/>
    <s v="Администрация Кировского района Санкт-Петербурга"/>
    <s v="7805059546"/>
    <n v="2923.6"/>
    <n v="0"/>
    <n v="0"/>
    <n v="2923.6"/>
    <n v="0"/>
  </r>
  <r>
    <s v="3"/>
    <x v="5"/>
    <s v="  0702 025005303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104515.5"/>
    <n v="25439.52"/>
    <n v="8020.32"/>
    <n v="79075.98"/>
    <n v="24"/>
  </r>
  <r>
    <s v="3"/>
    <x v="5"/>
    <s v="  0702 035004065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261384"/>
    <n v="83344.210399999996"/>
    <n v="55086.4476"/>
    <n v="178039.78959999999"/>
    <n v="32"/>
  </r>
  <r>
    <s v="3"/>
    <x v="5"/>
    <s v="  0702 03500R304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79288"/>
    <n v="53786.155200000001"/>
    <n v="17928.718400000002"/>
    <n v="125501.84480000001"/>
    <n v="30"/>
  </r>
  <r>
    <s v="3"/>
    <x v="5"/>
    <s v="  0703 0250020300 611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53526.6"/>
    <n v="59438.582699999999"/>
    <n v="22181.4728"/>
    <n v="194088.01730000001"/>
    <n v="23"/>
  </r>
  <r>
    <s v="3"/>
    <x v="5"/>
    <s v="  0703 0250021580 816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580"/>
    <s v="Расходы на реализацию системы персонифицированного учета детей, осваивающих дополнительные образовательные программы (за исключением дополнительных предпрофессиональных программ в области искусств)"/>
    <s v="816"/>
    <s v="Субсидии в целях финансового обеспечения (возмещения)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0"/>
    <n v="0"/>
    <n v="0"/>
    <n v="100"/>
    <n v="0"/>
  </r>
  <r>
    <s v="3"/>
    <x v="5"/>
    <s v="  0705 0250020620 612"/>
    <s v="0705"/>
    <s v="Образование"/>
    <s v="05"/>
    <s v="Профессиональная подготовка, переподготовка и повышение квалификации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20"/>
    <s v="Расходы на обеспечение непрерывного и планомерного повышения квалификации руководящих и педагогических работников"/>
    <s v="612"/>
    <s v="Субсидии бюджетным учреждениям на иные цели"/>
    <s v="Администрация Кировского района Санкт-Петербурга"/>
    <s v="7805059546"/>
    <n v="1003.3"/>
    <n v="0"/>
    <n v="0"/>
    <n v="1003.3"/>
    <n v="0"/>
  </r>
  <r>
    <s v="3"/>
    <x v="5"/>
    <s v="  0707 1750078010 611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24582.9"/>
    <n v="33684.952700000002"/>
    <n v="14204.1348"/>
    <n v="190897.9473"/>
    <n v="15"/>
  </r>
  <r>
    <s v="3"/>
    <x v="5"/>
    <s v="  0707 17500785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9320.5"/>
    <n v="0"/>
    <n v="0"/>
    <n v="9320.5"/>
    <n v="0"/>
  </r>
  <r>
    <s v="3"/>
    <x v="5"/>
    <s v="  0707 175007945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648.3"/>
    <n v="0"/>
    <n v="0"/>
    <n v="1648.3"/>
    <n v="0"/>
  </r>
  <r>
    <s v="3"/>
    <x v="5"/>
    <s v="  0707 17500794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12658.4"/>
    <n v="0"/>
    <n v="0"/>
    <n v="12658.4"/>
    <n v="0"/>
  </r>
  <r>
    <s v="3"/>
    <x v="5"/>
    <s v="  0709 021E45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5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3914.4"/>
    <n v="0"/>
    <n v="0"/>
    <n v="13914.4"/>
    <n v="0"/>
  </r>
  <r>
    <s v="3"/>
    <x v="5"/>
    <s v="  0709 021E4Д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Д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9077.8"/>
    <n v="15.018000000000001"/>
    <n v="15.018000000000001"/>
    <n v="19062.781999999999"/>
    <n v="0"/>
  </r>
  <r>
    <s v="3"/>
    <x v="5"/>
    <s v="  0709 025002010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642.6"/>
    <n v="0"/>
    <n v="0"/>
    <n v="1642.6"/>
    <n v="0"/>
  </r>
  <r>
    <s v="3"/>
    <x v="5"/>
    <s v="  0709 0250020370 244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2351.4"/>
    <n v="0"/>
    <n v="0"/>
    <n v="92351.4"/>
    <n v="0"/>
  </r>
  <r>
    <s v="3"/>
    <x v="5"/>
    <s v="  0709 025002037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4681.8"/>
    <n v="0"/>
    <n v="0"/>
    <n v="14681.8"/>
    <n v="0"/>
  </r>
  <r>
    <s v="3"/>
    <x v="5"/>
    <s v="  0709 025002043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3320.4"/>
    <n v="9343.5409"/>
    <n v="3562.9612000000002"/>
    <n v="33976.859100000001"/>
    <n v="22"/>
  </r>
  <r>
    <s v="3"/>
    <x v="5"/>
    <s v="  0709 025002044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9928.7"/>
    <n v="13707.0411"/>
    <n v="4655.0506999999998"/>
    <n v="46221.658900000002"/>
    <n v="23"/>
  </r>
  <r>
    <s v="3"/>
    <x v="5"/>
    <s v="  0709 02500205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590"/>
    <s v="Субсидии на организацию проведения культурно-познавательной программы для обучающихся 9-х и 10-х классов государственных общеобразовательных организаций «Театральный урок в Мариинском театре»"/>
    <s v="612"/>
    <s v="Субсидии бюджетным учреждениям на иные цели"/>
    <s v="Администрация Кировского района Санкт-Петербурга"/>
    <s v="7805059546"/>
    <n v="7028.9"/>
    <n v="2601.6"/>
    <n v="1579.2"/>
    <n v="4427.3"/>
    <n v="37"/>
  </r>
  <r>
    <s v="3"/>
    <x v="5"/>
    <s v="  0709 02500210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090"/>
    <s v="Расходы на подготовку и проведение государственной итоговой аттестации по образовательным программам основного общего и среднего обще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9787.3"/>
    <n v="0"/>
    <n v="0"/>
    <n v="19787.3"/>
    <n v="0"/>
  </r>
  <r>
    <s v="3"/>
    <x v="5"/>
    <s v="  0709 02500211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190"/>
    <s v="Расходы на ремонт и оснащение спортивных сооружений (стадионов) государственных 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4012.1"/>
    <n v="0"/>
    <n v="0"/>
    <n v="44012.1"/>
    <n v="0"/>
  </r>
  <r>
    <s v="3"/>
    <x v="5"/>
    <s v="  0709 1750078650 612"/>
    <s v="0709"/>
    <s v="Образование"/>
    <s v="09"/>
    <s v="Другие вопросы в области образования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0"/>
    <n v="0"/>
    <n v="500"/>
    <n v="0"/>
  </r>
  <r>
    <s v="3"/>
    <x v="5"/>
    <s v="  0801 085007008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80"/>
    <s v="Субсидии бюджетным 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32056"/>
    <n v="61367.197399999997"/>
    <n v="19711.9719"/>
    <n v="170688.8026"/>
    <n v="26"/>
  </r>
  <r>
    <s v="3"/>
    <x v="5"/>
    <s v="  0801 085007009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90"/>
    <s v="Субсидии бюджетным 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6322.7"/>
    <n v="18852.323499999999"/>
    <n v="10073.803400000001"/>
    <n v="67470.376499999998"/>
    <n v="22"/>
  </r>
  <r>
    <s v="3"/>
    <x v="5"/>
    <s v="  0801 08500701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170"/>
    <s v="Субсидии бюджетным 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92328.9"/>
    <n v="42467.092400000001"/>
    <n v="16977.2183"/>
    <n v="149861.8076"/>
    <n v="22"/>
  </r>
  <r>
    <s v="3"/>
    <x v="5"/>
    <s v="  0801 08500702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270"/>
    <s v="Субсидии бюджетным 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3563"/>
    <n v="17695.6054"/>
    <n v="7991.2242999999999"/>
    <n v="55867.3946"/>
    <n v="24"/>
  </r>
  <r>
    <s v="3"/>
    <x v="5"/>
    <s v="  0801 0850070470 244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8508.2999999999993"/>
    <n v="1460"/>
    <n v="1460"/>
    <n v="7048.3"/>
    <n v="17"/>
  </r>
  <r>
    <s v="3"/>
    <x v="5"/>
    <s v="  0801 085007047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612"/>
    <s v="Субсидии бюджетным учреждениям на иные цели"/>
    <s v="Администрация Кировского района Санкт-Петербурга"/>
    <s v="7805059546"/>
    <n v="3002.4"/>
    <n v="0"/>
    <n v="0"/>
    <n v="3002.4"/>
    <n v="0"/>
  </r>
  <r>
    <s v="3"/>
    <x v="5"/>
    <s v="  0801 085007096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40101.9"/>
    <n v="7687.5454"/>
    <n v="7687.5454"/>
    <n v="32414.354599999999"/>
    <n v="19"/>
  </r>
  <r>
    <s v="3"/>
    <x v="5"/>
    <s v="  0801 085007161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712.6"/>
    <n v="0"/>
    <n v="0"/>
    <n v="712.6"/>
    <n v="0"/>
  </r>
  <r>
    <s v="3"/>
    <x v="5"/>
    <s v="  0801 085007164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40"/>
    <s v="Расходы на мероприятия по модернизации общедоступных библиотек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0745.7"/>
    <n v="0"/>
    <n v="0"/>
    <n v="30745.7"/>
    <n v="0"/>
  </r>
  <r>
    <s v="3"/>
    <x v="5"/>
    <s v="  0804 0850071320 612"/>
    <s v="0804"/>
    <s v="Культура, кинематография"/>
    <s v="04"/>
    <s v="Другие вопросы в области культуры, кинематографии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2448.4"/>
    <n v="3061.3195999999998"/>
    <n v="0"/>
    <n v="9387.0804000000007"/>
    <n v="25"/>
  </r>
  <r>
    <s v="3"/>
    <x v="5"/>
    <s v="  0902 0150010080 611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07335"/>
    <n v="117786.4081"/>
    <n v="57968.197099999998"/>
    <n v="489548.5919"/>
    <n v="19"/>
  </r>
  <r>
    <s v="3"/>
    <x v="5"/>
    <s v="  0902 0150010080 614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54.6000000000004"/>
    <n v="795.48940000000005"/>
    <n v="434.95690000000002"/>
    <n v="4359.1106"/>
    <n v="15"/>
  </r>
  <r>
    <s v="3"/>
    <x v="5"/>
    <s v="  0909 011N953652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N9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79182.8"/>
    <n v="68566.592399999994"/>
    <n v="0"/>
    <n v="10616.2076"/>
    <n v="87"/>
  </r>
  <r>
    <s v="3"/>
    <x v="5"/>
    <s v="  0909 011P3546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P3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50.1"/>
    <n v="0"/>
    <n v="0"/>
    <n v="50.1"/>
    <n v="0"/>
  </r>
  <r>
    <s v="3"/>
    <x v="5"/>
    <s v="  0909 01500100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20"/>
    <s v="Расходы на профилактику инфекционных заболеваний, включая иммунопрофилактику"/>
    <s v="612"/>
    <s v="Субсидии бюджетным учреждениям на иные цели"/>
    <s v="Администрация Кировского района Санкт-Петербурга"/>
    <s v="7805059546"/>
    <n v="35585.699999999997"/>
    <n v="1095.5401999999999"/>
    <n v="1095.5401999999999"/>
    <n v="34490.159800000001"/>
    <n v="3"/>
  </r>
  <r>
    <s v="3"/>
    <x v="5"/>
    <s v="  0909 0150010100 244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46.1"/>
    <n v="0"/>
    <n v="0"/>
    <n v="46.1"/>
    <n v="0"/>
  </r>
  <r>
    <s v="3"/>
    <x v="5"/>
    <s v="  0909 01500105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98282.8"/>
    <n v="0"/>
    <n v="0"/>
    <n v="98282.8"/>
    <n v="0"/>
  </r>
  <r>
    <s v="3"/>
    <x v="5"/>
    <s v="  0909 015001057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70"/>
    <s v="Расходы на приобретение оборудования дл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4237.2"/>
    <n v="0"/>
    <n v="0"/>
    <n v="14237.2"/>
    <n v="0"/>
  </r>
  <r>
    <s v="3"/>
    <x v="5"/>
    <s v="  0909 015001065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650"/>
    <s v="Расходы на приобретение немонтируемого оборудования и инвентаря для оснащения вводных объектов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00"/>
    <n v="0"/>
    <n v="0"/>
    <n v="100"/>
    <n v="0"/>
  </r>
  <r>
    <s v="3"/>
    <x v="5"/>
    <s v="  0909 015001083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30"/>
    <s v="Расходы на капитальный ремонт и замену лифтового оборудовани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5384.9"/>
    <n v="0"/>
    <n v="0"/>
    <n v="15384.9"/>
    <n v="0"/>
  </r>
  <r>
    <s v="3"/>
    <x v="5"/>
    <s v="  0909 01500108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80"/>
    <s v="Субсидии государственным учреждениям здравоохранения на оказание экстренной медицинской помощи иностранным гражданам и гражданам не идентифицированным и не застрахованным в системе ОМС при заболеваниях, включенных в базовую программу ОМС"/>
    <s v="612"/>
    <s v="Субсидии бюджетным учреждениям на иные цели"/>
    <s v="Администрация Кировского района Санкт-Петербурга"/>
    <s v="7805059546"/>
    <n v="2903.1"/>
    <n v="0"/>
    <n v="0"/>
    <n v="2903.1"/>
    <n v="0"/>
  </r>
  <r>
    <s v="3"/>
    <x v="5"/>
    <s v="  0909 015001100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34143.9"/>
    <n v="5867.0380999999998"/>
    <n v="2971.5389"/>
    <n v="28276.8619"/>
    <n v="17"/>
  </r>
  <r>
    <s v="3"/>
    <x v="5"/>
    <s v="  1002 035004046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1890.3"/>
    <n v="44028.559399999998"/>
    <n v="15862.259400000001"/>
    <n v="137861.74059999999"/>
    <n v="24"/>
  </r>
  <r>
    <s v="3"/>
    <x v="5"/>
    <s v="  1002 035004046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8356.2"/>
    <n v="3637.3222000000001"/>
    <n v="1436.6248000000001"/>
    <n v="14718.8778"/>
    <n v="20"/>
  </r>
  <r>
    <s v="3"/>
    <x v="5"/>
    <s v="  1002 035004048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9296.5"/>
    <n v="34026.246599999999"/>
    <n v="13923.1757"/>
    <n v="75270.253400000001"/>
    <n v="31"/>
  </r>
  <r>
    <s v="3"/>
    <x v="5"/>
    <s v="  1002 0350040530 612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10386"/>
    <n v="0"/>
    <n v="0"/>
    <n v="10386"/>
    <n v="0"/>
  </r>
  <r>
    <s v="3"/>
    <x v="5"/>
    <s v="  1002 035004063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2844.7"/>
    <n v="2843.3910999999998"/>
    <n v="1034.0482"/>
    <n v="10001.3089"/>
    <n v="22"/>
  </r>
  <r>
    <s v="3"/>
    <x v="5"/>
    <s v="  1002 035004063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443478.3"/>
    <n v="112991.1676"/>
    <n v="38934.6417"/>
    <n v="330487.1324"/>
    <n v="25"/>
  </r>
  <r>
    <s v="3"/>
    <x v="5"/>
    <s v="  1002 035004064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058.7"/>
    <n v="13439.026"/>
    <n v="4908.9709999999995"/>
    <n v="37619.673999999999"/>
    <n v="26"/>
  </r>
  <r>
    <s v="3"/>
    <x v="5"/>
    <s v="  1003 0350040240 612"/>
    <s v="1003"/>
    <s v="Социальная политика"/>
    <s v="03"/>
    <s v="Социальное обеспече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8948.800000000003"/>
    <n v="2816.6145000000001"/>
    <n v="1494.877"/>
    <n v="46132.1855"/>
    <n v="6"/>
  </r>
  <r>
    <s v="3"/>
    <x v="5"/>
    <s v="  1004 0350040990 611"/>
    <s v="1004"/>
    <s v="Социальная политика"/>
    <s v="04"/>
    <s v="Охрана семьи и детства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990"/>
    <s v="Расходы на выплату компенсации части родительской платы за содержание ребенка в государственных или муниципальных образовательных учреждениях, реализующих общеобразовательную программу дошкольного образов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359.3"/>
    <n v="811.93349999999998"/>
    <n v="551.93349999999998"/>
    <n v="31547.3665"/>
    <n v="3"/>
  </r>
  <r>
    <s v="3"/>
    <x v="5"/>
    <s v="  1101 041P545060 612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60"/>
    <s v="Расходы на проектирование, ремонт и оснащение оборудованием внутридворовых спортивных площадок для занятий физической культурой и спортом населения"/>
    <s v="612"/>
    <s v="Субсидии бюджетным учреждениям на иные цели"/>
    <s v="Администрация Кировского района Санкт-Петербурга"/>
    <s v="7805059546"/>
    <n v="9879.5"/>
    <n v="0"/>
    <n v="0"/>
    <n v="9879.5"/>
    <n v="0"/>
  </r>
  <r>
    <s v="3"/>
    <x v="5"/>
    <s v="  1101 0450045020 611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125.7"/>
    <n v="47554.098100000003"/>
    <n v="17232.273399999998"/>
    <n v="135571.60190000001"/>
    <n v="26"/>
  </r>
  <r>
    <s v="3"/>
    <x v="5"/>
    <s v="  1102 041P545010 612"/>
    <s v="1102"/>
    <s v="Физическая культура и спорт"/>
    <s v="02"/>
    <s v="Массовый спорт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545.6"/>
    <n v="277.14359999999999"/>
    <n v="277.14359999999999"/>
    <n v="3268.4564"/>
    <n v="8"/>
  </r>
  <r>
    <s v="3"/>
    <x v="5"/>
    <s v="  1103 0450045090 611"/>
    <s v="1103"/>
    <s v="Физическая культура и спорт"/>
    <s v="03"/>
    <s v="Спорт высших достижений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5200.09999999998"/>
    <n v="71893.201100000006"/>
    <n v="24229.870299999999"/>
    <n v="253306.8989"/>
    <n v="22"/>
  </r>
  <r>
    <s v="4"/>
    <x v="6"/>
    <s v="  0103 9950000060 244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3772.6"/>
    <n v="13.372999999999999"/>
    <n v="13.372999999999999"/>
    <n v="3759.2269999999999"/>
    <n v="0"/>
  </r>
  <r>
    <s v="4"/>
    <x v="6"/>
    <s v="  0103 9950000060 247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8.3000000000000007"/>
    <n v="0"/>
    <n v="0"/>
    <n v="8.3000000000000007"/>
    <n v="0"/>
  </r>
  <r>
    <s v="4"/>
    <x v="6"/>
    <s v="  0113 0650090100 530"/>
    <s v="0113"/>
    <s v="Общегосударственные вопросы"/>
    <s v="13"/>
    <s v="Другие общегосударственные вопросы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4.400000000000006"/>
    <n v="0"/>
    <n v="0"/>
    <n v="64.400000000000006"/>
    <n v="0"/>
  </r>
  <r>
    <s v="4"/>
    <x v="6"/>
    <s v="  0113 1650099220 244"/>
    <s v="0113"/>
    <s v="Общегосударственные вопросы"/>
    <s v="13"/>
    <s v="Другие общегосударственные вопросы"/>
    <s v="16"/>
    <s v="Экономическое и социальное развитие территорий Санкт-Петербурга"/>
    <s v="165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208.2"/>
    <n v="65.09"/>
    <n v="35.79"/>
    <n v="143.11000000000001"/>
    <n v="31"/>
  </r>
  <r>
    <s v="4"/>
    <x v="6"/>
    <s v="  0113 1750098720 244"/>
    <s v="0113"/>
    <s v="Общегосударственные вопросы"/>
    <s v="13"/>
    <s v="Другие общегосударственные вопросы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67.9"/>
    <n v="0"/>
    <n v="0"/>
    <n v="567.9"/>
    <n v="0"/>
  </r>
  <r>
    <s v="4"/>
    <x v="6"/>
    <s v="  0113 9950000090 1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246128.1"/>
    <n v="86771.525999999998"/>
    <n v="18193.6911"/>
    <n v="159356.57399999999"/>
    <n v="35"/>
  </r>
  <r>
    <s v="4"/>
    <x v="6"/>
    <s v="  0113 9950000090 12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40.5"/>
    <n v="31.707000000000001"/>
    <n v="2.258"/>
    <n v="108.79300000000001"/>
    <n v="23"/>
  </r>
  <r>
    <s v="4"/>
    <x v="6"/>
    <s v="  0113 9950000090 12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73726.399999999994"/>
    <n v="19066.862799999999"/>
    <n v="8368.4490999999998"/>
    <n v="54659.537199999999"/>
    <n v="26"/>
  </r>
  <r>
    <s v="4"/>
    <x v="6"/>
    <s v="  0113 9950000090 24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0"/>
    <n v="0"/>
    <n v="300"/>
    <n v="0"/>
  </r>
  <r>
    <s v="4"/>
    <x v="6"/>
    <s v="  0113 9950000090 243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16354.3"/>
    <n v="0"/>
    <n v="0"/>
    <n v="16354.3"/>
    <n v="0"/>
  </r>
  <r>
    <s v="4"/>
    <x v="6"/>
    <s v="  0113 995000009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95111.1"/>
    <n v="5294.1642000000002"/>
    <n v="1042.0944"/>
    <n v="89816.935800000007"/>
    <n v="6"/>
  </r>
  <r>
    <s v="4"/>
    <x v="6"/>
    <s v="  0113 9950000090 247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160.9"/>
    <n v="7565.3389999999999"/>
    <n v="2803.8593999999998"/>
    <n v="8595.5609999999997"/>
    <n v="47"/>
  </r>
  <r>
    <s v="4"/>
    <x v="6"/>
    <s v="  0113 9950000090 83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214.8"/>
    <n v="214.71510000000001"/>
    <n v="214.71510000000001"/>
    <n v="8.4900000000000003E-2"/>
    <n v="100"/>
  </r>
  <r>
    <s v="4"/>
    <x v="6"/>
    <s v="  0113 9950000320 1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181743.4"/>
    <n v="56828.216699999997"/>
    <n v="15355.6855"/>
    <n v="124915.1833"/>
    <n v="31"/>
  </r>
  <r>
    <s v="4"/>
    <x v="6"/>
    <s v="  0113 9950000320 11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54698.400000000001"/>
    <n v="15680.847400000001"/>
    <n v="5438.7999"/>
    <n v="39017.552600000003"/>
    <n v="29"/>
  </r>
  <r>
    <s v="4"/>
    <x v="6"/>
    <s v="  0113 995000032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2625.5"/>
    <n v="1259.6460999999999"/>
    <n v="297.49759999999998"/>
    <n v="1365.8539000000001"/>
    <n v="48"/>
  </r>
  <r>
    <s v="4"/>
    <x v="6"/>
    <s v="  0113 9950000320 3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321"/>
    <s v="Пособия, компенсации и иные социальные выплаты_x000a_гражданам, кроме публичных нормативных обязательств"/>
    <s v="Администрация Кировского района Санкт-Петербурга"/>
    <s v="7805059546"/>
    <n v="2"/>
    <n v="1.9904999999999999"/>
    <n v="0"/>
    <n v="9.4999999999999998E-3"/>
    <n v="100"/>
  </r>
  <r>
    <s v="4"/>
    <x v="6"/>
    <s v="  0113 9950000320 85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1.3929"/>
    <n v="0.91700000000000004"/>
    <n v="2.3071000000000002"/>
    <n v="38"/>
  </r>
  <r>
    <s v="4"/>
    <x v="6"/>
    <s v="  0113 9950000530 6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0925.600000000006"/>
    <n v="20761.257300000001"/>
    <n v="6152.6572999999999"/>
    <n v="50164.342700000001"/>
    <n v="29"/>
  </r>
  <r>
    <s v="4"/>
    <x v="6"/>
    <s v="  0113 995000148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6362.8"/>
    <n v="736.6712"/>
    <n v="199.9092"/>
    <n v="5626.1288000000004"/>
    <n v="12"/>
  </r>
  <r>
    <s v="4"/>
    <x v="6"/>
    <s v="  0309 0650090880 244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4082.8"/>
    <n v="1256.6955"/>
    <n v="1256.6955"/>
    <n v="2826.1044999999999"/>
    <n v="31"/>
  </r>
  <r>
    <s v="4"/>
    <x v="6"/>
    <s v="  0309 0650090880 247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778.7"/>
    <n v="264.81889999999999"/>
    <n v="154.13730000000001"/>
    <n v="513.88109999999995"/>
    <n v="34"/>
  </r>
  <r>
    <s v="4"/>
    <x v="6"/>
    <s v="  0309 0650090880 851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5312.2"/>
    <n v="2714.5491999999999"/>
    <n v="0"/>
    <n v="2597.6507999999999"/>
    <n v="51"/>
  </r>
  <r>
    <s v="4"/>
    <x v="6"/>
    <s v="  0309 0650090880 853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3"/>
    <s v="Уплата иных платежей"/>
    <s v="Администрация Кировского района Санкт-Петербурга"/>
    <s v="7805059546"/>
    <n v="1748.2"/>
    <n v="476.76670000000001"/>
    <n v="0"/>
    <n v="1271.4332999999999"/>
    <n v="27"/>
  </r>
  <r>
    <s v="4"/>
    <x v="6"/>
    <s v="  0314 0650090690 244"/>
    <s v="0314"/>
    <s v="Национальная безопасность и правоохранительная деятельность"/>
    <s v="14"/>
    <s v="Другие вопросы в области национальной безопасности и правоохранительной деятельности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2.1"/>
    <n v="0"/>
    <n v="0"/>
    <n v="22.1"/>
    <n v="0"/>
  </r>
  <r>
    <s v="4"/>
    <x v="6"/>
    <s v="  0410 0650090810 612"/>
    <s v="0410"/>
    <s v="Национальная экономика"/>
    <s v="10"/>
    <s v="Связь и информатик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612"/>
    <s v="Субсидии бюджетным учреждениям на иные цели"/>
    <s v="Администрация Кировского района Санкт-Петербурга"/>
    <s v="7805059546"/>
    <n v="32862.199999999997"/>
    <n v="0"/>
    <n v="0"/>
    <n v="32862.199999999997"/>
    <n v="0"/>
  </r>
  <r>
    <s v="4"/>
    <x v="6"/>
    <s v="  0410 9950096170 242"/>
    <s v="0410"/>
    <s v="Национальная экономика"/>
    <s v="10"/>
    <s v="Связь и информатика"/>
    <s v="99"/>
    <s v="Непрограммные расходы"/>
    <s v="995"/>
    <s v="5"/>
    <s v="Процессная часть перечня мероприятий государственной программы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5402.8"/>
    <n v="1395.3561"/>
    <n v="6.75"/>
    <n v="4007.4439000000002"/>
    <n v="26"/>
  </r>
  <r>
    <s v="4"/>
    <x v="6"/>
    <s v="  0501 09500833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247.5"/>
    <n v="0"/>
    <n v="0"/>
    <n v="5247.5"/>
    <n v="0"/>
  </r>
  <r>
    <s v="4"/>
    <x v="6"/>
    <s v="  0501 095008347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58395.199999999997"/>
    <n v="0"/>
    <n v="0"/>
    <n v="58395.199999999997"/>
    <n v="0"/>
  </r>
  <r>
    <s v="4"/>
    <x v="6"/>
    <s v="  0501 09500834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1465.6"/>
    <n v="48.814900000000002"/>
    <n v="0"/>
    <n v="1416.7851000000001"/>
    <n v="3"/>
  </r>
  <r>
    <s v="4"/>
    <x v="6"/>
    <s v="  0501 095008348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105638.8"/>
    <n v="30817.209299999999"/>
    <n v="83.990700000000004"/>
    <n v="74821.590700000001"/>
    <n v="29"/>
  </r>
  <r>
    <s v="4"/>
    <x v="6"/>
    <s v="  0501 095008349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24583.9"/>
    <n v="5334.0146000000004"/>
    <n v="4973.8932000000004"/>
    <n v="19249.885399999999"/>
    <n v="22"/>
  </r>
  <r>
    <s v="4"/>
    <x v="6"/>
    <s v="  0501 0950083490 247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6321.4"/>
    <n v="0"/>
    <n v="0"/>
    <n v="6321.4"/>
    <n v="0"/>
  </r>
  <r>
    <s v="4"/>
    <x v="6"/>
    <s v="  0501 095008349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785.7"/>
    <n v="1490.7082"/>
    <n v="0"/>
    <n v="3294.9917999999998"/>
    <n v="31"/>
  </r>
  <r>
    <s v="4"/>
    <x v="6"/>
    <s v="  0503 105008791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244"/>
    <s v="Прочая закупка товаров, работ и услуг"/>
    <s v="Администрация Кировского района Санкт-Петербурга"/>
    <s v="7805059546"/>
    <n v="1249.3"/>
    <n v="0"/>
    <n v="0"/>
    <n v="1249.3"/>
    <n v="0"/>
  </r>
  <r>
    <s v="4"/>
    <x v="6"/>
    <s v="  0503 105008791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853"/>
    <s v="Уплата иных платежей"/>
    <s v="Администрация Кировского района Санкт-Петербурга"/>
    <s v="7805059546"/>
    <n v="250.7"/>
    <n v="250.65"/>
    <n v="0"/>
    <n v="0.05"/>
    <n v="100"/>
  </r>
  <r>
    <s v="4"/>
    <x v="6"/>
    <s v="  0503 105008793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52212.9"/>
    <n v="3253.4225999999999"/>
    <n v="1100"/>
    <n v="48959.477400000003"/>
    <n v="6"/>
  </r>
  <r>
    <s v="4"/>
    <x v="6"/>
    <s v="  0503 105008793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853"/>
    <s v="Уплата иных платежей"/>
    <s v="Администрация Кировского района Санкт-Петербурга"/>
    <s v="7805059546"/>
    <n v="406.8"/>
    <n v="406.8"/>
    <n v="0"/>
    <n v="0"/>
    <n v="100"/>
  </r>
  <r>
    <s v="4"/>
    <x v="6"/>
    <s v="  0503 105008827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244"/>
    <s v="Прочая закупка товаров, работ и услуг"/>
    <s v="Администрация Кировского района Санкт-Петербурга"/>
    <s v="7805059546"/>
    <n v="152084.6"/>
    <n v="583"/>
    <n v="0"/>
    <n v="151501.6"/>
    <n v="0"/>
  </r>
  <r>
    <s v="4"/>
    <x v="6"/>
    <s v="  0503 105008827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853"/>
    <s v="Уплата иных платежей"/>
    <s v="Администрация Кировского района Санкт-Петербурга"/>
    <s v="7805059546"/>
    <n v="2086.8000000000002"/>
    <n v="2086.8000000000002"/>
    <n v="1944"/>
    <n v="0"/>
    <n v="100"/>
  </r>
  <r>
    <s v="4"/>
    <x v="6"/>
    <s v="  0505 0950083140 11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484074.8"/>
    <n v="152879.32029999999"/>
    <n v="32350.9764"/>
    <n v="331195.47970000003"/>
    <n v="32"/>
  </r>
  <r>
    <s v="4"/>
    <x v="6"/>
    <s v="  0505 0950083140 119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45129.20000000001"/>
    <n v="45804.694300000003"/>
    <n v="6031.1166999999996"/>
    <n v="99324.505699999994"/>
    <n v="32"/>
  </r>
  <r>
    <s v="4"/>
    <x v="6"/>
    <s v="  0505 095008314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06296.5"/>
    <n v="20806.5524"/>
    <n v="6544.0029000000004"/>
    <n v="85489.9476"/>
    <n v="20"/>
  </r>
  <r>
    <s v="4"/>
    <x v="6"/>
    <s v="  0505 0950083140 247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5728.8"/>
    <n v="809.03800000000001"/>
    <n v="478.48719999999997"/>
    <n v="4919.7619999999997"/>
    <n v="14"/>
  </r>
  <r>
    <s v="4"/>
    <x v="6"/>
    <s v="  0505 0950083140 83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264.7"/>
    <n v="260.87279999999998"/>
    <n v="0"/>
    <n v="3.8271999999999999"/>
    <n v="99"/>
  </r>
  <r>
    <s v="4"/>
    <x v="6"/>
    <s v="  0505 0950083140 85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454.5"/>
    <n v="45.942"/>
    <n v="0"/>
    <n v="1408.558"/>
    <n v="3"/>
  </r>
  <r>
    <s v="4"/>
    <x v="6"/>
    <s v="  0505 0950083140 852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675.8"/>
    <n v="199.28100000000001"/>
    <n v="65.540999999999997"/>
    <n v="476.51900000000001"/>
    <n v="29"/>
  </r>
  <r>
    <s v="4"/>
    <x v="6"/>
    <s v="  0505 095008345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50"/>
    <s v="Расходы на проведение мероприятий по созданию условий доступности для инвалидов и иных маломобильных групп населения"/>
    <s v="244"/>
    <s v="Прочая закупка товаров, работ и услуг"/>
    <s v="Администрация Кировского района Санкт-Петербурга"/>
    <s v="7805059546"/>
    <n v="3157.5"/>
    <n v="0"/>
    <n v="0"/>
    <n v="3157.5"/>
    <n v="0"/>
  </r>
  <r>
    <s v="4"/>
    <x v="6"/>
    <s v="  0701 0250020010 611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988386"/>
    <n v="1428500.2925"/>
    <n v="392120.25540000002"/>
    <n v="3559885.7075"/>
    <n v="29"/>
  </r>
  <r>
    <s v="4"/>
    <x v="6"/>
    <s v="  0701 025002094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9473.1"/>
    <n v="0"/>
    <n v="0"/>
    <n v="29473.1"/>
    <n v="0"/>
  </r>
  <r>
    <s v="4"/>
    <x v="6"/>
    <s v="  0701 025002145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4664.6"/>
    <n v="4340.3329000000003"/>
    <n v="4340.3329000000003"/>
    <n v="30324.267100000001"/>
    <n v="13"/>
  </r>
  <r>
    <s v="4"/>
    <x v="6"/>
    <s v="  0702 021EВ5179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21148"/>
    <n v="7049.1823000000004"/>
    <n v="1762.2418"/>
    <n v="14098.8177"/>
    <n v="33"/>
  </r>
  <r>
    <s v="4"/>
    <x v="6"/>
    <s v="  0702 021EВ5786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7860"/>
    <s v="Расходы на обеспечение оснащения государственных общеобразовательных организаций, в том числе структурных подразделений указанных организаций, государственными символами Российской Федерации"/>
    <s v="612"/>
    <s v="Субсидии бюджетным учреждениям на иные цели"/>
    <s v="Администрация Кировского района Санкт-Петербурга"/>
    <s v="7805059546"/>
    <n v="1977.2"/>
    <n v="1977.1566"/>
    <n v="1977.1566"/>
    <n v="4.3400000000000001E-2"/>
    <n v="100"/>
  </r>
  <r>
    <s v="4"/>
    <x v="6"/>
    <s v="  0702 025002003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853107.2"/>
    <n v="1490802.5517"/>
    <n v="391052.06630000001"/>
    <n v="3362304.6483"/>
    <n v="31"/>
  </r>
  <r>
    <s v="4"/>
    <x v="6"/>
    <s v="  0702 025002006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68859"/>
    <n v="43732.648500000003"/>
    <n v="13674.251700000001"/>
    <n v="125126.3515"/>
    <n v="26"/>
  </r>
  <r>
    <s v="4"/>
    <x v="6"/>
    <s v="  0702 025002007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1930.899999999994"/>
    <n v="25402.804100000001"/>
    <n v="7200.0519000000004"/>
    <n v="56528.0959"/>
    <n v="31"/>
  </r>
  <r>
    <s v="4"/>
    <x v="6"/>
    <s v="  0702 0250020080 63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80"/>
    <s v="Субсидии частным образовательным организациям для реализации основных общеобразовательных программ"/>
    <s v="631"/>
    <s v="Субсидии на возмещение недополученных доходов и (или) возмещение фактически понесенных затрат"/>
    <s v="Администрация Кировского района Санкт-Петербурга"/>
    <s v="7805059546"/>
    <n v="1102.9000000000001"/>
    <n v="0"/>
    <n v="0"/>
    <n v="1102.9000000000001"/>
    <n v="0"/>
  </r>
  <r>
    <s v="4"/>
    <x v="6"/>
    <s v="  0702 025002009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90"/>
    <s v="Расходы на обеспечение книгами и учебными изданиями для комплектования библиотек государственных обще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55795.7"/>
    <n v="0"/>
    <n v="0"/>
    <n v="55795.7"/>
    <n v="0"/>
  </r>
  <r>
    <s v="4"/>
    <x v="6"/>
    <s v="  0702 025002011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10"/>
    <s v="Расходы на оснащение базовых общеобразовательных организаций современными средствами обучения и воспитания с целью повышения качества общего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20000"/>
    <n v="0"/>
    <n v="0"/>
    <n v="20000"/>
    <n v="0"/>
  </r>
  <r>
    <s v="4"/>
    <x v="6"/>
    <s v="  0702 025002068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80"/>
    <s v="Расходы на приобретение оборудования и инвентаря для вводимых после капитального ремонта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8490.7000000000007"/>
    <n v="0"/>
    <n v="0"/>
    <n v="8490.7000000000007"/>
    <n v="0"/>
  </r>
  <r>
    <s v="4"/>
    <x v="6"/>
    <s v="  0702 025002094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27820.2"/>
    <n v="0"/>
    <n v="0"/>
    <n v="127820.2"/>
    <n v="0"/>
  </r>
  <r>
    <s v="4"/>
    <x v="6"/>
    <s v="  0702 025002145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8422.3"/>
    <n v="2063.5178000000001"/>
    <n v="2063.5178000000001"/>
    <n v="26358.782200000001"/>
    <n v="7"/>
  </r>
  <r>
    <s v="4"/>
    <x v="6"/>
    <s v="  0702 025002146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60"/>
    <s v="Расходы на реализацию мероприятий проекта по вовлечению учащихся в развитие школьной инфраструктуры"/>
    <s v="612"/>
    <s v="Субсидии бюджетным учреждениям на иные цели"/>
    <s v="Администрация Кировского района Санкт-Петербурга"/>
    <s v="7805059546"/>
    <n v="2923.6"/>
    <n v="0"/>
    <n v="0"/>
    <n v="2923.6"/>
    <n v="0"/>
  </r>
  <r>
    <s v="4"/>
    <x v="6"/>
    <s v="  0702 025005303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104515.5"/>
    <n v="33459.839999999997"/>
    <n v="8020.32"/>
    <n v="71055.66"/>
    <n v="32"/>
  </r>
  <r>
    <s v="4"/>
    <x v="6"/>
    <s v="  0702 035004065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261384"/>
    <n v="108781.6778"/>
    <n v="25437.467400000001"/>
    <n v="152602.3222"/>
    <n v="42"/>
  </r>
  <r>
    <s v="4"/>
    <x v="6"/>
    <s v="  0702 03500R304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79288"/>
    <n v="69170.770900000003"/>
    <n v="15384.6157"/>
    <n v="110117.2291"/>
    <n v="39"/>
  </r>
  <r>
    <s v="4"/>
    <x v="6"/>
    <s v="  0703 0250020300 611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53526.6"/>
    <n v="80264.385299999994"/>
    <n v="20825.802599999999"/>
    <n v="173262.21470000001"/>
    <n v="32"/>
  </r>
  <r>
    <s v="4"/>
    <x v="6"/>
    <s v="  0703 0250021580 816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580"/>
    <s v="Расходы на реализацию системы персонифицированного учета детей, осваивающих дополнительные образовательные программы (за исключением дополнительных предпрофессиональных программ в области искусств)"/>
    <s v="816"/>
    <s v="Субсидии в целях финансового обеспечения (возмещения)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0"/>
    <n v="0"/>
    <n v="0"/>
    <n v="100"/>
    <n v="0"/>
  </r>
  <r>
    <s v="4"/>
    <x v="6"/>
    <s v="  0705 0250020620 612"/>
    <s v="0705"/>
    <s v="Образование"/>
    <s v="05"/>
    <s v="Профессиональная подготовка, переподготовка и повышение квалификации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20"/>
    <s v="Расходы на обеспечение непрерывного и планомерного повышения квалификации руководящих и педагогических работников"/>
    <s v="612"/>
    <s v="Субсидии бюджетным учреждениям на иные цели"/>
    <s v="Администрация Кировского района Санкт-Петербурга"/>
    <s v="7805059546"/>
    <n v="1003.3"/>
    <n v="0"/>
    <n v="0"/>
    <n v="1003.3"/>
    <n v="0"/>
  </r>
  <r>
    <s v="4"/>
    <x v="6"/>
    <s v="  0707 1750078010 611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24582.9"/>
    <n v="51830.8433"/>
    <n v="18145.890599999999"/>
    <n v="172752.05669999999"/>
    <n v="23"/>
  </r>
  <r>
    <s v="4"/>
    <x v="6"/>
    <s v="  0707 17500785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9320.5"/>
    <n v="0"/>
    <n v="0"/>
    <n v="9320.5"/>
    <n v="0"/>
  </r>
  <r>
    <s v="4"/>
    <x v="6"/>
    <s v="  0707 175007945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648.3"/>
    <n v="0"/>
    <n v="0"/>
    <n v="1648.3"/>
    <n v="0"/>
  </r>
  <r>
    <s v="4"/>
    <x v="6"/>
    <s v="  0707 17500794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12658.4"/>
    <n v="1690.3000999999999"/>
    <n v="1690.3000999999999"/>
    <n v="10968.099899999999"/>
    <n v="13"/>
  </r>
  <r>
    <s v="4"/>
    <x v="6"/>
    <s v="  0709 021E45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5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3914.4"/>
    <n v="13914.3143"/>
    <n v="13914.3143"/>
    <n v="8.5699999999999998E-2"/>
    <n v="100"/>
  </r>
  <r>
    <s v="4"/>
    <x v="6"/>
    <s v="  0709 021E4Д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Д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9077.8"/>
    <n v="378.267"/>
    <n v="363.24900000000002"/>
    <n v="18699.532999999999"/>
    <n v="2"/>
  </r>
  <r>
    <s v="4"/>
    <x v="6"/>
    <s v="  0709 025002010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642.6"/>
    <n v="0"/>
    <n v="0"/>
    <n v="1642.6"/>
    <n v="0"/>
  </r>
  <r>
    <s v="4"/>
    <x v="6"/>
    <s v="  0709 0250020370 244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2351.4"/>
    <n v="2239.587"/>
    <n v="2239.587"/>
    <n v="90111.812999999995"/>
    <n v="2"/>
  </r>
  <r>
    <s v="4"/>
    <x v="6"/>
    <s v="  0709 025002037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4681.8"/>
    <n v="296.66750000000002"/>
    <n v="296.66750000000002"/>
    <n v="14385.1325"/>
    <n v="2"/>
  </r>
  <r>
    <s v="4"/>
    <x v="6"/>
    <s v="  0709 025002043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3320.4"/>
    <n v="12171.7757"/>
    <n v="2828.2348000000002"/>
    <n v="31148.624299999999"/>
    <n v="28"/>
  </r>
  <r>
    <s v="4"/>
    <x v="6"/>
    <s v="  0709 025002044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9928.7"/>
    <n v="18903.419999999998"/>
    <n v="5196.3788999999997"/>
    <n v="41025.279999999999"/>
    <n v="32"/>
  </r>
  <r>
    <s v="4"/>
    <x v="6"/>
    <s v="  0709 02500205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590"/>
    <s v="Субсидии на организацию проведения культурно-познавательной программы для обучающихся 9-х и 10-х классов государственных общеобразовательных организаций «Театральный урок в Мариинском театре»"/>
    <s v="612"/>
    <s v="Субсидии бюджетным учреждениям на иные цели"/>
    <s v="Администрация Кировского района Санкт-Петербурга"/>
    <s v="7805059546"/>
    <n v="7028.9"/>
    <n v="4329.6000000000004"/>
    <n v="1728"/>
    <n v="2699.3"/>
    <n v="62"/>
  </r>
  <r>
    <s v="4"/>
    <x v="6"/>
    <s v="  0709 02500210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090"/>
    <s v="Расходы на подготовку и проведение государственной итоговой аттестации по образовательным программам основного общего и среднего обще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9787.3"/>
    <n v="0"/>
    <n v="0"/>
    <n v="19787.3"/>
    <n v="0"/>
  </r>
  <r>
    <s v="4"/>
    <x v="6"/>
    <s v="  0709 02500211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190"/>
    <s v="Расходы на ремонт и оснащение спортивных сооружений (стадионов) государственных 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4012.1"/>
    <n v="0"/>
    <n v="0"/>
    <n v="44012.1"/>
    <n v="0"/>
  </r>
  <r>
    <s v="4"/>
    <x v="6"/>
    <s v="  0709 1750078650 612"/>
    <s v="0709"/>
    <s v="Образование"/>
    <s v="09"/>
    <s v="Другие вопросы в области образования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76.2"/>
    <n v="76.2"/>
    <n v="423.8"/>
    <n v="15"/>
  </r>
  <r>
    <s v="4"/>
    <x v="6"/>
    <s v="  0801 085007008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80"/>
    <s v="Субсидии бюджетным 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32056"/>
    <n v="81174.8802"/>
    <n v="19807.682799999999"/>
    <n v="150881.11979999999"/>
    <n v="35"/>
  </r>
  <r>
    <s v="4"/>
    <x v="6"/>
    <s v="  0801 085007009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90"/>
    <s v="Субсидии бюджетным 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6322.7"/>
    <n v="24232.514299999999"/>
    <n v="5380.1908000000003"/>
    <n v="62090.185700000002"/>
    <n v="28"/>
  </r>
  <r>
    <s v="4"/>
    <x v="6"/>
    <s v="  0801 08500701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170"/>
    <s v="Субсидии бюджетным 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92328.9"/>
    <n v="57293.5337"/>
    <n v="14826.4413"/>
    <n v="135035.36629999999"/>
    <n v="30"/>
  </r>
  <r>
    <s v="4"/>
    <x v="6"/>
    <s v="  0801 08500702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270"/>
    <s v="Субсидии бюджетным 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3563"/>
    <n v="22445.450099999998"/>
    <n v="4749.8446999999996"/>
    <n v="51117.549899999998"/>
    <n v="31"/>
  </r>
  <r>
    <s v="4"/>
    <x v="6"/>
    <s v="  0801 0850070470 244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8508.2999999999993"/>
    <n v="1460"/>
    <n v="0"/>
    <n v="7048.3"/>
    <n v="17"/>
  </r>
  <r>
    <s v="4"/>
    <x v="6"/>
    <s v="  0801 085007047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612"/>
    <s v="Субсидии бюджетным учреждениям на иные цели"/>
    <s v="Администрация Кировского района Санкт-Петербурга"/>
    <s v="7805059546"/>
    <n v="3002.4"/>
    <n v="761.09"/>
    <n v="761.09"/>
    <n v="2241.31"/>
    <n v="25"/>
  </r>
  <r>
    <s v="4"/>
    <x v="6"/>
    <s v="  0801 085007096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40101.9"/>
    <n v="9407.8978000000006"/>
    <n v="1720.3524"/>
    <n v="30694.002199999999"/>
    <n v="23"/>
  </r>
  <r>
    <s v="4"/>
    <x v="6"/>
    <s v="  0801 085007161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712.6"/>
    <n v="0"/>
    <n v="0"/>
    <n v="712.6"/>
    <n v="0"/>
  </r>
  <r>
    <s v="4"/>
    <x v="6"/>
    <s v="  0801 085007164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40"/>
    <s v="Расходы на мероприятия по модернизации общедоступных библиотек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0745.7"/>
    <n v="0"/>
    <n v="0"/>
    <n v="30745.7"/>
    <n v="0"/>
  </r>
  <r>
    <s v="4"/>
    <x v="6"/>
    <s v="  0804 0850071320 612"/>
    <s v="0804"/>
    <s v="Культура, кинематография"/>
    <s v="04"/>
    <s v="Другие вопросы в области культуры, кинематографии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2448.4"/>
    <n v="3061.3195999999998"/>
    <n v="0"/>
    <n v="9387.0804000000007"/>
    <n v="25"/>
  </r>
  <r>
    <s v="4"/>
    <x v="6"/>
    <s v="  0902 0150010080 611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07335"/>
    <n v="162637.45629999999"/>
    <n v="44851.048199999997"/>
    <n v="444697.54369999998"/>
    <n v="27"/>
  </r>
  <r>
    <s v="4"/>
    <x v="6"/>
    <s v="  0902 0150010080 614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54.6000000000004"/>
    <n v="1101.7112999999999"/>
    <n v="306.22190000000001"/>
    <n v="4052.8887"/>
    <n v="21"/>
  </r>
  <r>
    <s v="4"/>
    <x v="6"/>
    <s v="  0909 011N953652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N9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79182.8"/>
    <n v="68566.592399999994"/>
    <n v="0"/>
    <n v="10616.2076"/>
    <n v="87"/>
  </r>
  <r>
    <s v="4"/>
    <x v="6"/>
    <s v="  0909 011P3546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P3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50.1"/>
    <n v="50.1"/>
    <n v="50.1"/>
    <n v="0"/>
    <n v="100"/>
  </r>
  <r>
    <s v="4"/>
    <x v="6"/>
    <s v="  0909 01500100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20"/>
    <s v="Расходы на профилактику инфекционных заболеваний, включая иммунопрофилактику"/>
    <s v="612"/>
    <s v="Субсидии бюджетным учреждениям на иные цели"/>
    <s v="Администрация Кировского района Санкт-Петербурга"/>
    <s v="7805059546"/>
    <n v="35585.699999999997"/>
    <n v="8268.2965999999997"/>
    <n v="7172.7564000000002"/>
    <n v="27317.403399999999"/>
    <n v="23"/>
  </r>
  <r>
    <s v="4"/>
    <x v="6"/>
    <s v="  0909 0150010100 244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46.1"/>
    <n v="0"/>
    <n v="0"/>
    <n v="46.1"/>
    <n v="0"/>
  </r>
  <r>
    <s v="4"/>
    <x v="6"/>
    <s v="  0909 01500105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98282.8"/>
    <n v="0"/>
    <n v="0"/>
    <n v="98282.8"/>
    <n v="0"/>
  </r>
  <r>
    <s v="4"/>
    <x v="6"/>
    <s v="  0909 015001057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70"/>
    <s v="Расходы на приобретение оборудования дл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4237.2"/>
    <n v="0"/>
    <n v="0"/>
    <n v="14237.2"/>
    <n v="0"/>
  </r>
  <r>
    <s v="4"/>
    <x v="6"/>
    <s v="  0909 015001065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650"/>
    <s v="Расходы на приобретение немонтируемого оборудования и инвентаря для оснащения вводных объектов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00"/>
    <n v="0"/>
    <n v="0"/>
    <n v="100"/>
    <n v="0"/>
  </r>
  <r>
    <s v="4"/>
    <x v="6"/>
    <s v="  0909 015001083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30"/>
    <s v="Расходы на капитальный ремонт и замену лифтового оборудовани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5384.9"/>
    <n v="0"/>
    <n v="0"/>
    <n v="15384.9"/>
    <n v="0"/>
  </r>
  <r>
    <s v="4"/>
    <x v="6"/>
    <s v="  0909 01500108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80"/>
    <s v="Субсидии государственным учреждениям здравоохранения на оказание экстренной медицинской помощи иностранным гражданам и гражданам не идентифицированным и не застрахованным в системе ОМС при заболеваниях, включенных в базовую программу ОМС"/>
    <s v="612"/>
    <s v="Субсидии бюджетным учреждениям на иные цели"/>
    <s v="Администрация Кировского района Санкт-Петербурга"/>
    <s v="7805059546"/>
    <n v="2903.1"/>
    <n v="0"/>
    <n v="0"/>
    <n v="2903.1"/>
    <n v="0"/>
  </r>
  <r>
    <s v="4"/>
    <x v="6"/>
    <s v="  0909 015001100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34143.9"/>
    <n v="8925.7070999999996"/>
    <n v="3058.6689999999999"/>
    <n v="25218.192899999998"/>
    <n v="26"/>
  </r>
  <r>
    <s v="4"/>
    <x v="6"/>
    <s v="  0909 015001101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10"/>
    <s v="Субсидии государственным учреждениям здравоохранения Санкт-Петербурга в целях поддержания высокого уровня оказания медицинской помощи и усиления кадрового потенциала в государственных учреждениях здравоохранения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395.8000000000002"/>
    <n v="0"/>
    <n v="0"/>
    <n v="2395.8000000000002"/>
    <n v="0"/>
  </r>
  <r>
    <s v="4"/>
    <x v="6"/>
    <s v="  1002 035004046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1890.3"/>
    <n v="59587.5291"/>
    <n v="15558.9697"/>
    <n v="122302.7709"/>
    <n v="33"/>
  </r>
  <r>
    <s v="4"/>
    <x v="6"/>
    <s v="  1002 035004046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8356.2"/>
    <n v="4951.7608"/>
    <n v="1314.4386"/>
    <n v="13404.439200000001"/>
    <n v="27"/>
  </r>
  <r>
    <s v="4"/>
    <x v="6"/>
    <s v="  1002 035004048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9296.5"/>
    <n v="43235.5406"/>
    <n v="9209.2939999999999"/>
    <n v="66060.959400000007"/>
    <n v="40"/>
  </r>
  <r>
    <s v="4"/>
    <x v="6"/>
    <s v="  1002 0350040530 612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10386"/>
    <n v="0"/>
    <n v="0"/>
    <n v="10386"/>
    <n v="0"/>
  </r>
  <r>
    <s v="4"/>
    <x v="6"/>
    <s v="  1002 035004063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2844.7"/>
    <n v="3964.1741999999999"/>
    <n v="1120.7831000000001"/>
    <n v="8880.5257999999994"/>
    <n v="31"/>
  </r>
  <r>
    <s v="4"/>
    <x v="6"/>
    <s v="  1002 035004063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443478.3"/>
    <n v="144126.11989999999"/>
    <n v="31134.952300000001"/>
    <n v="299352.1801"/>
    <n v="32"/>
  </r>
  <r>
    <s v="4"/>
    <x v="6"/>
    <s v="  1002 035004064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058.7"/>
    <n v="17437.692299999999"/>
    <n v="3998.6662999999999"/>
    <n v="33621.007700000002"/>
    <n v="34"/>
  </r>
  <r>
    <s v="4"/>
    <x v="6"/>
    <s v="  1003 0350040240 612"/>
    <s v="1003"/>
    <s v="Социальная политика"/>
    <s v="03"/>
    <s v="Социальное обеспече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8948.800000000003"/>
    <n v="4148.9655000000002"/>
    <n v="1332.3510000000001"/>
    <n v="44799.834499999997"/>
    <n v="8"/>
  </r>
  <r>
    <s v="4"/>
    <x v="6"/>
    <s v="  1004 0350040990 611"/>
    <s v="1004"/>
    <s v="Социальная политика"/>
    <s v="04"/>
    <s v="Охрана семьи и детства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990"/>
    <s v="Расходы на выплату компенсации части родительской платы за содержание ребенка в государственных или муниципальных образовательных учреждениях, реализующих общеобразовательную программу дошкольного образов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359.3"/>
    <n v="5333.5307000000003"/>
    <n v="4521.5972000000002"/>
    <n v="27025.7693"/>
    <n v="16"/>
  </r>
  <r>
    <s v="4"/>
    <x v="6"/>
    <s v="  1101 041P545060 612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60"/>
    <s v="Расходы на проектирование, ремонт и оснащение оборудованием внутридворовых спортивных площадок для занятий физической культурой и спортом населения"/>
    <s v="612"/>
    <s v="Субсидии бюджетным учреждениям на иные цели"/>
    <s v="Администрация Кировского района Санкт-Петербурга"/>
    <s v="7805059546"/>
    <n v="9879.5"/>
    <n v="12.15"/>
    <n v="12.15"/>
    <n v="9867.35"/>
    <n v="0"/>
  </r>
  <r>
    <s v="4"/>
    <x v="6"/>
    <s v="  1101 0450045020 611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125.7"/>
    <n v="60390.701099999998"/>
    <n v="12836.602999999999"/>
    <n v="122734.99890000001"/>
    <n v="33"/>
  </r>
  <r>
    <s v="4"/>
    <x v="6"/>
    <s v="  1102 041P545010 612"/>
    <s v="1102"/>
    <s v="Физическая культура и спорт"/>
    <s v="02"/>
    <s v="Массовый спорт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545.6"/>
    <n v="277.14359999999999"/>
    <n v="0"/>
    <n v="3268.4564"/>
    <n v="8"/>
  </r>
  <r>
    <s v="4"/>
    <x v="6"/>
    <s v="  1103 0450045090 611"/>
    <s v="1103"/>
    <s v="Физическая культура и спорт"/>
    <s v="03"/>
    <s v="Спорт высших достижений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5200.09999999998"/>
    <n v="94507.839300000007"/>
    <n v="22614.638200000001"/>
    <n v="230692.26070000001"/>
    <n v="29"/>
  </r>
  <r>
    <s v="5"/>
    <x v="7"/>
    <s v="  0103 9950000060 244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3772.6"/>
    <n v="17.8306"/>
    <n v="4.4576000000000002"/>
    <n v="3754.7694000000001"/>
    <n v="0"/>
  </r>
  <r>
    <s v="5"/>
    <x v="7"/>
    <s v="  0103 9950000060 247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8.3000000000000007"/>
    <n v="0"/>
    <n v="0"/>
    <n v="8.3000000000000007"/>
    <n v="0"/>
  </r>
  <r>
    <s v="5"/>
    <x v="7"/>
    <s v="  0113 0650090100 530"/>
    <s v="0113"/>
    <s v="Общегосударственные вопросы"/>
    <s v="13"/>
    <s v="Другие общегосударственные вопросы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4.400000000000006"/>
    <n v="0"/>
    <n v="0"/>
    <n v="64.400000000000006"/>
    <n v="0"/>
  </r>
  <r>
    <s v="5"/>
    <x v="7"/>
    <s v="  0113 1650099220 244"/>
    <s v="0113"/>
    <s v="Общегосударственные вопросы"/>
    <s v="13"/>
    <s v="Другие общегосударственные вопросы"/>
    <s v="16"/>
    <s v="Экономическое и социальное развитие территорий Санкт-Петербурга"/>
    <s v="165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208.2"/>
    <n v="78.489999999999995"/>
    <n v="13.4"/>
    <n v="129.71"/>
    <n v="38"/>
  </r>
  <r>
    <s v="5"/>
    <x v="7"/>
    <s v="  0113 1750098720 244"/>
    <s v="0113"/>
    <s v="Общегосударственные вопросы"/>
    <s v="13"/>
    <s v="Другие общегосударственные вопросы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67.9"/>
    <n v="0"/>
    <n v="0"/>
    <n v="567.9"/>
    <n v="0"/>
  </r>
  <r>
    <s v="5"/>
    <x v="7"/>
    <s v="  0113 9950000090 1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246128.1"/>
    <n v="99240.604500000001"/>
    <n v="12469.0785"/>
    <n v="146887.49549999999"/>
    <n v="40"/>
  </r>
  <r>
    <s v="5"/>
    <x v="7"/>
    <s v="  0113 9950000090 12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40.5"/>
    <n v="46.386000000000003"/>
    <n v="14.679"/>
    <n v="94.114000000000004"/>
    <n v="33"/>
  </r>
  <r>
    <s v="5"/>
    <x v="7"/>
    <s v="  0113 9950000090 12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73726.399999999994"/>
    <n v="31049.190500000001"/>
    <n v="11982.3277"/>
    <n v="42677.209499999997"/>
    <n v="42"/>
  </r>
  <r>
    <s v="5"/>
    <x v="7"/>
    <s v="  0113 9950000090 24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43.384700000000002"/>
    <n v="43.384700000000002"/>
    <n v="256.61529999999999"/>
    <n v="14"/>
  </r>
  <r>
    <s v="5"/>
    <x v="7"/>
    <s v="  0113 9950000090 243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15051.1"/>
    <n v="0"/>
    <n v="0"/>
    <n v="15051.1"/>
    <n v="0"/>
  </r>
  <r>
    <s v="5"/>
    <x v="7"/>
    <s v="  0113 995000009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96234.5"/>
    <n v="8349.0092999999997"/>
    <n v="3054.8451"/>
    <n v="87885.490699999995"/>
    <n v="9"/>
  </r>
  <r>
    <s v="5"/>
    <x v="7"/>
    <s v="  0113 9950000090 247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160.9"/>
    <n v="8756.7507999999998"/>
    <n v="1191.4118000000001"/>
    <n v="7404.1491999999998"/>
    <n v="54"/>
  </r>
  <r>
    <s v="5"/>
    <x v="7"/>
    <s v="  0113 9950000090 83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214.8"/>
    <n v="214.71510000000001"/>
    <n v="0"/>
    <n v="8.4900000000000003E-2"/>
    <n v="100"/>
  </r>
  <r>
    <s v="5"/>
    <x v="7"/>
    <s v="  0113 9950000090 853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853"/>
    <s v="Уплата иных платежей"/>
    <s v="Администрация Кировского района Санкт-Петербурга"/>
    <s v="7805059546"/>
    <n v="179.8"/>
    <n v="179.71199999999999"/>
    <n v="179.71199999999999"/>
    <n v="8.7999999999999995E-2"/>
    <n v="100"/>
  </r>
  <r>
    <s v="5"/>
    <x v="7"/>
    <s v="  0113 9950000320 1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181743.4"/>
    <n v="70975.717999999993"/>
    <n v="14147.5013"/>
    <n v="110767.682"/>
    <n v="39"/>
  </r>
  <r>
    <s v="5"/>
    <x v="7"/>
    <s v="  0113 9950000320 11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54698.400000000001"/>
    <n v="20039.8037"/>
    <n v="4358.9562999999998"/>
    <n v="34658.596299999997"/>
    <n v="37"/>
  </r>
  <r>
    <s v="5"/>
    <x v="7"/>
    <s v="  0113 995000032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2625.5"/>
    <n v="1434.1885"/>
    <n v="174.54239999999999"/>
    <n v="1191.3115"/>
    <n v="55"/>
  </r>
  <r>
    <s v="5"/>
    <x v="7"/>
    <s v="  0113 9950000320 3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321"/>
    <s v="Пособия, компенсации и иные социальные выплаты_x000a_гражданам, кроме публичных нормативных обязательств"/>
    <s v="Администрация Кировского района Санкт-Петербурга"/>
    <s v="7805059546"/>
    <n v="2"/>
    <n v="1.9904999999999999"/>
    <n v="0"/>
    <n v="9.4999999999999998E-3"/>
    <n v="100"/>
  </r>
  <r>
    <s v="5"/>
    <x v="7"/>
    <s v="  0113 9950000320 85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1.3929"/>
    <n v="0"/>
    <n v="2.3071000000000002"/>
    <n v="38"/>
  </r>
  <r>
    <s v="5"/>
    <x v="7"/>
    <s v="  0113 9950000530 6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0925.600000000006"/>
    <n v="26711.5573"/>
    <n v="5950.3"/>
    <n v="44214.042699999998"/>
    <n v="38"/>
  </r>
  <r>
    <s v="5"/>
    <x v="7"/>
    <s v="  0113 995000148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6362.8"/>
    <n v="1682.9112"/>
    <n v="946.24"/>
    <n v="4679.8887999999997"/>
    <n v="26"/>
  </r>
  <r>
    <s v="5"/>
    <x v="7"/>
    <s v="  0309 0650090880 244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4082.8"/>
    <n v="1256.6955"/>
    <n v="0"/>
    <n v="2826.1044999999999"/>
    <n v="31"/>
  </r>
  <r>
    <s v="5"/>
    <x v="7"/>
    <s v="  0309 0650090880 247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8518.1"/>
    <n v="264.81889999999999"/>
    <n v="0"/>
    <n v="8253.2811000000002"/>
    <n v="3"/>
  </r>
  <r>
    <s v="5"/>
    <x v="7"/>
    <s v="  0309 0650090880 851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5312.2"/>
    <n v="2714.5491999999999"/>
    <n v="0"/>
    <n v="2597.6507999999999"/>
    <n v="51"/>
  </r>
  <r>
    <s v="5"/>
    <x v="7"/>
    <s v="  0309 0650090880 853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3"/>
    <s v="Уплата иных платежей"/>
    <s v="Администрация Кировского района Санкт-Петербурга"/>
    <s v="7805059546"/>
    <n v="1748.2"/>
    <n v="851.13739999999996"/>
    <n v="374.3707"/>
    <n v="897.06259999999997"/>
    <n v="49"/>
  </r>
  <r>
    <s v="5"/>
    <x v="7"/>
    <s v="  0314 0650090690 244"/>
    <s v="0314"/>
    <s v="Национальная безопасность и правоохранительная деятельность"/>
    <s v="14"/>
    <s v="Другие вопросы в области национальной безопасности и правоохранительной деятельности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2.1"/>
    <n v="0"/>
    <n v="0"/>
    <n v="22.1"/>
    <n v="0"/>
  </r>
  <r>
    <s v="5"/>
    <x v="7"/>
    <s v="  0410 0650090810 612"/>
    <s v="0410"/>
    <s v="Национальная экономика"/>
    <s v="10"/>
    <s v="Связь и информатик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612"/>
    <s v="Субсидии бюджетным учреждениям на иные цели"/>
    <s v="Администрация Кировского района Санкт-Петербурга"/>
    <s v="7805059546"/>
    <n v="32862.199999999997"/>
    <n v="0"/>
    <n v="0"/>
    <n v="32862.199999999997"/>
    <n v="0"/>
  </r>
  <r>
    <s v="5"/>
    <x v="7"/>
    <s v="  0410 9950096170 242"/>
    <s v="0410"/>
    <s v="Национальная экономика"/>
    <s v="10"/>
    <s v="Связь и информатика"/>
    <s v="99"/>
    <s v="Непрограммные расходы"/>
    <s v="995"/>
    <s v="5"/>
    <s v="Процессная часть перечня мероприятий государственной программы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5402.8"/>
    <n v="2372.4726999999998"/>
    <n v="977.11659999999995"/>
    <n v="3030.3272999999999"/>
    <n v="44"/>
  </r>
  <r>
    <s v="5"/>
    <x v="7"/>
    <s v="  0501 09500833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247.5"/>
    <n v="1881.4365"/>
    <n v="1881.4365"/>
    <n v="3366.0635000000002"/>
    <n v="36"/>
  </r>
  <r>
    <s v="5"/>
    <x v="7"/>
    <s v="  0501 095008347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58395.199999999997"/>
    <n v="0"/>
    <n v="0"/>
    <n v="58395.199999999997"/>
    <n v="0"/>
  </r>
  <r>
    <s v="5"/>
    <x v="7"/>
    <s v="  0501 09500834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1465.6"/>
    <n v="296.7645"/>
    <n v="247.9496"/>
    <n v="1168.8354999999999"/>
    <n v="20"/>
  </r>
  <r>
    <s v="5"/>
    <x v="7"/>
    <s v="  0501 095008348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105638.8"/>
    <n v="38013.052799999998"/>
    <n v="7195.8434999999999"/>
    <n v="67625.747199999998"/>
    <n v="36"/>
  </r>
  <r>
    <s v="5"/>
    <x v="7"/>
    <s v="  0501 095008349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16844.5"/>
    <n v="5669.7142999999996"/>
    <n v="335.69970000000001"/>
    <n v="11174.7857"/>
    <n v="34"/>
  </r>
  <r>
    <s v="5"/>
    <x v="7"/>
    <s v="  0501 0950083490 247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6321.4"/>
    <n v="0"/>
    <n v="0"/>
    <n v="6321.4"/>
    <n v="0"/>
  </r>
  <r>
    <s v="5"/>
    <x v="7"/>
    <s v="  0501 095008349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785.7"/>
    <n v="1868.1646000000001"/>
    <n v="377.45639999999997"/>
    <n v="2917.5354000000002"/>
    <n v="39"/>
  </r>
  <r>
    <s v="5"/>
    <x v="7"/>
    <s v="  0503 105008791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244"/>
    <s v="Прочая закупка товаров, работ и услуг"/>
    <s v="Администрация Кировского района Санкт-Петербурга"/>
    <s v="7805059546"/>
    <n v="1249.3"/>
    <n v="0"/>
    <n v="0"/>
    <n v="1249.3"/>
    <n v="0"/>
  </r>
  <r>
    <s v="5"/>
    <x v="7"/>
    <s v="  0503 105008791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853"/>
    <s v="Уплата иных платежей"/>
    <s v="Администрация Кировского района Санкт-Петербурга"/>
    <s v="7805059546"/>
    <n v="250.7"/>
    <n v="250.65"/>
    <n v="0"/>
    <n v="0.05"/>
    <n v="100"/>
  </r>
  <r>
    <s v="5"/>
    <x v="7"/>
    <s v="  0503 105008793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52212.9"/>
    <n v="4233.4225999999999"/>
    <n v="980"/>
    <n v="47979.477400000003"/>
    <n v="8"/>
  </r>
  <r>
    <s v="5"/>
    <x v="7"/>
    <s v="  0503 105008793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853"/>
    <s v="Уплата иных платежей"/>
    <s v="Администрация Кировского района Санкт-Петербурга"/>
    <s v="7805059546"/>
    <n v="406.8"/>
    <n v="406.8"/>
    <n v="0"/>
    <n v="0"/>
    <n v="100"/>
  </r>
  <r>
    <s v="5"/>
    <x v="7"/>
    <s v="  0503 105008827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244"/>
    <s v="Прочая закупка товаров, работ и услуг"/>
    <s v="Администрация Кировского района Санкт-Петербурга"/>
    <s v="7805059546"/>
    <n v="152084.6"/>
    <n v="583"/>
    <n v="0"/>
    <n v="151501.6"/>
    <n v="0"/>
  </r>
  <r>
    <s v="5"/>
    <x v="7"/>
    <s v="  0503 105008827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853"/>
    <s v="Уплата иных платежей"/>
    <s v="Администрация Кировского района Санкт-Петербурга"/>
    <s v="7805059546"/>
    <n v="2086.8000000000002"/>
    <n v="2086.8000000000002"/>
    <n v="0"/>
    <n v="0"/>
    <n v="100"/>
  </r>
  <r>
    <s v="5"/>
    <x v="7"/>
    <s v="  0505 0950083140 11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484074.8"/>
    <n v="186637.71890000001"/>
    <n v="33758.3986"/>
    <n v="297437.08110000001"/>
    <n v="39"/>
  </r>
  <r>
    <s v="5"/>
    <x v="7"/>
    <s v="  0505 0950083140 119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45129.20000000001"/>
    <n v="58586.076000000001"/>
    <n v="12781.3817"/>
    <n v="86543.123999999996"/>
    <n v="40"/>
  </r>
  <r>
    <s v="5"/>
    <x v="7"/>
    <s v="  0505 095008314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06296.5"/>
    <n v="26441.724900000001"/>
    <n v="5635.1724999999997"/>
    <n v="79854.775099999999"/>
    <n v="25"/>
  </r>
  <r>
    <s v="5"/>
    <x v="7"/>
    <s v="  0505 0950083140 247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5728.8"/>
    <n v="1123.4722999999999"/>
    <n v="314.43430000000001"/>
    <n v="4605.3276999999998"/>
    <n v="20"/>
  </r>
  <r>
    <s v="5"/>
    <x v="7"/>
    <s v="  0505 0950083140 83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264.7"/>
    <n v="260.87279999999998"/>
    <n v="0"/>
    <n v="3.8271999999999999"/>
    <n v="99"/>
  </r>
  <r>
    <s v="5"/>
    <x v="7"/>
    <s v="  0505 0950083140 85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454.5"/>
    <n v="45.942"/>
    <n v="0"/>
    <n v="1408.558"/>
    <n v="3"/>
  </r>
  <r>
    <s v="5"/>
    <x v="7"/>
    <s v="  0505 0950083140 852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675.8"/>
    <n v="199.28100000000001"/>
    <n v="0"/>
    <n v="476.51900000000001"/>
    <n v="29"/>
  </r>
  <r>
    <s v="5"/>
    <x v="7"/>
    <s v="  0505 095008345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50"/>
    <s v="Расходы на проведение мероприятий по созданию условий доступности для инвалидов и иных маломобильных групп населения"/>
    <s v="244"/>
    <s v="Прочая закупка товаров, работ и услуг"/>
    <s v="Администрация Кировского района Санкт-Петербурга"/>
    <s v="7805059546"/>
    <n v="3157.5"/>
    <n v="0"/>
    <n v="0"/>
    <n v="3157.5"/>
    <n v="0"/>
  </r>
  <r>
    <s v="5"/>
    <x v="7"/>
    <s v="  0701 0250020010 611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988386"/>
    <n v="1899809.5105999999"/>
    <n v="471309.2181"/>
    <n v="3088576.4893999998"/>
    <n v="38"/>
  </r>
  <r>
    <s v="5"/>
    <x v="7"/>
    <s v="  0701 025002094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9473.1"/>
    <n v="32.4"/>
    <n v="32.4"/>
    <n v="29440.7"/>
    <n v="0"/>
  </r>
  <r>
    <s v="5"/>
    <x v="7"/>
    <s v="  0701 025002145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4664.6"/>
    <n v="10520.689899999999"/>
    <n v="6180.357"/>
    <n v="24143.910100000001"/>
    <n v="30"/>
  </r>
  <r>
    <s v="5"/>
    <x v="7"/>
    <s v="  0702 021EВ5179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21148"/>
    <n v="14098.5764"/>
    <n v="7049.3941000000004"/>
    <n v="7049.4236000000001"/>
    <n v="67"/>
  </r>
  <r>
    <s v="5"/>
    <x v="7"/>
    <s v="  0702 021EВ5786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7860"/>
    <s v="Расходы на обеспечение оснащения государственных общеобразовательных организаций, в том числе структурных подразделений указанных организаций, государственными символами Российской Федерации"/>
    <s v="612"/>
    <s v="Субсидии бюджетным учреждениям на иные цели"/>
    <s v="Администрация Кировского района Санкт-Петербурга"/>
    <s v="7805059546"/>
    <n v="1977.2"/>
    <n v="1977.1566"/>
    <n v="0"/>
    <n v="4.3400000000000001E-2"/>
    <n v="100"/>
  </r>
  <r>
    <s v="5"/>
    <x v="7"/>
    <s v="  0702 025002003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853107.2"/>
    <n v="1899989.0538999999"/>
    <n v="409186.50219999999"/>
    <n v="2953118.1461"/>
    <n v="39"/>
  </r>
  <r>
    <s v="5"/>
    <x v="7"/>
    <s v="  0702 025002006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68859"/>
    <n v="57861.4084"/>
    <n v="14128.759899999999"/>
    <n v="110997.5916"/>
    <n v="34"/>
  </r>
  <r>
    <s v="5"/>
    <x v="7"/>
    <s v="  0702 025002007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1930.899999999994"/>
    <n v="31378.369200000001"/>
    <n v="5975.5650999999998"/>
    <n v="50552.5308"/>
    <n v="38"/>
  </r>
  <r>
    <s v="5"/>
    <x v="7"/>
    <s v="  0702 0250020080 63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80"/>
    <s v="Субсидии частным образовательным организациям для реализации основных общеобразовательных программ"/>
    <s v="631"/>
    <s v="Субсидии на возмещение недополученных доходов и (или) возмещение фактически понесенных затрат"/>
    <s v="Администрация Кировского района Санкт-Петербурга"/>
    <s v="7805059546"/>
    <n v="1102.9000000000001"/>
    <n v="0"/>
    <n v="0"/>
    <n v="1102.9000000000001"/>
    <n v="0"/>
  </r>
  <r>
    <s v="5"/>
    <x v="7"/>
    <s v="  0702 025002009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90"/>
    <s v="Расходы на обеспечение книгами и учебными изданиями для комплектования библиотек государственных обще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55795.7"/>
    <n v="27712.725999999999"/>
    <n v="27712.725999999999"/>
    <n v="28082.973999999998"/>
    <n v="50"/>
  </r>
  <r>
    <s v="5"/>
    <x v="7"/>
    <s v="  0702 025002011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10"/>
    <s v="Расходы на оснащение базовых общеобразовательных организаций современными средствами обучения и воспитания с целью повышения качества общего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20000"/>
    <n v="15758.100200000001"/>
    <n v="15758.100200000001"/>
    <n v="4241.8998000000001"/>
    <n v="79"/>
  </r>
  <r>
    <s v="5"/>
    <x v="7"/>
    <s v="  0702 025002068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80"/>
    <s v="Расходы на приобретение оборудования и инвентаря для вводимых после капитального ремонта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8490.7000000000007"/>
    <n v="0"/>
    <n v="0"/>
    <n v="8490.7000000000007"/>
    <n v="0"/>
  </r>
  <r>
    <s v="5"/>
    <x v="7"/>
    <s v="  0702 025002094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27820.2"/>
    <n v="1479.2625"/>
    <n v="1479.2625"/>
    <n v="126340.9375"/>
    <n v="1"/>
  </r>
  <r>
    <s v="5"/>
    <x v="7"/>
    <s v="  0702 025002145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8422.3"/>
    <n v="7329.9656999999997"/>
    <n v="5266.4479000000001"/>
    <n v="21092.334299999999"/>
    <n v="26"/>
  </r>
  <r>
    <s v="5"/>
    <x v="7"/>
    <s v="  0702 025002146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60"/>
    <s v="Расходы на реализацию мероприятий проекта по вовлечению учащихся в развитие школьной инфраструктуры"/>
    <s v="612"/>
    <s v="Субсидии бюджетным учреждениям на иные цели"/>
    <s v="Администрация Кировского района Санкт-Петербурга"/>
    <s v="7805059546"/>
    <n v="2923.6"/>
    <n v="0"/>
    <n v="0"/>
    <n v="2923.6"/>
    <n v="0"/>
  </r>
  <r>
    <s v="5"/>
    <x v="7"/>
    <s v="  0702 025005303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104515.5"/>
    <n v="40959.839999999997"/>
    <n v="7500"/>
    <n v="63555.66"/>
    <n v="39"/>
  </r>
  <r>
    <s v="5"/>
    <x v="7"/>
    <s v="  0702 035004065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261384"/>
    <n v="141849.4909"/>
    <n v="33067.813099999999"/>
    <n v="119534.5091"/>
    <n v="54"/>
  </r>
  <r>
    <s v="5"/>
    <x v="7"/>
    <s v="  0702 03500R304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79288"/>
    <n v="88401.540699999998"/>
    <n v="19230.769799999998"/>
    <n v="90886.459300000002"/>
    <n v="49"/>
  </r>
  <r>
    <s v="5"/>
    <x v="7"/>
    <s v="  0703 0250020300 611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53526.6"/>
    <n v="100580.9093"/>
    <n v="20316.524000000001"/>
    <n v="152945.69070000001"/>
    <n v="40"/>
  </r>
  <r>
    <s v="5"/>
    <x v="7"/>
    <s v="  0703 0250021580 816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580"/>
    <s v="Расходы на реализацию системы персонифицированного учета детей, осваивающих дополнительные образовательные программы (за исключением дополнительных предпрофессиональных программ в области искусств)"/>
    <s v="816"/>
    <s v="Субсидии в целях финансового обеспечения (возмещения)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0"/>
    <n v="0"/>
    <n v="0"/>
    <n v="100"/>
    <n v="0"/>
  </r>
  <r>
    <s v="5"/>
    <x v="7"/>
    <s v="  0705 0250020620 612"/>
    <s v="0705"/>
    <s v="Образование"/>
    <s v="05"/>
    <s v="Профессиональная подготовка, переподготовка и повышение квалификации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20"/>
    <s v="Расходы на обеспечение непрерывного и планомерного повышения квалификации руководящих и педагогических работников"/>
    <s v="612"/>
    <s v="Субсидии бюджетным учреждениям на иные цели"/>
    <s v="Администрация Кировского района Санкт-Петербурга"/>
    <s v="7805059546"/>
    <n v="1003.3"/>
    <n v="181.77279999999999"/>
    <n v="181.77279999999999"/>
    <n v="821.52719999999999"/>
    <n v="18"/>
  </r>
  <r>
    <s v="5"/>
    <x v="7"/>
    <s v="  0707 1750078010 611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24582.9"/>
    <n v="73077.6201"/>
    <n v="21246.7768"/>
    <n v="151505.27989999999"/>
    <n v="33"/>
  </r>
  <r>
    <s v="5"/>
    <x v="7"/>
    <s v="  0707 17500785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9320.5"/>
    <n v="0"/>
    <n v="0"/>
    <n v="9320.5"/>
    <n v="0"/>
  </r>
  <r>
    <s v="5"/>
    <x v="7"/>
    <s v="  0707 175007945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648.3"/>
    <n v="0"/>
    <n v="0"/>
    <n v="1648.3"/>
    <n v="0"/>
  </r>
  <r>
    <s v="5"/>
    <x v="7"/>
    <s v="  0707 17500794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12658.4"/>
    <n v="1943.5233000000001"/>
    <n v="253.22319999999999"/>
    <n v="10714.876700000001"/>
    <n v="15"/>
  </r>
  <r>
    <s v="5"/>
    <x v="7"/>
    <s v="  0709 021E45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5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3914.4"/>
    <n v="13914.3143"/>
    <n v="0"/>
    <n v="8.5699999999999998E-2"/>
    <n v="100"/>
  </r>
  <r>
    <s v="5"/>
    <x v="7"/>
    <s v="  0709 021E4Д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Д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9077.8"/>
    <n v="1246.9731999999999"/>
    <n v="868.70619999999997"/>
    <n v="17830.826799999999"/>
    <n v="7"/>
  </r>
  <r>
    <s v="5"/>
    <x v="7"/>
    <s v="  0709 025002010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642.6"/>
    <n v="0"/>
    <n v="0"/>
    <n v="1642.6"/>
    <n v="0"/>
  </r>
  <r>
    <s v="5"/>
    <x v="7"/>
    <s v="  0709 0250020370 244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2351.4"/>
    <n v="2239.587"/>
    <n v="0"/>
    <n v="90111.812999999995"/>
    <n v="2"/>
  </r>
  <r>
    <s v="5"/>
    <x v="7"/>
    <s v="  0709 025002037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4681.8"/>
    <n v="376.66750000000002"/>
    <n v="80"/>
    <n v="14305.1325"/>
    <n v="3"/>
  </r>
  <r>
    <s v="5"/>
    <x v="7"/>
    <s v="  0709 025002043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3320.4"/>
    <n v="15423.4966"/>
    <n v="3251.7208999999998"/>
    <n v="27896.903399999999"/>
    <n v="36"/>
  </r>
  <r>
    <s v="5"/>
    <x v="7"/>
    <s v="  0709 025002044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9928.7"/>
    <n v="23453.517400000001"/>
    <n v="4550.0973999999997"/>
    <n v="36475.1826"/>
    <n v="39"/>
  </r>
  <r>
    <s v="5"/>
    <x v="7"/>
    <s v="  0709 02500205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590"/>
    <s v="Субсидии на организацию проведения культурно-познавательной программы для обучающихся 9-х и 10-х классов государственных общеобразовательных организаций «Театральный урок в Мариинском театре»"/>
    <s v="612"/>
    <s v="Субсидии бюджетным учреждениям на иные цели"/>
    <s v="Администрация Кировского района Санкт-Петербурга"/>
    <s v="7805059546"/>
    <n v="7028.9"/>
    <n v="6696"/>
    <n v="2366.4"/>
    <n v="332.9"/>
    <n v="95"/>
  </r>
  <r>
    <s v="5"/>
    <x v="7"/>
    <s v="  0709 02500210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090"/>
    <s v="Расходы на подготовку и проведение государственной итоговой аттестации по образовательным программам основного общего и среднего обще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9787.3"/>
    <n v="0"/>
    <n v="0"/>
    <n v="19787.3"/>
    <n v="0"/>
  </r>
  <r>
    <s v="5"/>
    <x v="7"/>
    <s v="  0709 02500211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190"/>
    <s v="Расходы на ремонт и оснащение спортивных сооружений (стадионов) государственных 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4012.1"/>
    <n v="0"/>
    <n v="0"/>
    <n v="44012.1"/>
    <n v="0"/>
  </r>
  <r>
    <s v="5"/>
    <x v="7"/>
    <s v="  0709 1750078650 612"/>
    <s v="0709"/>
    <s v="Образование"/>
    <s v="09"/>
    <s v="Другие вопросы в области образования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285"/>
    <n v="208.8"/>
    <n v="215"/>
    <n v="57"/>
  </r>
  <r>
    <s v="5"/>
    <x v="7"/>
    <s v="  0801 085007008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80"/>
    <s v="Субсидии бюджетным 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32056"/>
    <n v="100312.9869"/>
    <n v="19138.1067"/>
    <n v="131743.01310000001"/>
    <n v="43"/>
  </r>
  <r>
    <s v="5"/>
    <x v="7"/>
    <s v="  0801 085007009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90"/>
    <s v="Субсидии бюджетным 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6322.7"/>
    <n v="30693.947400000001"/>
    <n v="6461.4331000000002"/>
    <n v="55628.7526"/>
    <n v="36"/>
  </r>
  <r>
    <s v="5"/>
    <x v="7"/>
    <s v="  0801 08500701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170"/>
    <s v="Субсидии бюджетным 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92328.9"/>
    <n v="70963.418699999995"/>
    <n v="13669.885"/>
    <n v="121365.4813"/>
    <n v="37"/>
  </r>
  <r>
    <s v="5"/>
    <x v="7"/>
    <s v="  0801 08500702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270"/>
    <s v="Субсидии бюджетным 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3563"/>
    <n v="26968.9683"/>
    <n v="4523.5182000000004"/>
    <n v="46594.0317"/>
    <n v="37"/>
  </r>
  <r>
    <s v="5"/>
    <x v="7"/>
    <s v="  0801 0850070470 244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8508.2999999999993"/>
    <n v="1460"/>
    <n v="0"/>
    <n v="7048.3"/>
    <n v="17"/>
  </r>
  <r>
    <s v="5"/>
    <x v="7"/>
    <s v="  0801 085007047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612"/>
    <s v="Субсидии бюджетным учреждениям на иные цели"/>
    <s v="Администрация Кировского района Санкт-Петербурга"/>
    <s v="7805059546"/>
    <n v="3002.4"/>
    <n v="933.09"/>
    <n v="172"/>
    <n v="2069.31"/>
    <n v="31"/>
  </r>
  <r>
    <s v="5"/>
    <x v="7"/>
    <s v="  0801 085007096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40101.9"/>
    <n v="10260.5952"/>
    <n v="852.69740000000002"/>
    <n v="29841.304800000002"/>
    <n v="26"/>
  </r>
  <r>
    <s v="5"/>
    <x v="7"/>
    <s v="  0801 085007161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712.6"/>
    <n v="0"/>
    <n v="0"/>
    <n v="712.6"/>
    <n v="0"/>
  </r>
  <r>
    <s v="5"/>
    <x v="7"/>
    <s v="  0801 085007164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40"/>
    <s v="Расходы на мероприятия по модернизации общедоступных библиотек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0745.7"/>
    <n v="1098.9725000000001"/>
    <n v="1098.9725000000001"/>
    <n v="29646.727500000001"/>
    <n v="4"/>
  </r>
  <r>
    <s v="5"/>
    <x v="7"/>
    <s v="  0804 0850071320 612"/>
    <s v="0804"/>
    <s v="Культура, кинематография"/>
    <s v="04"/>
    <s v="Другие вопросы в области культуры, кинематографии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2448.4"/>
    <n v="3061.3195999999998"/>
    <n v="0"/>
    <n v="9387.0804000000007"/>
    <n v="25"/>
  </r>
  <r>
    <s v="5"/>
    <x v="7"/>
    <s v="  0902 0150010080 611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07335"/>
    <n v="211794.55989999999"/>
    <n v="49157.103600000002"/>
    <n v="395540.44010000001"/>
    <n v="35"/>
  </r>
  <r>
    <s v="5"/>
    <x v="7"/>
    <s v="  0902 0150010080 614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54.6000000000004"/>
    <n v="1776.7982"/>
    <n v="675.08690000000001"/>
    <n v="3377.8018000000002"/>
    <n v="34"/>
  </r>
  <r>
    <s v="5"/>
    <x v="7"/>
    <s v="  0909 011N953652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N9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79182.8"/>
    <n v="68566.592399999994"/>
    <n v="0"/>
    <n v="10616.2076"/>
    <n v="87"/>
  </r>
  <r>
    <s v="5"/>
    <x v="7"/>
    <s v="  0909 011P3546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P3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50.1"/>
    <n v="50.1"/>
    <n v="0"/>
    <n v="0"/>
    <n v="100"/>
  </r>
  <r>
    <s v="5"/>
    <x v="7"/>
    <s v="  0909 01500100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20"/>
    <s v="Расходы на профилактику инфекционных заболеваний, включая иммунопрофилактику"/>
    <s v="612"/>
    <s v="Субсидии бюджетным учреждениям на иные цели"/>
    <s v="Администрация Кировского района Санкт-Петербурга"/>
    <s v="7805059546"/>
    <n v="35585.699999999997"/>
    <n v="13031.4553"/>
    <n v="4763.1587"/>
    <n v="22554.244699999999"/>
    <n v="37"/>
  </r>
  <r>
    <s v="5"/>
    <x v="7"/>
    <s v="  0909 0150010100 244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46.1"/>
    <n v="0"/>
    <n v="0"/>
    <n v="46.1"/>
    <n v="0"/>
  </r>
  <r>
    <s v="5"/>
    <x v="7"/>
    <s v="  0909 01500105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98282.8"/>
    <n v="0"/>
    <n v="0"/>
    <n v="98282.8"/>
    <n v="0"/>
  </r>
  <r>
    <s v="5"/>
    <x v="7"/>
    <s v="  0909 015001057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70"/>
    <s v="Расходы на приобретение оборудования дл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4237.2"/>
    <n v="0"/>
    <n v="0"/>
    <n v="14237.2"/>
    <n v="0"/>
  </r>
  <r>
    <s v="5"/>
    <x v="7"/>
    <s v="  0909 015001065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650"/>
    <s v="Расходы на приобретение немонтируемого оборудования и инвентаря для оснащения вводных объектов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00"/>
    <n v="0"/>
    <n v="0"/>
    <n v="100"/>
    <n v="0"/>
  </r>
  <r>
    <s v="5"/>
    <x v="7"/>
    <s v="  0909 015001083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30"/>
    <s v="Расходы на капитальный ремонт и замену лифтового оборудовани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5384.9"/>
    <n v="0"/>
    <n v="0"/>
    <n v="15384.9"/>
    <n v="0"/>
  </r>
  <r>
    <s v="5"/>
    <x v="7"/>
    <s v="  0909 01500108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80"/>
    <s v="Субсидии государственным учреждениям здравоохранения на оказание экстренной медицинской помощи иностранным гражданам и гражданам не идентифицированным и не застрахованным в системе ОМС при заболеваниях, включенных в базовую программу ОМС"/>
    <s v="612"/>
    <s v="Субсидии бюджетным учреждениям на иные цели"/>
    <s v="Администрация Кировского района Санкт-Петербурга"/>
    <s v="7805059546"/>
    <n v="2903.1"/>
    <n v="1445.8"/>
    <n v="1445.8"/>
    <n v="1457.3"/>
    <n v="50"/>
  </r>
  <r>
    <s v="5"/>
    <x v="7"/>
    <s v="  0909 015001100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34143.9"/>
    <n v="12012.506600000001"/>
    <n v="3086.7995000000001"/>
    <n v="22131.393400000001"/>
    <n v="35"/>
  </r>
  <r>
    <s v="5"/>
    <x v="7"/>
    <s v="  0909 015001101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10"/>
    <s v="Субсидии государственным учреждениям здравоохранения Санкт-Петербурга в целях поддержания высокого уровня оказания медицинской помощи и усиления кадрового потенциала в государственных учреждениях здравоохранения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395.8000000000002"/>
    <n v="333.41399999999999"/>
    <n v="333.41399999999999"/>
    <n v="2062.386"/>
    <n v="14"/>
  </r>
  <r>
    <s v="5"/>
    <x v="7"/>
    <s v="  1002 035004046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1890.3"/>
    <n v="75503.475300000006"/>
    <n v="15915.9462"/>
    <n v="106386.8247"/>
    <n v="42"/>
  </r>
  <r>
    <s v="5"/>
    <x v="7"/>
    <s v="  1002 035004046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8356.2"/>
    <n v="5898.2358000000004"/>
    <n v="946.47500000000002"/>
    <n v="12457.9642"/>
    <n v="32"/>
  </r>
  <r>
    <s v="5"/>
    <x v="7"/>
    <s v="  1002 035004048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9296.5"/>
    <n v="51095.823600000003"/>
    <n v="7860.2830000000004"/>
    <n v="58200.676399999997"/>
    <n v="47"/>
  </r>
  <r>
    <s v="5"/>
    <x v="7"/>
    <s v="  1002 0350040530 612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10386"/>
    <n v="0"/>
    <n v="0"/>
    <n v="10386"/>
    <n v="0"/>
  </r>
  <r>
    <s v="5"/>
    <x v="7"/>
    <s v="  1002 035004063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2844.7"/>
    <n v="5282.7761"/>
    <n v="1318.6018999999999"/>
    <n v="7561.9238999999998"/>
    <n v="41"/>
  </r>
  <r>
    <s v="5"/>
    <x v="7"/>
    <s v="  1002 035004063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443478.3"/>
    <n v="187976.16"/>
    <n v="43850.040099999998"/>
    <n v="255502.14"/>
    <n v="42"/>
  </r>
  <r>
    <s v="5"/>
    <x v="7"/>
    <s v="  1002 035004064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058.7"/>
    <n v="20571.9303"/>
    <n v="3134.2379999999998"/>
    <n v="30486.769700000001"/>
    <n v="40"/>
  </r>
  <r>
    <s v="5"/>
    <x v="7"/>
    <s v="  1003 0350040240 612"/>
    <s v="1003"/>
    <s v="Социальная политика"/>
    <s v="03"/>
    <s v="Социальное обеспече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8948.800000000003"/>
    <n v="5757.4915000000001"/>
    <n v="1608.5260000000001"/>
    <n v="43191.308499999999"/>
    <n v="12"/>
  </r>
  <r>
    <s v="5"/>
    <x v="7"/>
    <s v="  1004 0350040990 611"/>
    <s v="1004"/>
    <s v="Социальная политика"/>
    <s v="04"/>
    <s v="Охрана семьи и детства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990"/>
    <s v="Расходы на выплату компенсации части родительской платы за содержание ребенка в государственных или муниципальных образовательных учреждениях, реализующих общеобразовательную программу дошкольного образов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359.3"/>
    <n v="7537.4960000000001"/>
    <n v="2203.9652999999998"/>
    <n v="24821.804"/>
    <n v="23"/>
  </r>
  <r>
    <s v="5"/>
    <x v="7"/>
    <s v="  1101 041P545060 612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60"/>
    <s v="Расходы на проектирование, ремонт и оснащение оборудованием внутридворовых спортивных площадок для занятий физической культурой и спортом населения"/>
    <s v="612"/>
    <s v="Субсидии бюджетным учреждениям на иные цели"/>
    <s v="Администрация Кировского района Санкт-Петербурга"/>
    <s v="7805059546"/>
    <n v="9879.5"/>
    <n v="12.15"/>
    <n v="0"/>
    <n v="9867.35"/>
    <n v="0"/>
  </r>
  <r>
    <s v="5"/>
    <x v="7"/>
    <s v="  1101 0450045020 611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125.7"/>
    <n v="75332.771800000002"/>
    <n v="14942.0707"/>
    <n v="107792.92819999999"/>
    <n v="41"/>
  </r>
  <r>
    <s v="5"/>
    <x v="7"/>
    <s v="  1102 041P545010 612"/>
    <s v="1102"/>
    <s v="Физическая культура и спорт"/>
    <s v="02"/>
    <s v="Массовый спорт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545.6"/>
    <n v="1035.0730000000001"/>
    <n v="757.92939999999999"/>
    <n v="2510.527"/>
    <n v="29"/>
  </r>
  <r>
    <s v="5"/>
    <x v="7"/>
    <s v="  1103 0450045090 611"/>
    <s v="1103"/>
    <s v="Физическая культура и спорт"/>
    <s v="03"/>
    <s v="Спорт высших достижений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5200.09999999998"/>
    <n v="119741.8561"/>
    <n v="25234.016800000001"/>
    <n v="205458.2439"/>
    <n v="37"/>
  </r>
  <r>
    <s v="6"/>
    <x v="8"/>
    <s v="  0103 9950000060 244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3772.6"/>
    <n v="39.302799999999998"/>
    <n v="21.472200000000001"/>
    <n v="3733.2972"/>
    <n v="1"/>
  </r>
  <r>
    <s v="6"/>
    <x v="8"/>
    <s v="  0103 9950000060 247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8.3000000000000007"/>
    <n v="0.18429999999999999"/>
    <n v="0.18429999999999999"/>
    <n v="8.1157000000000004"/>
    <n v="2"/>
  </r>
  <r>
    <s v="6"/>
    <x v="8"/>
    <s v="  0113 0650090100 530"/>
    <s v="0113"/>
    <s v="Общегосударственные вопросы"/>
    <s v="13"/>
    <s v="Другие общегосударственные вопросы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4.400000000000006"/>
    <n v="0"/>
    <n v="0"/>
    <n v="64.400000000000006"/>
    <n v="0"/>
  </r>
  <r>
    <s v="6"/>
    <x v="8"/>
    <s v="  0113 1650099220 244"/>
    <s v="0113"/>
    <s v="Общегосударственные вопросы"/>
    <s v="13"/>
    <s v="Другие общегосударственные вопросы"/>
    <s v="16"/>
    <s v="Экономическое и социальное развитие территорий Санкт-Петербурга"/>
    <s v="165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208.2"/>
    <n v="78.489999999999995"/>
    <n v="0"/>
    <n v="129.71"/>
    <n v="38"/>
  </r>
  <r>
    <s v="6"/>
    <x v="8"/>
    <s v="  0113 1750098720 244"/>
    <s v="0113"/>
    <s v="Общегосударственные вопросы"/>
    <s v="13"/>
    <s v="Другие общегосударственные вопросы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67.9"/>
    <n v="154.7543"/>
    <n v="154.7543"/>
    <n v="413.14569999999998"/>
    <n v="27"/>
  </r>
  <r>
    <s v="6"/>
    <x v="8"/>
    <s v="  0113 9950000090 1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246128.1"/>
    <n v="125871.7782"/>
    <n v="26631.173699999999"/>
    <n v="120256.32180000001"/>
    <n v="51"/>
  </r>
  <r>
    <s v="6"/>
    <x v="8"/>
    <s v="  0113 9950000090 12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40.5"/>
    <n v="46.386000000000003"/>
    <n v="0"/>
    <n v="94.114000000000004"/>
    <n v="33"/>
  </r>
  <r>
    <s v="6"/>
    <x v="8"/>
    <s v="  0113 9950000090 12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73726.399999999994"/>
    <n v="37239.395700000001"/>
    <n v="6190.2052000000003"/>
    <n v="36487.004300000001"/>
    <n v="51"/>
  </r>
  <r>
    <s v="6"/>
    <x v="8"/>
    <s v="  0113 9950000090 24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87.728899999999996"/>
    <n v="44.344200000000001"/>
    <n v="212.27109999999999"/>
    <n v="29"/>
  </r>
  <r>
    <s v="6"/>
    <x v="8"/>
    <s v="  0113 9950000090 243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15051.1"/>
    <n v="0"/>
    <n v="0"/>
    <n v="15051.1"/>
    <n v="0"/>
  </r>
  <r>
    <s v="6"/>
    <x v="8"/>
    <s v="  0113 995000009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96234.5"/>
    <n v="16848.429100000001"/>
    <n v="8499.4197999999997"/>
    <n v="79386.070900000006"/>
    <n v="18"/>
  </r>
  <r>
    <s v="6"/>
    <x v="8"/>
    <s v="  0113 9950000090 247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160.9"/>
    <n v="9511.9698000000008"/>
    <n v="755.21900000000005"/>
    <n v="6648.9301999999998"/>
    <n v="59"/>
  </r>
  <r>
    <s v="6"/>
    <x v="8"/>
    <s v="  0113 9950000090 83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214.8"/>
    <n v="214.71510000000001"/>
    <n v="0"/>
    <n v="8.4900000000000003E-2"/>
    <n v="100"/>
  </r>
  <r>
    <s v="6"/>
    <x v="8"/>
    <s v="  0113 9950000090 853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853"/>
    <s v="Уплата иных платежей"/>
    <s v="Администрация Кировского района Санкт-Петербурга"/>
    <s v="7805059546"/>
    <n v="179.8"/>
    <n v="179.71199999999999"/>
    <n v="0"/>
    <n v="8.7999999999999995E-2"/>
    <n v="100"/>
  </r>
  <r>
    <s v="6"/>
    <x v="8"/>
    <s v="  0113 9950000320 1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181743.4"/>
    <n v="86194.136499999993"/>
    <n v="15218.4185"/>
    <n v="95549.263500000001"/>
    <n v="47"/>
  </r>
  <r>
    <s v="6"/>
    <x v="8"/>
    <s v="  0113 9950000320 11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54698.400000000001"/>
    <n v="23888.412700000001"/>
    <n v="3848.6089999999999"/>
    <n v="30809.987300000001"/>
    <n v="44"/>
  </r>
  <r>
    <s v="6"/>
    <x v="8"/>
    <s v="  0113 995000032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2625.5"/>
    <n v="2113.6610000000001"/>
    <n v="679.47249999999997"/>
    <n v="511.839"/>
    <n v="81"/>
  </r>
  <r>
    <s v="6"/>
    <x v="8"/>
    <s v="  0113 9950000320 3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321"/>
    <s v="Пособия, компенсации и иные социальные выплаты_x000a_гражданам, кроме публичных нормативных обязательств"/>
    <s v="Администрация Кировского района Санкт-Петербурга"/>
    <s v="7805059546"/>
    <n v="2"/>
    <n v="1.9904999999999999"/>
    <n v="0"/>
    <n v="9.4999999999999998E-3"/>
    <n v="100"/>
  </r>
  <r>
    <s v="6"/>
    <x v="8"/>
    <s v="  0113 9950000320 85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1.3929"/>
    <n v="0"/>
    <n v="2.3071000000000002"/>
    <n v="38"/>
  </r>
  <r>
    <s v="6"/>
    <x v="8"/>
    <s v="  0113 9950000530 6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0925.600000000006"/>
    <n v="32981.5573"/>
    <n v="6270"/>
    <n v="37944.042699999998"/>
    <n v="47"/>
  </r>
  <r>
    <s v="6"/>
    <x v="8"/>
    <s v="  0113 995000148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5536.5"/>
    <n v="2052.4924999999998"/>
    <n v="369.5813"/>
    <n v="3484.0075000000002"/>
    <n v="37"/>
  </r>
  <r>
    <s v="6"/>
    <x v="8"/>
    <s v="  0309 0650090880 244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4082.8"/>
    <n v="1256.6955"/>
    <n v="0"/>
    <n v="2826.1044999999999"/>
    <n v="31"/>
  </r>
  <r>
    <s v="6"/>
    <x v="8"/>
    <s v="  0309 0650090880 247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8518.1"/>
    <n v="264.81889999999999"/>
    <n v="0"/>
    <n v="8253.2811000000002"/>
    <n v="3"/>
  </r>
  <r>
    <s v="6"/>
    <x v="8"/>
    <s v="  0309 0650090880 851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5312.2"/>
    <n v="2714.5491999999999"/>
    <n v="0"/>
    <n v="2597.6507999999999"/>
    <n v="51"/>
  </r>
  <r>
    <s v="6"/>
    <x v="8"/>
    <s v="  0309 0650090880 853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3"/>
    <s v="Уплата иных платежей"/>
    <s v="Администрация Кировского района Санкт-Петербурга"/>
    <s v="7805059546"/>
    <n v="1748.2"/>
    <n v="1092.9703"/>
    <n v="241.8329"/>
    <n v="655.22969999999998"/>
    <n v="63"/>
  </r>
  <r>
    <s v="6"/>
    <x v="8"/>
    <s v="  0314 0650090690 244"/>
    <s v="0314"/>
    <s v="Национальная безопасность и правоохранительная деятельность"/>
    <s v="14"/>
    <s v="Другие вопросы в области национальной безопасности и правоохранительной деятельности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2.1"/>
    <n v="0"/>
    <n v="0"/>
    <n v="22.1"/>
    <n v="0"/>
  </r>
  <r>
    <s v="6"/>
    <x v="8"/>
    <s v="  0410 0650090810 612"/>
    <s v="0410"/>
    <s v="Национальная экономика"/>
    <s v="10"/>
    <s v="Связь и информатик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612"/>
    <s v="Субсидии бюджетным учреждениям на иные цели"/>
    <s v="Администрация Кировского района Санкт-Петербурга"/>
    <s v="7805059546"/>
    <n v="32862.199999999997"/>
    <n v="0"/>
    <n v="0"/>
    <n v="32862.199999999997"/>
    <n v="0"/>
  </r>
  <r>
    <s v="6"/>
    <x v="8"/>
    <s v="  0410 9950096170 242"/>
    <s v="0410"/>
    <s v="Национальная экономика"/>
    <s v="10"/>
    <s v="Связь и информатика"/>
    <s v="99"/>
    <s v="Непрограммные расходы"/>
    <s v="995"/>
    <s v="5"/>
    <s v="Процессная часть перечня мероприятий государственной программы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5402.8"/>
    <n v="2515.7139999999999"/>
    <n v="143.2413"/>
    <n v="2887.0859999999998"/>
    <n v="47"/>
  </r>
  <r>
    <s v="6"/>
    <x v="8"/>
    <s v="  0501 09500833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247.5"/>
    <n v="2897.8584000000001"/>
    <n v="1016.4219000000001"/>
    <n v="2349.6415999999999"/>
    <n v="55"/>
  </r>
  <r>
    <s v="6"/>
    <x v="8"/>
    <s v="  0501 095008347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58395.199999999997"/>
    <n v="88.846699999999998"/>
    <n v="88.846699999999998"/>
    <n v="58306.353300000002"/>
    <n v="0"/>
  </r>
  <r>
    <s v="6"/>
    <x v="8"/>
    <s v="  0501 09500834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2291.9"/>
    <n v="311.8879"/>
    <n v="15.1234"/>
    <n v="1980.0120999999999"/>
    <n v="14"/>
  </r>
  <r>
    <s v="6"/>
    <x v="8"/>
    <s v="  0501 095008348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105638.8"/>
    <n v="42803.031900000002"/>
    <n v="4789.9790999999996"/>
    <n v="62835.768100000001"/>
    <n v="41"/>
  </r>
  <r>
    <s v="6"/>
    <x v="8"/>
    <s v="  0501 095008349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16844.5"/>
    <n v="6420.3040000000001"/>
    <n v="750.58969999999999"/>
    <n v="10424.196"/>
    <n v="38"/>
  </r>
  <r>
    <s v="6"/>
    <x v="8"/>
    <s v="  0501 0950083490 247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6321.4"/>
    <n v="0"/>
    <n v="0"/>
    <n v="6321.4"/>
    <n v="0"/>
  </r>
  <r>
    <s v="6"/>
    <x v="8"/>
    <s v="  0501 095008349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785.7"/>
    <n v="2248.6954000000001"/>
    <n v="380.5308"/>
    <n v="2537.0046000000002"/>
    <n v="47"/>
  </r>
  <r>
    <s v="6"/>
    <x v="8"/>
    <s v="  0503 105008791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244"/>
    <s v="Прочая закупка товаров, работ и услуг"/>
    <s v="Администрация Кировского района Санкт-Петербурга"/>
    <s v="7805059546"/>
    <n v="1249.3"/>
    <n v="0"/>
    <n v="0"/>
    <n v="1249.3"/>
    <n v="0"/>
  </r>
  <r>
    <s v="6"/>
    <x v="8"/>
    <s v="  0503 105008791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853"/>
    <s v="Уплата иных платежей"/>
    <s v="Администрация Кировского района Санкт-Петербурга"/>
    <s v="7805059546"/>
    <n v="250.7"/>
    <n v="250.65"/>
    <n v="0"/>
    <n v="0.05"/>
    <n v="100"/>
  </r>
  <r>
    <s v="6"/>
    <x v="8"/>
    <s v="  0503 105008793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52212.9"/>
    <n v="5126.2525999999998"/>
    <n v="892.83"/>
    <n v="47086.647400000002"/>
    <n v="10"/>
  </r>
  <r>
    <s v="6"/>
    <x v="8"/>
    <s v="  0503 105008793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853"/>
    <s v="Уплата иных платежей"/>
    <s v="Администрация Кировского района Санкт-Петербурга"/>
    <s v="7805059546"/>
    <n v="406.8"/>
    <n v="406.8"/>
    <n v="0"/>
    <n v="0"/>
    <n v="100"/>
  </r>
  <r>
    <s v="6"/>
    <x v="8"/>
    <s v="  0503 105008827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244"/>
    <s v="Прочая закупка товаров, работ и услуг"/>
    <s v="Администрация Кировского района Санкт-Петербурга"/>
    <s v="7805059546"/>
    <n v="152084.6"/>
    <n v="583"/>
    <n v="0"/>
    <n v="151501.6"/>
    <n v="0"/>
  </r>
  <r>
    <s v="6"/>
    <x v="8"/>
    <s v="  0503 105008827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853"/>
    <s v="Уплата иных платежей"/>
    <s v="Администрация Кировского района Санкт-Петербурга"/>
    <s v="7805059546"/>
    <n v="2086.8000000000002"/>
    <n v="2086.8000000000002"/>
    <n v="0"/>
    <n v="0"/>
    <n v="100"/>
  </r>
  <r>
    <s v="6"/>
    <x v="8"/>
    <s v="  0505 0950083140 11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484074.8"/>
    <n v="223228.6202"/>
    <n v="36590.901299999998"/>
    <n v="260846.17980000001"/>
    <n v="46"/>
  </r>
  <r>
    <s v="6"/>
    <x v="8"/>
    <s v="  0505 0950083140 119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45129.20000000001"/>
    <n v="66672.668399999995"/>
    <n v="8086.5924000000005"/>
    <n v="78456.531600000002"/>
    <n v="46"/>
  </r>
  <r>
    <s v="6"/>
    <x v="8"/>
    <s v="  0505 095008314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06091.5"/>
    <n v="34235.614300000001"/>
    <n v="7793.8894"/>
    <n v="71855.885699999999"/>
    <n v="32"/>
  </r>
  <r>
    <s v="6"/>
    <x v="8"/>
    <s v="  0505 0950083140 247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5728.8"/>
    <n v="1419.5082"/>
    <n v="296.03590000000003"/>
    <n v="4309.2918"/>
    <n v="25"/>
  </r>
  <r>
    <s v="6"/>
    <x v="8"/>
    <s v="  0505 0950083140 83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284.7"/>
    <n v="280.87279999999998"/>
    <n v="20"/>
    <n v="3.8271999999999999"/>
    <n v="99"/>
  </r>
  <r>
    <s v="6"/>
    <x v="8"/>
    <s v="  0505 0950083140 85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454.5"/>
    <n v="45.942"/>
    <n v="0"/>
    <n v="1408.558"/>
    <n v="3"/>
  </r>
  <r>
    <s v="6"/>
    <x v="8"/>
    <s v="  0505 0950083140 852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675.8"/>
    <n v="248.1147"/>
    <n v="48.8337"/>
    <n v="427.68529999999998"/>
    <n v="37"/>
  </r>
  <r>
    <s v="6"/>
    <x v="8"/>
    <s v="  0505 0950083140 853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3"/>
    <s v="Уплата иных платежей"/>
    <s v="Администрация Кировского района Санкт-Петербурга"/>
    <s v="7805059546"/>
    <n v="185"/>
    <n v="185"/>
    <n v="185"/>
    <n v="0"/>
    <n v="100"/>
  </r>
  <r>
    <s v="6"/>
    <x v="8"/>
    <s v="  0505 095008345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50"/>
    <s v="Расходы на проведение мероприятий по созданию условий доступности для инвалидов и иных маломобильных групп населения"/>
    <s v="244"/>
    <s v="Прочая закупка товаров, работ и услуг"/>
    <s v="Администрация Кировского района Санкт-Петербурга"/>
    <s v="7805059546"/>
    <n v="3157.5"/>
    <n v="0"/>
    <n v="0"/>
    <n v="3157.5"/>
    <n v="0"/>
  </r>
  <r>
    <s v="6"/>
    <x v="8"/>
    <s v="  0701 0250020010 611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988386"/>
    <n v="2412318.9731000001"/>
    <n v="512509.46250000002"/>
    <n v="2576067.0268999999"/>
    <n v="48"/>
  </r>
  <r>
    <s v="6"/>
    <x v="8"/>
    <s v="  0701 025002094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9473.1"/>
    <n v="32.4"/>
    <n v="0"/>
    <n v="29440.7"/>
    <n v="0"/>
  </r>
  <r>
    <s v="6"/>
    <x v="8"/>
    <s v="  0701 025002145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4664.6"/>
    <n v="15456.0394"/>
    <n v="4935.3495000000003"/>
    <n v="19208.560600000001"/>
    <n v="45"/>
  </r>
  <r>
    <s v="6"/>
    <x v="8"/>
    <s v="  0702 021EВ5179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21148"/>
    <n v="14098.5764"/>
    <n v="0"/>
    <n v="7049.4236000000001"/>
    <n v="67"/>
  </r>
  <r>
    <s v="6"/>
    <x v="8"/>
    <s v="  0702 021EВ5786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7860"/>
    <s v="Расходы на обеспечение оснащения государственных общеобразовательных организаций, в том числе структурных подразделений указанных организаций, государственными символами Российской Федерации"/>
    <s v="612"/>
    <s v="Субсидии бюджетным учреждениям на иные цели"/>
    <s v="Администрация Кировского района Санкт-Петербурга"/>
    <s v="7805059546"/>
    <n v="1977.2"/>
    <n v="1819.3683000000001"/>
    <n v="-157.78829999999999"/>
    <n v="157.83170000000001"/>
    <n v="92"/>
  </r>
  <r>
    <s v="6"/>
    <x v="8"/>
    <s v="  0702 025002003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853107.2"/>
    <n v="2675409.2381000002"/>
    <n v="775420.18420000002"/>
    <n v="2177697.9619"/>
    <n v="55"/>
  </r>
  <r>
    <s v="6"/>
    <x v="8"/>
    <s v="  0702 025002006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68859"/>
    <n v="82195.7791"/>
    <n v="24334.370699999999"/>
    <n v="86663.2209"/>
    <n v="49"/>
  </r>
  <r>
    <s v="6"/>
    <x v="8"/>
    <s v="  0702 025002007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1930.899999999994"/>
    <n v="41762.512600000002"/>
    <n v="10384.143400000001"/>
    <n v="40168.3874"/>
    <n v="51"/>
  </r>
  <r>
    <s v="6"/>
    <x v="8"/>
    <s v="  0702 0250020080 63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80"/>
    <s v="Субсидии частным образовательным организациям для реализации основных общеобразовательных программ"/>
    <s v="631"/>
    <s v="Субсидии на возмещение недополученных доходов и (или) возмещение фактически понесенных затрат"/>
    <s v="Администрация Кировского района Санкт-Петербурга"/>
    <s v="7805059546"/>
    <n v="1102.9000000000001"/>
    <n v="0"/>
    <n v="0"/>
    <n v="1102.9000000000001"/>
    <n v="0"/>
  </r>
  <r>
    <s v="6"/>
    <x v="8"/>
    <s v="  0702 025002009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90"/>
    <s v="Расходы на обеспечение книгами и учебными изданиями для комплектования библиотек государственных обще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107676.4"/>
    <n v="41297.905299999999"/>
    <n v="13585.1793"/>
    <n v="66378.494699999996"/>
    <n v="38"/>
  </r>
  <r>
    <s v="6"/>
    <x v="8"/>
    <s v="  0702 025002011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10"/>
    <s v="Расходы на оснащение базовых общеобразовательных организаций современными средствами обучения и воспитания с целью повышения качества общего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20000"/>
    <n v="19921.684000000001"/>
    <n v="4163.5838000000003"/>
    <n v="78.316000000000003"/>
    <n v="100"/>
  </r>
  <r>
    <s v="6"/>
    <x v="8"/>
    <s v="  0702 025002068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80"/>
    <s v="Расходы на приобретение оборудования и инвентаря для вводимых после капитального ремонта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8490.7000000000007"/>
    <n v="0"/>
    <n v="0"/>
    <n v="8490.7000000000007"/>
    <n v="0"/>
  </r>
  <r>
    <s v="6"/>
    <x v="8"/>
    <s v="  0702 025002094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27820.2"/>
    <n v="3238.0810000000001"/>
    <n v="1758.8185000000001"/>
    <n v="124582.11900000001"/>
    <n v="3"/>
  </r>
  <r>
    <s v="6"/>
    <x v="8"/>
    <s v="  0702 025002145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8422.3"/>
    <n v="12503.258900000001"/>
    <n v="5173.2932000000001"/>
    <n v="15919.0411"/>
    <n v="44"/>
  </r>
  <r>
    <s v="6"/>
    <x v="8"/>
    <s v="  0702 025002146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60"/>
    <s v="Расходы на реализацию мероприятий проекта по вовлечению учащихся в развитие школьной инфраструктуры"/>
    <s v="612"/>
    <s v="Субсидии бюджетным учреждениям на иные цели"/>
    <s v="Администрация Кировского района Санкт-Петербурга"/>
    <s v="7805059546"/>
    <n v="2923.6"/>
    <n v="0"/>
    <n v="0"/>
    <n v="2923.6"/>
    <n v="0"/>
  </r>
  <r>
    <s v="6"/>
    <x v="8"/>
    <s v="  0702 025005303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104515.5"/>
    <n v="73036.77"/>
    <n v="32076.93"/>
    <n v="31478.73"/>
    <n v="70"/>
  </r>
  <r>
    <s v="6"/>
    <x v="8"/>
    <s v="  0702 035004065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261384"/>
    <n v="167107.717"/>
    <n v="25258.2261"/>
    <n v="94276.282999999996"/>
    <n v="64"/>
  </r>
  <r>
    <s v="6"/>
    <x v="8"/>
    <s v="  0702 03500R304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79288"/>
    <n v="114042.567"/>
    <n v="25641.026300000001"/>
    <n v="65245.432999999997"/>
    <n v="64"/>
  </r>
  <r>
    <s v="6"/>
    <x v="8"/>
    <s v="  0703 0250020300 611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53526.6"/>
    <n v="133248.61079999999"/>
    <n v="32667.701499999999"/>
    <n v="120277.9892"/>
    <n v="53"/>
  </r>
  <r>
    <s v="6"/>
    <x v="8"/>
    <s v="  0703 0250021580 816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580"/>
    <s v="Расходы на реализацию системы персонифицированного учета детей, осваивающих дополнительные образовательные программы (за исключением дополнительных предпрофессиональных программ в области искусств)"/>
    <s v="816"/>
    <s v="Субсидии в целях финансового обеспечения (возмещения)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0"/>
    <n v="0"/>
    <n v="0"/>
    <n v="100"/>
    <n v="0"/>
  </r>
  <r>
    <s v="6"/>
    <x v="8"/>
    <s v="  0705 0250020620 612"/>
    <s v="0705"/>
    <s v="Образование"/>
    <s v="05"/>
    <s v="Профессиональная подготовка, переподготовка и повышение квалификации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20"/>
    <s v="Расходы на обеспечение непрерывного и планомерного повышения квалификации руководящих и педагогических работников"/>
    <s v="612"/>
    <s v="Субсидии бюджетным учреждениям на иные цели"/>
    <s v="Администрация Кировского района Санкт-Петербурга"/>
    <s v="7805059546"/>
    <n v="1003.3"/>
    <n v="474.3972"/>
    <n v="292.62439999999998"/>
    <n v="528.90279999999996"/>
    <n v="47"/>
  </r>
  <r>
    <s v="6"/>
    <x v="8"/>
    <s v="  0707 1750078010 611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24582.9"/>
    <n v="89577.6201"/>
    <n v="16500"/>
    <n v="135005.27989999999"/>
    <n v="40"/>
  </r>
  <r>
    <s v="6"/>
    <x v="8"/>
    <s v="  0707 17500785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9320.5"/>
    <n v="0"/>
    <n v="0"/>
    <n v="9320.5"/>
    <n v="0"/>
  </r>
  <r>
    <s v="6"/>
    <x v="8"/>
    <s v="  0707 175007945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648.3"/>
    <n v="0"/>
    <n v="0"/>
    <n v="1648.3"/>
    <n v="0"/>
  </r>
  <r>
    <s v="6"/>
    <x v="8"/>
    <s v="  0707 17500794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12658.4"/>
    <n v="1943.5233000000001"/>
    <n v="0"/>
    <n v="10714.876700000001"/>
    <n v="15"/>
  </r>
  <r>
    <s v="6"/>
    <x v="8"/>
    <s v="  0709 021E45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5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3914.4"/>
    <n v="13914.3143"/>
    <n v="0"/>
    <n v="8.5699999999999998E-2"/>
    <n v="100"/>
  </r>
  <r>
    <s v="6"/>
    <x v="8"/>
    <s v="  0709 021E4Д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Д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9077.8"/>
    <n v="11399.8732"/>
    <n v="10152.9"/>
    <n v="7677.9268000000002"/>
    <n v="60"/>
  </r>
  <r>
    <s v="6"/>
    <x v="8"/>
    <s v="  0709 025002010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642.6"/>
    <n v="0"/>
    <n v="0"/>
    <n v="1642.6"/>
    <n v="0"/>
  </r>
  <r>
    <s v="6"/>
    <x v="8"/>
    <s v="  0709 0250020370 244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2351.4"/>
    <n v="2239.587"/>
    <n v="0"/>
    <n v="90111.812999999995"/>
    <n v="2"/>
  </r>
  <r>
    <s v="6"/>
    <x v="8"/>
    <s v="  0709 025002037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4681.8"/>
    <n v="3634.6509999999998"/>
    <n v="3257.9834999999998"/>
    <n v="11047.148999999999"/>
    <n v="25"/>
  </r>
  <r>
    <s v="6"/>
    <x v="8"/>
    <s v="  0709 025002043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3320.4"/>
    <n v="23212.595099999999"/>
    <n v="7789.0985000000001"/>
    <n v="20107.804899999999"/>
    <n v="54"/>
  </r>
  <r>
    <s v="6"/>
    <x v="8"/>
    <s v="  0709 025002044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9928.7"/>
    <n v="30883.766299999999"/>
    <n v="7430.2488999999996"/>
    <n v="29044.933700000001"/>
    <n v="52"/>
  </r>
  <r>
    <s v="6"/>
    <x v="8"/>
    <s v="  0709 02500205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590"/>
    <s v="Субсидии на организацию проведения культурно-познавательной программы для обучающихся 9-х и 10-х классов государственных общеобразовательных организаций «Театральный урок в Мариинском театре»"/>
    <s v="612"/>
    <s v="Субсидии бюджетным учреждениям на иные цели"/>
    <s v="Администрация Кировского района Санкт-Петербурга"/>
    <s v="7805059546"/>
    <n v="7028.9"/>
    <n v="7027.2"/>
    <n v="331.2"/>
    <n v="1.7"/>
    <n v="100"/>
  </r>
  <r>
    <s v="6"/>
    <x v="8"/>
    <s v="  0709 02500210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090"/>
    <s v="Расходы на подготовку и проведение государственной итоговой аттестации по образовательным программам основного общего и среднего обще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9787.3"/>
    <n v="1629.3552"/>
    <n v="1629.3552"/>
    <n v="18157.944800000001"/>
    <n v="8"/>
  </r>
  <r>
    <s v="6"/>
    <x v="8"/>
    <s v="  0709 02500211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190"/>
    <s v="Расходы на ремонт и оснащение спортивных сооружений (стадионов) государственных 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4012.1"/>
    <n v="0"/>
    <n v="0"/>
    <n v="44012.1"/>
    <n v="0"/>
  </r>
  <r>
    <s v="6"/>
    <x v="8"/>
    <s v="  0709 1750078650 612"/>
    <s v="0709"/>
    <s v="Образование"/>
    <s v="09"/>
    <s v="Другие вопросы в области образования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285"/>
    <n v="0"/>
    <n v="215"/>
    <n v="57"/>
  </r>
  <r>
    <s v="6"/>
    <x v="8"/>
    <s v="  0801 085007008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80"/>
    <s v="Субсидии бюджетным 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32056"/>
    <n v="124351.2417"/>
    <n v="24038.254799999999"/>
    <n v="107704.7583"/>
    <n v="54"/>
  </r>
  <r>
    <s v="6"/>
    <x v="8"/>
    <s v="  0801 085007009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90"/>
    <s v="Субсидии бюджетным 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6322.7"/>
    <n v="39693.334999999999"/>
    <n v="8999.3876"/>
    <n v="46629.364999999998"/>
    <n v="46"/>
  </r>
  <r>
    <s v="6"/>
    <x v="8"/>
    <s v="  0801 08500701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170"/>
    <s v="Субсидии бюджетным 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92328.9"/>
    <n v="86993.201700000005"/>
    <n v="16029.782999999999"/>
    <n v="105335.6983"/>
    <n v="45"/>
  </r>
  <r>
    <s v="6"/>
    <x v="8"/>
    <s v="  0801 08500702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270"/>
    <s v="Субсидии бюджетным 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3563"/>
    <n v="37153.4539"/>
    <n v="10184.4856"/>
    <n v="36409.5461"/>
    <n v="51"/>
  </r>
  <r>
    <s v="6"/>
    <x v="8"/>
    <s v="  0801 0850070470 244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8508.2999999999993"/>
    <n v="2320"/>
    <n v="860"/>
    <n v="6188.3"/>
    <n v="27"/>
  </r>
  <r>
    <s v="6"/>
    <x v="8"/>
    <s v="  0801 085007047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612"/>
    <s v="Субсидии бюджетным учреждениям на иные цели"/>
    <s v="Администрация Кировского района Санкт-Петербурга"/>
    <s v="7805059546"/>
    <n v="3002.4"/>
    <n v="1069.52"/>
    <n v="136.43"/>
    <n v="1932.88"/>
    <n v="36"/>
  </r>
  <r>
    <s v="6"/>
    <x v="8"/>
    <s v="  0801 085007096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40101.9"/>
    <n v="12161.004300000001"/>
    <n v="1900.4091000000001"/>
    <n v="27940.895700000001"/>
    <n v="30"/>
  </r>
  <r>
    <s v="6"/>
    <x v="8"/>
    <s v="  0801 085007161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712.6"/>
    <n v="0"/>
    <n v="0"/>
    <n v="712.6"/>
    <n v="0"/>
  </r>
  <r>
    <s v="6"/>
    <x v="8"/>
    <s v="  0801 085007164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40"/>
    <s v="Расходы на мероприятия по модернизации общедоступных библиотек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0745.7"/>
    <n v="11838.8542"/>
    <n v="10739.8817"/>
    <n v="18906.845799999999"/>
    <n v="39"/>
  </r>
  <r>
    <s v="6"/>
    <x v="8"/>
    <s v="  0804 0850071320 612"/>
    <s v="0804"/>
    <s v="Культура, кинематография"/>
    <s v="04"/>
    <s v="Другие вопросы в области культуры, кинематографии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2448.4"/>
    <n v="3061.3195999999998"/>
    <n v="0"/>
    <n v="9387.0804000000007"/>
    <n v="25"/>
  </r>
  <r>
    <s v="6"/>
    <x v="8"/>
    <s v="  0902 0150010080 611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07335"/>
    <n v="274113.77299999999"/>
    <n v="62319.213100000001"/>
    <n v="333221.22700000001"/>
    <n v="45"/>
  </r>
  <r>
    <s v="6"/>
    <x v="8"/>
    <s v="  0902 0150010080 614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54.6000000000004"/>
    <n v="2014.4975999999999"/>
    <n v="237.6994"/>
    <n v="3140.1024000000002"/>
    <n v="39"/>
  </r>
  <r>
    <s v="6"/>
    <x v="8"/>
    <s v="  0909 011N953652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N9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79182.8"/>
    <n v="68566.592399999994"/>
    <n v="0"/>
    <n v="10616.2076"/>
    <n v="87"/>
  </r>
  <r>
    <s v="6"/>
    <x v="8"/>
    <s v="  0909 011P3546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P3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50.1"/>
    <n v="50.1"/>
    <n v="0"/>
    <n v="0"/>
    <n v="100"/>
  </r>
  <r>
    <s v="6"/>
    <x v="8"/>
    <s v="  0909 01500100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20"/>
    <s v="Расходы на профилактику инфекционных заболеваний, включая иммунопрофилактику"/>
    <s v="612"/>
    <s v="Субсидии бюджетным учреждениям на иные цели"/>
    <s v="Администрация Кировского района Санкт-Петербурга"/>
    <s v="7805059546"/>
    <n v="35585.699999999997"/>
    <n v="15407.541300000001"/>
    <n v="2376.0859999999998"/>
    <n v="20178.1587"/>
    <n v="43"/>
  </r>
  <r>
    <s v="6"/>
    <x v="8"/>
    <s v="  0909 0150010100 244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46.1"/>
    <n v="0"/>
    <n v="0"/>
    <n v="46.1"/>
    <n v="0"/>
  </r>
  <r>
    <s v="6"/>
    <x v="8"/>
    <s v="  0909 01500105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98282.8"/>
    <n v="0"/>
    <n v="0"/>
    <n v="98282.8"/>
    <n v="0"/>
  </r>
  <r>
    <s v="6"/>
    <x v="8"/>
    <s v="  0909 015001057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70"/>
    <s v="Расходы на приобретение оборудования дл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4237.2"/>
    <n v="0"/>
    <n v="0"/>
    <n v="14237.2"/>
    <n v="0"/>
  </r>
  <r>
    <s v="6"/>
    <x v="8"/>
    <s v="  0909 015001065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650"/>
    <s v="Расходы на приобретение немонтируемого оборудования и инвентаря для оснащения вводных объектов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00"/>
    <n v="0"/>
    <n v="0"/>
    <n v="100"/>
    <n v="0"/>
  </r>
  <r>
    <s v="6"/>
    <x v="8"/>
    <s v="  0909 015001083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30"/>
    <s v="Расходы на капитальный ремонт и замену лифтового оборудовани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5384.9"/>
    <n v="0"/>
    <n v="0"/>
    <n v="15384.9"/>
    <n v="0"/>
  </r>
  <r>
    <s v="6"/>
    <x v="8"/>
    <s v="  0909 01500108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80"/>
    <s v="Субсидии государственным учреждениям здравоохранения на оказание экстренной медицинской помощи иностранным гражданам и гражданам не идентифицированным и не застрахованным в системе ОМС при заболеваниях, включенных в базовую программу ОМС"/>
    <s v="612"/>
    <s v="Субсидии бюджетным учреждениям на иные цели"/>
    <s v="Администрация Кировского района Санкт-Петербурга"/>
    <s v="7805059546"/>
    <n v="2903.1"/>
    <n v="1551.7687000000001"/>
    <n v="105.9687"/>
    <n v="1351.3313000000001"/>
    <n v="53"/>
  </r>
  <r>
    <s v="6"/>
    <x v="8"/>
    <s v="  0909 015001100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34143.9"/>
    <n v="15503.188099999999"/>
    <n v="3490.6815000000001"/>
    <n v="18640.711899999998"/>
    <n v="45"/>
  </r>
  <r>
    <s v="6"/>
    <x v="8"/>
    <s v="  0909 015001101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10"/>
    <s v="Субсидии государственным учреждениям здравоохранения Санкт-Петербурга в целях поддержания высокого уровня оказания медицинской помощи и усиления кадрового потенциала в государственных учреждениях здравоохранения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395.8000000000002"/>
    <n v="2007.7739999999999"/>
    <n v="1674.36"/>
    <n v="388.02600000000001"/>
    <n v="84"/>
  </r>
  <r>
    <s v="6"/>
    <x v="8"/>
    <s v="  1002 035004046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1890.3"/>
    <n v="96015.305500000002"/>
    <n v="20511.8302"/>
    <n v="85874.994500000001"/>
    <n v="53"/>
  </r>
  <r>
    <s v="6"/>
    <x v="8"/>
    <s v="  1002 035004046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8356.2"/>
    <n v="7064.9655000000002"/>
    <n v="1166.7297000000001"/>
    <n v="11291.2345"/>
    <n v="38"/>
  </r>
  <r>
    <s v="6"/>
    <x v="8"/>
    <s v="  1002 035004048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9296.5"/>
    <n v="61211.803599999999"/>
    <n v="10115.98"/>
    <n v="48084.696400000001"/>
    <n v="56"/>
  </r>
  <r>
    <s v="6"/>
    <x v="8"/>
    <s v="  1002 0350040530 612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10386"/>
    <n v="0"/>
    <n v="0"/>
    <n v="10386"/>
    <n v="0"/>
  </r>
  <r>
    <s v="6"/>
    <x v="8"/>
    <s v="  1002 035004063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2844.7"/>
    <n v="6689.6291000000001"/>
    <n v="1406.8530000000001"/>
    <n v="6155.0708999999997"/>
    <n v="52"/>
  </r>
  <r>
    <s v="6"/>
    <x v="8"/>
    <s v="  1002 035004063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443478.3"/>
    <n v="225427.399"/>
    <n v="37451.239000000001"/>
    <n v="218050.90100000001"/>
    <n v="51"/>
  </r>
  <r>
    <s v="6"/>
    <x v="8"/>
    <s v="  1002 035004064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058.7"/>
    <n v="25872.826099999998"/>
    <n v="5300.8958000000002"/>
    <n v="25185.873899999999"/>
    <n v="51"/>
  </r>
  <r>
    <s v="6"/>
    <x v="8"/>
    <s v="  1003 0350040240 612"/>
    <s v="1003"/>
    <s v="Социальная политика"/>
    <s v="03"/>
    <s v="Социальное обеспече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8948.800000000003"/>
    <n v="39284.074000000001"/>
    <n v="33526.582499999997"/>
    <n v="9664.7260000000006"/>
    <n v="80"/>
  </r>
  <r>
    <s v="6"/>
    <x v="8"/>
    <s v="  1004 0350040990 611"/>
    <s v="1004"/>
    <s v="Социальная политика"/>
    <s v="04"/>
    <s v="Охрана семьи и детства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990"/>
    <s v="Расходы на выплату компенсации части родительской платы за содержание ребенка в государственных или муниципальных образовательных учреждениях, реализующих общеобразовательную программу дошкольного образов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359.3"/>
    <n v="11246.9051"/>
    <n v="3709.4090999999999"/>
    <n v="21112.394899999999"/>
    <n v="35"/>
  </r>
  <r>
    <s v="6"/>
    <x v="8"/>
    <s v="  1101 041P545060 612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60"/>
    <s v="Расходы на проектирование, ремонт и оснащение оборудованием внутридворовых спортивных площадок для занятий физической культурой и спортом населения"/>
    <s v="612"/>
    <s v="Субсидии бюджетным учреждениям на иные цели"/>
    <s v="Администрация Кировского района Санкт-Петербурга"/>
    <s v="7805059546"/>
    <n v="9879.5"/>
    <n v="977.62"/>
    <n v="965.47"/>
    <n v="8901.8799999999992"/>
    <n v="10"/>
  </r>
  <r>
    <s v="6"/>
    <x v="8"/>
    <s v="  1101 0450045020 611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125.7"/>
    <n v="90105.565000000002"/>
    <n v="14772.7932"/>
    <n v="93020.134999999995"/>
    <n v="49"/>
  </r>
  <r>
    <s v="6"/>
    <x v="8"/>
    <s v="  1102 041P545010 612"/>
    <s v="1102"/>
    <s v="Физическая культура и спорт"/>
    <s v="02"/>
    <s v="Массовый спорт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545.6"/>
    <n v="1035.0730000000001"/>
    <n v="0"/>
    <n v="2510.527"/>
    <n v="29"/>
  </r>
  <r>
    <s v="6"/>
    <x v="8"/>
    <s v="  1103 0450045090 611"/>
    <s v="1103"/>
    <s v="Физическая культура и спорт"/>
    <s v="03"/>
    <s v="Спорт высших достижений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5200.09999999998"/>
    <n v="151130.7537"/>
    <n v="31388.8976"/>
    <n v="174069.3463"/>
    <n v="46"/>
  </r>
  <r>
    <s v="7"/>
    <x v="9"/>
    <s v="  0103 9950000060 244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3772.6"/>
    <n v="39.302799999999998"/>
    <n v="0"/>
    <n v="3733.2972"/>
    <n v="1"/>
  </r>
  <r>
    <s v="7"/>
    <x v="9"/>
    <s v="  0103 9950000060 247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8.3000000000000007"/>
    <n v="0.92269999999999996"/>
    <n v="0.73839999999999995"/>
    <n v="7.3773"/>
    <n v="11"/>
  </r>
  <r>
    <s v="7"/>
    <x v="9"/>
    <s v="  0113 0650090100 530"/>
    <s v="0113"/>
    <s v="Общегосударственные вопросы"/>
    <s v="13"/>
    <s v="Другие общегосударственные вопросы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4.400000000000006"/>
    <n v="0"/>
    <n v="0"/>
    <n v="64.400000000000006"/>
    <n v="0"/>
  </r>
  <r>
    <s v="7"/>
    <x v="9"/>
    <s v="  0113 1650099220 244"/>
    <s v="0113"/>
    <s v="Общегосударственные вопросы"/>
    <s v="13"/>
    <s v="Другие общегосударственные вопросы"/>
    <s v="16"/>
    <s v="Экономическое и социальное развитие территорий Санкт-Петербурга"/>
    <s v="165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208.2"/>
    <n v="85.19"/>
    <n v="6.7"/>
    <n v="123.01"/>
    <n v="41"/>
  </r>
  <r>
    <s v="7"/>
    <x v="9"/>
    <s v="  0113 1750098720 244"/>
    <s v="0113"/>
    <s v="Общегосударственные вопросы"/>
    <s v="13"/>
    <s v="Другие общегосударственные вопросы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67.9"/>
    <n v="211.66390000000001"/>
    <n v="56.909599999999998"/>
    <n v="356.23610000000002"/>
    <n v="37"/>
  </r>
  <r>
    <s v="7"/>
    <x v="9"/>
    <s v="  0113 9950000090 1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246128.1"/>
    <n v="146200.56950000001"/>
    <n v="20328.791300000001"/>
    <n v="99927.530499999993"/>
    <n v="59"/>
  </r>
  <r>
    <s v="7"/>
    <x v="9"/>
    <s v="  0113 9950000090 12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40.5"/>
    <n v="78.436000000000007"/>
    <n v="32.049999999999997"/>
    <n v="62.064"/>
    <n v="56"/>
  </r>
  <r>
    <s v="7"/>
    <x v="9"/>
    <s v="  0113 9950000090 12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73726.399999999994"/>
    <n v="45764.949399999998"/>
    <n v="8525.5537000000004"/>
    <n v="27961.4506"/>
    <n v="62"/>
  </r>
  <r>
    <s v="7"/>
    <x v="9"/>
    <s v="  0113 9950000090 24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97.108199999999997"/>
    <n v="9.3793000000000006"/>
    <n v="202.89179999999999"/>
    <n v="32"/>
  </r>
  <r>
    <s v="7"/>
    <x v="9"/>
    <s v="  0113 9950000090 243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14835.2"/>
    <n v="0"/>
    <n v="0"/>
    <n v="14835.2"/>
    <n v="0"/>
  </r>
  <r>
    <s v="7"/>
    <x v="9"/>
    <s v="  0113 995000009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96234.5"/>
    <n v="17505.246500000001"/>
    <n v="656.81740000000002"/>
    <n v="78729.253500000006"/>
    <n v="18"/>
  </r>
  <r>
    <s v="7"/>
    <x v="9"/>
    <s v="  0113 9950000090 247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160.9"/>
    <n v="10009.992"/>
    <n v="498.0222"/>
    <n v="6150.9080000000004"/>
    <n v="62"/>
  </r>
  <r>
    <s v="7"/>
    <x v="9"/>
    <s v="  0113 9950000090 83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430.7"/>
    <n v="354.8981"/>
    <n v="140.18299999999999"/>
    <n v="75.801900000000003"/>
    <n v="82"/>
  </r>
  <r>
    <s v="7"/>
    <x v="9"/>
    <s v="  0113 9950000090 853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853"/>
    <s v="Уплата иных платежей"/>
    <s v="Администрация Кировского района Санкт-Петербурга"/>
    <s v="7805059546"/>
    <n v="179.8"/>
    <n v="179.71199999999999"/>
    <n v="0"/>
    <n v="8.7999999999999995E-2"/>
    <n v="100"/>
  </r>
  <r>
    <s v="7"/>
    <x v="9"/>
    <s v="  0113 9950000320 1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181743.4"/>
    <n v="102814.6458"/>
    <n v="16620.509300000002"/>
    <n v="78928.754199999996"/>
    <n v="57"/>
  </r>
  <r>
    <s v="7"/>
    <x v="9"/>
    <s v="  0113 9950000320 11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54698.400000000001"/>
    <n v="27541.202700000002"/>
    <n v="3652.79"/>
    <n v="27157.1973"/>
    <n v="50"/>
  </r>
  <r>
    <s v="7"/>
    <x v="9"/>
    <s v="  0113 995000032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2625.5"/>
    <n v="2271.2456999999999"/>
    <n v="157.5847"/>
    <n v="354.2543"/>
    <n v="87"/>
  </r>
  <r>
    <s v="7"/>
    <x v="9"/>
    <s v="  0113 9950000320 3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321"/>
    <s v="Пособия, компенсации и иные социальные выплаты_x000a_гражданам, кроме публичных нормативных обязательств"/>
    <s v="Администрация Кировского района Санкт-Петербурга"/>
    <s v="7805059546"/>
    <n v="2"/>
    <n v="1.9904999999999999"/>
    <n v="0"/>
    <n v="9.4999999999999998E-3"/>
    <n v="100"/>
  </r>
  <r>
    <s v="7"/>
    <x v="9"/>
    <s v="  0113 9950000320 85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2.3089"/>
    <n v="0.91600000000000004"/>
    <n v="1.3911"/>
    <n v="62"/>
  </r>
  <r>
    <s v="7"/>
    <x v="9"/>
    <s v="  0113 9950000530 6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0925.600000000006"/>
    <n v="39101.599999999999"/>
    <n v="6120.0427"/>
    <n v="31824"/>
    <n v="55"/>
  </r>
  <r>
    <s v="7"/>
    <x v="9"/>
    <s v="  0113 995000148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5536.5"/>
    <n v="2387.2683999999999"/>
    <n v="334.77589999999998"/>
    <n v="3149.2316000000001"/>
    <n v="43"/>
  </r>
  <r>
    <s v="7"/>
    <x v="9"/>
    <s v="  0309 0650090880 244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4082.8"/>
    <n v="3256.9695000000002"/>
    <n v="2000.2739999999999"/>
    <n v="825.83050000000003"/>
    <n v="80"/>
  </r>
  <r>
    <s v="7"/>
    <x v="9"/>
    <s v="  0309 0650090880 247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8518.1"/>
    <n v="264.81889999999999"/>
    <n v="0"/>
    <n v="8253.2811000000002"/>
    <n v="3"/>
  </r>
  <r>
    <s v="7"/>
    <x v="9"/>
    <s v="  0309 0650090880 851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5312.2"/>
    <n v="4513.5222000000003"/>
    <n v="1798.973"/>
    <n v="798.67780000000005"/>
    <n v="85"/>
  </r>
  <r>
    <s v="7"/>
    <x v="9"/>
    <s v="  0309 0650090880 853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3"/>
    <s v="Уплата иных платежей"/>
    <s v="Администрация Кировского района Санкт-Петербурга"/>
    <s v="7805059546"/>
    <n v="1748.2"/>
    <n v="1339.3568"/>
    <n v="246.38650000000001"/>
    <n v="408.84320000000002"/>
    <n v="77"/>
  </r>
  <r>
    <s v="7"/>
    <x v="9"/>
    <s v="  0314 0650090690 244"/>
    <s v="0314"/>
    <s v="Национальная безопасность и правоохранительная деятельность"/>
    <s v="14"/>
    <s v="Другие вопросы в области национальной безопасности и правоохранительной деятельности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2.1"/>
    <n v="11.1165"/>
    <n v="11.1165"/>
    <n v="10.983499999999999"/>
    <n v="50"/>
  </r>
  <r>
    <s v="7"/>
    <x v="9"/>
    <s v="  0410 0650090810 612"/>
    <s v="0410"/>
    <s v="Национальная экономика"/>
    <s v="10"/>
    <s v="Связь и информатик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612"/>
    <s v="Субсидии бюджетным учреждениям на иные цели"/>
    <s v="Администрация Кировского района Санкт-Петербурга"/>
    <s v="7805059546"/>
    <n v="33219"/>
    <n v="264.53699999999998"/>
    <n v="264.53699999999998"/>
    <n v="32954.463000000003"/>
    <n v="1"/>
  </r>
  <r>
    <s v="7"/>
    <x v="9"/>
    <s v="  0410 9950096170 242"/>
    <s v="0410"/>
    <s v="Национальная экономика"/>
    <s v="10"/>
    <s v="Связь и информатика"/>
    <s v="99"/>
    <s v="Непрограммные расходы"/>
    <s v="995"/>
    <s v="5"/>
    <s v="Процессная часть перечня мероприятий государственной программы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5402.8"/>
    <n v="2698.5666000000001"/>
    <n v="182.8526"/>
    <n v="2704.2334000000001"/>
    <n v="50"/>
  </r>
  <r>
    <s v="7"/>
    <x v="9"/>
    <s v="  0501 09500833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247.5"/>
    <n v="4719.3203999999996"/>
    <n v="1821.462"/>
    <n v="528.17960000000005"/>
    <n v="90"/>
  </r>
  <r>
    <s v="7"/>
    <x v="9"/>
    <s v="  0501 095008347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58395.199999999997"/>
    <n v="88.846699999999998"/>
    <n v="0"/>
    <n v="58306.353300000002"/>
    <n v="0"/>
  </r>
  <r>
    <s v="7"/>
    <x v="9"/>
    <s v="  0501 09500834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2291.9"/>
    <n v="400.46890000000002"/>
    <n v="88.581000000000003"/>
    <n v="1891.4311"/>
    <n v="17"/>
  </r>
  <r>
    <s v="7"/>
    <x v="9"/>
    <s v="  0501 095008348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105638.8"/>
    <n v="52631.239399999999"/>
    <n v="9828.2075000000004"/>
    <n v="53007.560599999997"/>
    <n v="50"/>
  </r>
  <r>
    <s v="7"/>
    <x v="9"/>
    <s v="  0501 095008349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16844.5"/>
    <n v="9954.7235000000001"/>
    <n v="3534.4195"/>
    <n v="6889.7764999999999"/>
    <n v="59"/>
  </r>
  <r>
    <s v="7"/>
    <x v="9"/>
    <s v="  0501 0950083490 247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6321.4"/>
    <n v="0"/>
    <n v="0"/>
    <n v="6321.4"/>
    <n v="0"/>
  </r>
  <r>
    <s v="7"/>
    <x v="9"/>
    <s v="  0501 095008349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785.7"/>
    <n v="2647.8735000000001"/>
    <n v="399.17809999999997"/>
    <n v="2137.8265000000001"/>
    <n v="55"/>
  </r>
  <r>
    <s v="7"/>
    <x v="9"/>
    <s v="  0503 105008791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244"/>
    <s v="Прочая закупка товаров, работ и услуг"/>
    <s v="Администрация Кировского района Санкт-Петербурга"/>
    <s v="7805059546"/>
    <n v="1249.3"/>
    <n v="340"/>
    <n v="340"/>
    <n v="909.3"/>
    <n v="27"/>
  </r>
  <r>
    <s v="7"/>
    <x v="9"/>
    <s v="  0503 105008791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853"/>
    <s v="Уплата иных платежей"/>
    <s v="Администрация Кировского района Санкт-Петербурга"/>
    <s v="7805059546"/>
    <n v="250.7"/>
    <n v="250.65"/>
    <n v="0"/>
    <n v="0.05"/>
    <n v="100"/>
  </r>
  <r>
    <s v="7"/>
    <x v="9"/>
    <s v="  0503 105008793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52212.9"/>
    <n v="6019.0825000000004"/>
    <n v="892.82989999999995"/>
    <n v="46193.817499999997"/>
    <n v="12"/>
  </r>
  <r>
    <s v="7"/>
    <x v="9"/>
    <s v="  0503 105008793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853"/>
    <s v="Уплата иных платежей"/>
    <s v="Администрация Кировского района Санкт-Петербурга"/>
    <s v="7805059546"/>
    <n v="406.8"/>
    <n v="406.8"/>
    <n v="0"/>
    <n v="0"/>
    <n v="100"/>
  </r>
  <r>
    <s v="7"/>
    <x v="9"/>
    <s v="  0503 105008827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244"/>
    <s v="Прочая закупка товаров, работ и услуг"/>
    <s v="Администрация Кировского района Санкт-Петербурга"/>
    <s v="7805059546"/>
    <n v="152084.6"/>
    <n v="3509.1210999999998"/>
    <n v="2926.1210999999998"/>
    <n v="148575.47889999999"/>
    <n v="2"/>
  </r>
  <r>
    <s v="7"/>
    <x v="9"/>
    <s v="  0503 105008827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853"/>
    <s v="Уплата иных платежей"/>
    <s v="Администрация Кировского района Санкт-Петербурга"/>
    <s v="7805059546"/>
    <n v="2086.8000000000002"/>
    <n v="2086.8000000000002"/>
    <n v="0"/>
    <n v="0"/>
    <n v="100"/>
  </r>
  <r>
    <s v="7"/>
    <x v="9"/>
    <s v="  0505 0950083140 11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484074.8"/>
    <n v="258486.84909999999"/>
    <n v="35258.228900000002"/>
    <n v="225587.9509"/>
    <n v="53"/>
  </r>
  <r>
    <s v="7"/>
    <x v="9"/>
    <s v="  0505 0950083140 119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45129.20000000001"/>
    <n v="77327.315000000002"/>
    <n v="10654.6466"/>
    <n v="67801.884999999995"/>
    <n v="53"/>
  </r>
  <r>
    <s v="7"/>
    <x v="9"/>
    <s v="  0505 095008314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06091.5"/>
    <n v="39378.158499999998"/>
    <n v="5142.5442000000003"/>
    <n v="66713.341499999995"/>
    <n v="37"/>
  </r>
  <r>
    <s v="7"/>
    <x v="9"/>
    <s v="  0505 0950083140 247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5728.8"/>
    <n v="1576.2217000000001"/>
    <n v="156.71350000000001"/>
    <n v="4152.5783000000001"/>
    <n v="28"/>
  </r>
  <r>
    <s v="7"/>
    <x v="9"/>
    <s v="  0505 0950083140 83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284.7"/>
    <n v="280.87279999999998"/>
    <n v="0"/>
    <n v="3.8271999999999999"/>
    <n v="99"/>
  </r>
  <r>
    <s v="7"/>
    <x v="9"/>
    <s v="  0505 0950083140 85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454.5"/>
    <n v="91.74"/>
    <n v="45.798000000000002"/>
    <n v="1362.76"/>
    <n v="6"/>
  </r>
  <r>
    <s v="7"/>
    <x v="9"/>
    <s v="  0505 0950083140 852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675.8"/>
    <n v="321.7817"/>
    <n v="73.667000000000002"/>
    <n v="354.01830000000001"/>
    <n v="48"/>
  </r>
  <r>
    <s v="7"/>
    <x v="9"/>
    <s v="  0505 0950083140 853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3"/>
    <s v="Уплата иных платежей"/>
    <s v="Администрация Кировского района Санкт-Петербурга"/>
    <s v="7805059546"/>
    <n v="185"/>
    <n v="185"/>
    <n v="0"/>
    <n v="0"/>
    <n v="100"/>
  </r>
  <r>
    <s v="7"/>
    <x v="9"/>
    <s v="  0505 095008345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50"/>
    <s v="Расходы на проведение мероприятий по созданию условий доступности для инвалидов и иных маломобильных групп населения"/>
    <s v="244"/>
    <s v="Прочая закупка товаров, работ и услуг"/>
    <s v="Администрация Кировского района Санкт-Петербурга"/>
    <s v="7805059546"/>
    <n v="3157.5"/>
    <n v="0"/>
    <n v="0"/>
    <n v="3157.5"/>
    <n v="0"/>
  </r>
  <r>
    <s v="7"/>
    <x v="9"/>
    <s v="  0701 0250020010 611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988386"/>
    <n v="2851907.6228"/>
    <n v="439588.64970000001"/>
    <n v="2136478.3772"/>
    <n v="57"/>
  </r>
  <r>
    <s v="7"/>
    <x v="9"/>
    <s v="  0701 025002094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9473.1"/>
    <n v="32.4"/>
    <n v="0"/>
    <n v="29440.7"/>
    <n v="0"/>
  </r>
  <r>
    <s v="7"/>
    <x v="9"/>
    <s v="  0701 025002145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4664.6"/>
    <n v="19447.616399999999"/>
    <n v="3991.5770000000002"/>
    <n v="15216.9836"/>
    <n v="56"/>
  </r>
  <r>
    <s v="7"/>
    <x v="9"/>
    <s v="  0702 021EВ5179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21148"/>
    <n v="14098.5764"/>
    <n v="0"/>
    <n v="7049.4236000000001"/>
    <n v="67"/>
  </r>
  <r>
    <s v="7"/>
    <x v="9"/>
    <s v="  0702 021EВ5786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7860"/>
    <s v="Расходы на обеспечение оснащения государственных общеобразовательных организаций, в том числе структурных подразделений указанных организаций, государственными символами Российской Федерации"/>
    <s v="612"/>
    <s v="Субсидии бюджетным учреждениям на иные цели"/>
    <s v="Администрация Кировского района Санкт-Петербурга"/>
    <s v="7805059546"/>
    <n v="1977.2"/>
    <n v="1819.3683000000001"/>
    <n v="0"/>
    <n v="157.83170000000001"/>
    <n v="92"/>
  </r>
  <r>
    <s v="7"/>
    <x v="9"/>
    <s v="  0702 025002003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853107.2"/>
    <n v="3040198.1480999999"/>
    <n v="364788.91"/>
    <n v="1812909.0519000001"/>
    <n v="63"/>
  </r>
  <r>
    <s v="7"/>
    <x v="9"/>
    <s v="  0702 025002006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68859"/>
    <n v="94411.176399999997"/>
    <n v="12215.397300000001"/>
    <n v="74447.823600000003"/>
    <n v="56"/>
  </r>
  <r>
    <s v="7"/>
    <x v="9"/>
    <s v="  0702 025002007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1930.899999999994"/>
    <n v="49389.077700000002"/>
    <n v="7626.5650999999998"/>
    <n v="32541.8223"/>
    <n v="60"/>
  </r>
  <r>
    <s v="7"/>
    <x v="9"/>
    <s v="  0702 0250020080 633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80"/>
    <s v="Субсидии частным образовательным организациям для реализации основных общеобразовательных программ"/>
    <s v="633"/>
    <s v="Субсидии (гранты в форме субсидий), не подлежащие казначейскому сопровождению"/>
    <s v="Администрация Кировского района Санкт-Петербурга"/>
    <s v="7805059546"/>
    <n v="1102.9000000000001"/>
    <n v="0"/>
    <n v="0"/>
    <n v="1102.9000000000001"/>
    <n v="0"/>
  </r>
  <r>
    <s v="7"/>
    <x v="9"/>
    <s v="  0702 025002009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90"/>
    <s v="Расходы на обеспечение книгами и учебными изданиями для комплектования библиотек государственных обще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107676.4"/>
    <n v="52311.364000000001"/>
    <n v="11013.458699999999"/>
    <n v="55365.036"/>
    <n v="49"/>
  </r>
  <r>
    <s v="7"/>
    <x v="9"/>
    <s v="  0702 025002011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10"/>
    <s v="Расходы на оснащение базовых общеобразовательных организаций современными средствами обучения и воспитания с целью повышения качества общего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20000"/>
    <n v="19921.684000000001"/>
    <n v="0"/>
    <n v="78.316000000000003"/>
    <n v="100"/>
  </r>
  <r>
    <s v="7"/>
    <x v="9"/>
    <s v="  0702 025002068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80"/>
    <s v="Расходы на приобретение оборудования и инвентаря для вводимых после капитального ремонта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8490.7000000000007"/>
    <n v="0"/>
    <n v="0"/>
    <n v="8490.7000000000007"/>
    <n v="0"/>
  </r>
  <r>
    <s v="7"/>
    <x v="9"/>
    <s v="  0702 025002094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27820.2"/>
    <n v="4663.1127999999999"/>
    <n v="1425.0318"/>
    <n v="123157.08719999999"/>
    <n v="4"/>
  </r>
  <r>
    <s v="7"/>
    <x v="9"/>
    <s v="  0702 025002145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8422.3"/>
    <n v="15447.468000000001"/>
    <n v="2944.2091"/>
    <n v="12974.832"/>
    <n v="54"/>
  </r>
  <r>
    <s v="7"/>
    <x v="9"/>
    <s v="  0702 025002146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60"/>
    <s v="Расходы на реализацию мероприятий проекта по вовлечению учащихся в развитие школьной инфраструктуры"/>
    <s v="612"/>
    <s v="Субсидии бюджетным учреждениям на иные цели"/>
    <s v="Администрация Кировского района Санкт-Петербурга"/>
    <s v="7805059546"/>
    <n v="2923.6"/>
    <n v="0"/>
    <n v="0"/>
    <n v="2923.6"/>
    <n v="0"/>
  </r>
  <r>
    <s v="7"/>
    <x v="9"/>
    <s v="  0702 025005303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104515.5"/>
    <n v="73036.77"/>
    <n v="0"/>
    <n v="31478.73"/>
    <n v="70"/>
  </r>
  <r>
    <s v="7"/>
    <x v="9"/>
    <s v="  0702 035004065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261384"/>
    <n v="168817.9166"/>
    <n v="1710.1995999999999"/>
    <n v="92566.083400000003"/>
    <n v="65"/>
  </r>
  <r>
    <s v="7"/>
    <x v="9"/>
    <s v="  0702 03500R304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79288"/>
    <n v="114042.567"/>
    <n v="0"/>
    <n v="65245.432999999997"/>
    <n v="64"/>
  </r>
  <r>
    <s v="7"/>
    <x v="9"/>
    <s v="  0703 0250020300 611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53526.6"/>
    <n v="156148.99549999999"/>
    <n v="22900.384699999999"/>
    <n v="97377.604500000001"/>
    <n v="62"/>
  </r>
  <r>
    <s v="7"/>
    <x v="9"/>
    <s v="  0703 0250021580 816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580"/>
    <s v="Расходы на реализацию системы персонифицированного учета детей, осваивающих дополнительные образовательные программы (за исключением дополнительных предпрофессиональных программ в области искусств)"/>
    <s v="816"/>
    <s v="Субсидии в целях финансового обеспечения (возмещения)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0"/>
    <n v="0"/>
    <n v="0"/>
    <n v="100"/>
    <n v="0"/>
  </r>
  <r>
    <s v="7"/>
    <x v="9"/>
    <s v="  0705 0250020620 612"/>
    <s v="0705"/>
    <s v="Образование"/>
    <s v="05"/>
    <s v="Профессиональная подготовка, переподготовка и повышение квалификации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20"/>
    <s v="Расходы на обеспечение непрерывного и планомерного повышения квалификации руководящих и педагогических работников"/>
    <s v="612"/>
    <s v="Субсидии бюджетным учреждениям на иные цели"/>
    <s v="Администрация Кировского района Санкт-Петербурга"/>
    <s v="7805059546"/>
    <n v="1003.3"/>
    <n v="592.40049999999997"/>
    <n v="118.0033"/>
    <n v="410.89949999999999"/>
    <n v="59"/>
  </r>
  <r>
    <s v="7"/>
    <x v="9"/>
    <s v="  0707 1750078010 611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24582.9"/>
    <n v="107229.6192"/>
    <n v="17651.999100000001"/>
    <n v="117353.28079999999"/>
    <n v="48"/>
  </r>
  <r>
    <s v="7"/>
    <x v="9"/>
    <s v="  0707 17500785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9320.5"/>
    <n v="0"/>
    <n v="0"/>
    <n v="9320.5"/>
    <n v="0"/>
  </r>
  <r>
    <s v="7"/>
    <x v="9"/>
    <s v="  0707 175007945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648.3"/>
    <n v="0"/>
    <n v="0"/>
    <n v="1648.3"/>
    <n v="0"/>
  </r>
  <r>
    <s v="7"/>
    <x v="9"/>
    <s v="  0707 17500794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12658.4"/>
    <n v="1943.5233000000001"/>
    <n v="0"/>
    <n v="10714.876700000001"/>
    <n v="15"/>
  </r>
  <r>
    <s v="7"/>
    <x v="9"/>
    <s v="  0709 021E45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5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3914.4"/>
    <n v="13914.3143"/>
    <n v="0"/>
    <n v="8.5699999999999998E-2"/>
    <n v="100"/>
  </r>
  <r>
    <s v="7"/>
    <x v="9"/>
    <s v="  0709 021E4Д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Д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9077.8"/>
    <n v="11554.774799999999"/>
    <n v="154.9016"/>
    <n v="7523.0252"/>
    <n v="61"/>
  </r>
  <r>
    <s v="7"/>
    <x v="9"/>
    <s v="  0709 025002010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642.6"/>
    <n v="0"/>
    <n v="0"/>
    <n v="1642.6"/>
    <n v="0"/>
  </r>
  <r>
    <s v="7"/>
    <x v="9"/>
    <s v="  0709 0250020370 244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2351.4"/>
    <n v="46477.05"/>
    <n v="44237.463000000003"/>
    <n v="45874.35"/>
    <n v="50"/>
  </r>
  <r>
    <s v="7"/>
    <x v="9"/>
    <s v="  0709 025002037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4681.8"/>
    <n v="11757.213299999999"/>
    <n v="8122.5622999999996"/>
    <n v="2924.5866999999998"/>
    <n v="80"/>
  </r>
  <r>
    <s v="7"/>
    <x v="9"/>
    <s v="  0709 025002043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3320.4"/>
    <n v="27159.1391"/>
    <n v="3946.5439999999999"/>
    <n v="16161.260899999999"/>
    <n v="63"/>
  </r>
  <r>
    <s v="7"/>
    <x v="9"/>
    <s v="  0709 025002044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9928.7"/>
    <n v="36833.078300000001"/>
    <n v="5949.3119999999999"/>
    <n v="23095.6217"/>
    <n v="61"/>
  </r>
  <r>
    <s v="7"/>
    <x v="9"/>
    <s v="  0709 02500205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590"/>
    <s v="Субсидии на организацию проведения культурно-познавательной программы для обучающихся 9-х и 10-х классов государственных общеобразовательных организаций «Театральный урок в Мариинском театре»"/>
    <s v="612"/>
    <s v="Субсидии бюджетным учреждениям на иные цели"/>
    <s v="Администрация Кировского района Санкт-Петербурга"/>
    <s v="7805059546"/>
    <n v="7028.9"/>
    <n v="7027.2"/>
    <n v="0"/>
    <n v="1.7"/>
    <n v="100"/>
  </r>
  <r>
    <s v="7"/>
    <x v="9"/>
    <s v="  0709 02500210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090"/>
    <s v="Расходы на подготовку и проведение государственной итоговой аттестации по образовательным программам основного общего и среднего обще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9787.3"/>
    <n v="7350.4872999999998"/>
    <n v="5721.1320999999998"/>
    <n v="12436.8127"/>
    <n v="37"/>
  </r>
  <r>
    <s v="7"/>
    <x v="9"/>
    <s v="  0709 02500211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190"/>
    <s v="Расходы на ремонт и оснащение спортивных сооружений (стадионов) государственных 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4012.1"/>
    <n v="6534.4057000000003"/>
    <n v="6534.4057000000003"/>
    <n v="37477.694300000003"/>
    <n v="15"/>
  </r>
  <r>
    <s v="7"/>
    <x v="9"/>
    <s v="  0709 02500R050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R0500"/>
    <s v="Расходы на ежемесячное денежное вознаграждение советникам директоров по воспитанию и взаимодействию с детскими общественными объединениями государственных общеобразовательных организаций, профессиональных образовательных организац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142.5"/>
    <n v="0"/>
    <n v="0"/>
    <n v="1142.5"/>
    <n v="0"/>
  </r>
  <r>
    <s v="7"/>
    <x v="9"/>
    <s v="  0709 1750078650 612"/>
    <s v="0709"/>
    <s v="Образование"/>
    <s v="09"/>
    <s v="Другие вопросы в области образования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285"/>
    <n v="0"/>
    <n v="215"/>
    <n v="57"/>
  </r>
  <r>
    <s v="7"/>
    <x v="9"/>
    <s v="  0801 085007008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80"/>
    <s v="Субсидии бюджетным 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32056"/>
    <n v="144533.5362"/>
    <n v="20182.2945"/>
    <n v="87522.463799999998"/>
    <n v="62"/>
  </r>
  <r>
    <s v="7"/>
    <x v="9"/>
    <s v="  0801 085007009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90"/>
    <s v="Субсидии бюджетным 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6322.7"/>
    <n v="46510.649400000002"/>
    <n v="6817.3144000000002"/>
    <n v="39812.050600000002"/>
    <n v="54"/>
  </r>
  <r>
    <s v="7"/>
    <x v="9"/>
    <s v="  0801 08500701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170"/>
    <s v="Субсидии бюджетным 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92328.9"/>
    <n v="105896.03569999999"/>
    <n v="18902.833999999999"/>
    <n v="86432.864300000001"/>
    <n v="55"/>
  </r>
  <r>
    <s v="7"/>
    <x v="9"/>
    <s v="  0801 08500702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270"/>
    <s v="Субсидии бюджетным 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3563"/>
    <n v="41247.806400000001"/>
    <n v="4094.3525"/>
    <n v="32315.193599999999"/>
    <n v="56"/>
  </r>
  <r>
    <s v="7"/>
    <x v="9"/>
    <s v="  0801 0850070470 244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7870.9"/>
    <n v="3170"/>
    <n v="850"/>
    <n v="4700.8999999999996"/>
    <n v="40"/>
  </r>
  <r>
    <s v="7"/>
    <x v="9"/>
    <s v="  0801 085007047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612"/>
    <s v="Субсидии бюджетным учреждениям на иные цели"/>
    <s v="Администрация Кировского района Санкт-Петербурга"/>
    <s v="7805059546"/>
    <n v="3639.8"/>
    <n v="1662.32"/>
    <n v="592.79999999999995"/>
    <n v="1977.48"/>
    <n v="46"/>
  </r>
  <r>
    <s v="7"/>
    <x v="9"/>
    <s v="  0801 085007096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40101.9"/>
    <n v="35882.404399999999"/>
    <n v="23721.400099999999"/>
    <n v="4219.4956000000002"/>
    <n v="89"/>
  </r>
  <r>
    <s v="7"/>
    <x v="9"/>
    <s v="  0801 085007161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712.6"/>
    <n v="0"/>
    <n v="0"/>
    <n v="712.6"/>
    <n v="0"/>
  </r>
  <r>
    <s v="7"/>
    <x v="9"/>
    <s v="  0801 085007164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40"/>
    <s v="Расходы на мероприятия по модернизации общедоступных библиотек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0745.7"/>
    <n v="21451.273399999998"/>
    <n v="9612.4192000000003"/>
    <n v="9294.4266000000007"/>
    <n v="70"/>
  </r>
  <r>
    <s v="7"/>
    <x v="9"/>
    <s v="  0804 0850071320 612"/>
    <s v="0804"/>
    <s v="Культура, кинематография"/>
    <s v="04"/>
    <s v="Другие вопросы в области культуры, кинематографии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2448.4"/>
    <n v="3061.3195999999998"/>
    <n v="0"/>
    <n v="9387.0804000000007"/>
    <n v="25"/>
  </r>
  <r>
    <s v="7"/>
    <x v="9"/>
    <s v="  0902 0150010080 611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07335"/>
    <n v="325863.55940000003"/>
    <n v="51749.786399999997"/>
    <n v="281471.44059999997"/>
    <n v="54"/>
  </r>
  <r>
    <s v="7"/>
    <x v="9"/>
    <s v="  0902 0150010080 614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54.6000000000004"/>
    <n v="2390.9647"/>
    <n v="376.46710000000002"/>
    <n v="2763.6352999999999"/>
    <n v="46"/>
  </r>
  <r>
    <s v="7"/>
    <x v="9"/>
    <s v="  0909 011N953652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N9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79182.8"/>
    <n v="68566.592399999994"/>
    <n v="0"/>
    <n v="10616.2076"/>
    <n v="87"/>
  </r>
  <r>
    <s v="7"/>
    <x v="9"/>
    <s v="  0909 011P3546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P3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50.1"/>
    <n v="50.1"/>
    <n v="0"/>
    <n v="0"/>
    <n v="100"/>
  </r>
  <r>
    <s v="7"/>
    <x v="9"/>
    <s v="  0909 01500100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20"/>
    <s v="Расходы на профилактику инфекционных заболеваний, включая иммунопрофилактику"/>
    <s v="612"/>
    <s v="Субсидии бюджетным учреждениям на иные цели"/>
    <s v="Администрация Кировского района Санкт-Петербурга"/>
    <s v="7805059546"/>
    <n v="35585.699999999997"/>
    <n v="15924.1427"/>
    <n v="516.60140000000001"/>
    <n v="19661.5573"/>
    <n v="45"/>
  </r>
  <r>
    <s v="7"/>
    <x v="9"/>
    <s v="  0909 0150010100 244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46.1"/>
    <n v="0"/>
    <n v="0"/>
    <n v="46.1"/>
    <n v="0"/>
  </r>
  <r>
    <s v="7"/>
    <x v="9"/>
    <s v="  0909 01500105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98282.8"/>
    <n v="0"/>
    <n v="0"/>
    <n v="98282.8"/>
    <n v="0"/>
  </r>
  <r>
    <s v="7"/>
    <x v="9"/>
    <s v="  0909 015001057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70"/>
    <s v="Расходы на приобретение оборудования дл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4237.2"/>
    <n v="0"/>
    <n v="0"/>
    <n v="14237.2"/>
    <n v="0"/>
  </r>
  <r>
    <s v="7"/>
    <x v="9"/>
    <s v="  0909 015001065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650"/>
    <s v="Расходы на приобретение немонтируемого оборудования и инвентаря для оснащения вводных объектов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00"/>
    <n v="0"/>
    <n v="0"/>
    <n v="100"/>
    <n v="0"/>
  </r>
  <r>
    <s v="7"/>
    <x v="9"/>
    <s v="  0909 015001083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30"/>
    <s v="Расходы на капитальный ремонт и замену лифтового оборудовани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5384.9"/>
    <n v="0"/>
    <n v="0"/>
    <n v="15384.9"/>
    <n v="0"/>
  </r>
  <r>
    <s v="7"/>
    <x v="9"/>
    <s v="  0909 01500108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80"/>
    <s v="Субсидии государственным учреждениям здравоохранения на оказание экстренной медицинской помощи иностранным гражданам и гражданам не идентифицированным и не застрахованным в системе ОМС при заболеваниях, включенных в базовую программу ОМС"/>
    <s v="612"/>
    <s v="Субсидии бюджетным учреждениям на иные цели"/>
    <s v="Администрация Кировского района Санкт-Петербурга"/>
    <s v="7805059546"/>
    <n v="2903.1"/>
    <n v="1587.6786999999999"/>
    <n v="35.909999999999997"/>
    <n v="1315.4213"/>
    <n v="55"/>
  </r>
  <r>
    <s v="7"/>
    <x v="9"/>
    <s v="  0909 015001100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34143.9"/>
    <n v="20276.967799999999"/>
    <n v="4773.7797"/>
    <n v="13866.932199999999"/>
    <n v="59"/>
  </r>
  <r>
    <s v="7"/>
    <x v="9"/>
    <s v="  0909 015001101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10"/>
    <s v="Субсидии государственным учреждениям здравоохранения Санкт-Петербурга в целях поддержания высокого уровня оказания медицинской помощи и усиления кадрового потенциала в государственных учреждениях здравоохранения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39457.60000000001"/>
    <n v="2130.9340000000002"/>
    <n v="123.16"/>
    <n v="137326.666"/>
    <n v="2"/>
  </r>
  <r>
    <s v="7"/>
    <x v="9"/>
    <s v="  1002 035004046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1890.3"/>
    <n v="112315.06660000001"/>
    <n v="16299.7611"/>
    <n v="69575.233399999997"/>
    <n v="62"/>
  </r>
  <r>
    <s v="7"/>
    <x v="9"/>
    <s v="  1002 035004046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8356.2"/>
    <n v="8182.5983999999999"/>
    <n v="1117.6329000000001"/>
    <n v="10173.6016"/>
    <n v="45"/>
  </r>
  <r>
    <s v="7"/>
    <x v="9"/>
    <s v="  1002 035004048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9296.5"/>
    <n v="74391.294899999994"/>
    <n v="13179.4913"/>
    <n v="34905.205099999999"/>
    <n v="68"/>
  </r>
  <r>
    <s v="7"/>
    <x v="9"/>
    <s v="  1002 0350040530 612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10386"/>
    <n v="0"/>
    <n v="0"/>
    <n v="10386"/>
    <n v="0"/>
  </r>
  <r>
    <s v="7"/>
    <x v="9"/>
    <s v="  1002 035004063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2844.7"/>
    <n v="7991.0766999999996"/>
    <n v="1301.4476"/>
    <n v="4853.6233000000002"/>
    <n v="62"/>
  </r>
  <r>
    <s v="7"/>
    <x v="9"/>
    <s v="  1002 035004063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443478.3"/>
    <n v="262719.31959999999"/>
    <n v="37291.920599999998"/>
    <n v="180758.9804"/>
    <n v="59"/>
  </r>
  <r>
    <s v="7"/>
    <x v="9"/>
    <s v="  1002 035004064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058.7"/>
    <n v="31126.235700000001"/>
    <n v="5253.4096"/>
    <n v="19932.4643"/>
    <n v="61"/>
  </r>
  <r>
    <s v="7"/>
    <x v="9"/>
    <s v="  1003 0350040240 612"/>
    <s v="1003"/>
    <s v="Социальная политика"/>
    <s v="03"/>
    <s v="Социальное обеспече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8948.800000000003"/>
    <n v="40697.602500000001"/>
    <n v="1413.5284999999999"/>
    <n v="8251.1975000000002"/>
    <n v="83"/>
  </r>
  <r>
    <s v="7"/>
    <x v="9"/>
    <s v="  1004 0350040990 611"/>
    <s v="1004"/>
    <s v="Социальная политика"/>
    <s v="04"/>
    <s v="Охрана семьи и детства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990"/>
    <s v="Расходы на выплату компенсации части родительской платы за содержание ребенка в государственных или муниципальных образовательных учреждениях, реализующих общеобразовательную программу дошкольного образов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359.3"/>
    <n v="14896.7605"/>
    <n v="3649.8553999999999"/>
    <n v="17462.539499999999"/>
    <n v="46"/>
  </r>
  <r>
    <s v="7"/>
    <x v="9"/>
    <s v="  1101 041P545060 612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60"/>
    <s v="Расходы на проектирование, ремонт и оснащение оборудованием внутридворовых спортивных площадок для занятий физической культурой и спортом населения"/>
    <s v="612"/>
    <s v="Субсидии бюджетным учреждениям на иные цели"/>
    <s v="Администрация Кировского района Санкт-Петербурга"/>
    <s v="7805059546"/>
    <n v="9879.5"/>
    <n v="9208.0640999999996"/>
    <n v="8230.4441000000006"/>
    <n v="671.43589999999995"/>
    <n v="93"/>
  </r>
  <r>
    <s v="7"/>
    <x v="9"/>
    <s v="  1101 0450045020 611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125.7"/>
    <n v="106165.4586"/>
    <n v="16059.893599999999"/>
    <n v="76960.241399999999"/>
    <n v="58"/>
  </r>
  <r>
    <s v="7"/>
    <x v="9"/>
    <s v="  1102 041P545010 612"/>
    <s v="1102"/>
    <s v="Физическая культура и спорт"/>
    <s v="02"/>
    <s v="Массовый спорт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545.6"/>
    <n v="1252.1061"/>
    <n v="217.03309999999999"/>
    <n v="2293.4938999999999"/>
    <n v="35"/>
  </r>
  <r>
    <s v="7"/>
    <x v="9"/>
    <s v="  1103 0450045090 611"/>
    <s v="1103"/>
    <s v="Физическая культура и спорт"/>
    <s v="03"/>
    <s v="Спорт высших достижений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4843.3"/>
    <n v="186217.0784"/>
    <n v="35086.324699999997"/>
    <n v="138626.22159999999"/>
    <n v="57"/>
  </r>
  <r>
    <s v="8"/>
    <x v="10"/>
    <s v="  0103 9950000060 244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3772.6"/>
    <n v="48.716799999999999"/>
    <n v="9.4139999999999997"/>
    <n v="3723.8832000000002"/>
    <n v="1"/>
  </r>
  <r>
    <s v="8"/>
    <x v="10"/>
    <s v="  0103 9950000060 247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8.3000000000000007"/>
    <n v="0.92269999999999996"/>
    <n v="0"/>
    <n v="7.3773"/>
    <n v="11"/>
  </r>
  <r>
    <s v="8"/>
    <x v="10"/>
    <s v="  0113 0650090100 530"/>
    <s v="0113"/>
    <s v="Общегосударственные вопросы"/>
    <s v="13"/>
    <s v="Другие общегосударственные вопросы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4.400000000000006"/>
    <n v="0"/>
    <n v="0"/>
    <n v="64.400000000000006"/>
    <n v="0"/>
  </r>
  <r>
    <s v="8"/>
    <x v="10"/>
    <s v="  0113 1650099220 244"/>
    <s v="0113"/>
    <s v="Общегосударственные вопросы"/>
    <s v="13"/>
    <s v="Другие общегосударственные вопросы"/>
    <s v="16"/>
    <s v="Экономическое и социальное развитие территорий Санкт-Петербурга"/>
    <s v="165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208.2"/>
    <n v="88.49"/>
    <n v="3.3"/>
    <n v="119.71"/>
    <n v="43"/>
  </r>
  <r>
    <s v="8"/>
    <x v="10"/>
    <s v="  0113 1750098720 244"/>
    <s v="0113"/>
    <s v="Общегосударственные вопросы"/>
    <s v="13"/>
    <s v="Другие общегосударственные вопросы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67.9"/>
    <n v="211.66390000000001"/>
    <n v="0"/>
    <n v="356.23610000000002"/>
    <n v="37"/>
  </r>
  <r>
    <s v="8"/>
    <x v="10"/>
    <s v="  0113 9950000090 1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246128.1"/>
    <n v="162091.00649999999"/>
    <n v="15890.437"/>
    <n v="84037.093500000003"/>
    <n v="66"/>
  </r>
  <r>
    <s v="8"/>
    <x v="10"/>
    <s v="  0113 9950000090 12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40.5"/>
    <n v="78.436000000000007"/>
    <n v="0"/>
    <n v="62.064"/>
    <n v="56"/>
  </r>
  <r>
    <s v="8"/>
    <x v="10"/>
    <s v="  0113 9950000090 12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73726.399999999994"/>
    <n v="50198.596899999997"/>
    <n v="4433.6475"/>
    <n v="23527.803100000001"/>
    <n v="68"/>
  </r>
  <r>
    <s v="8"/>
    <x v="10"/>
    <s v="  0113 9950000090 24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97.108199999999997"/>
    <n v="0"/>
    <n v="202.89179999999999"/>
    <n v="32"/>
  </r>
  <r>
    <s v="8"/>
    <x v="10"/>
    <s v="  0113 9950000090 243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13780.8"/>
    <n v="0"/>
    <n v="0"/>
    <n v="13780.8"/>
    <n v="0"/>
  </r>
  <r>
    <s v="8"/>
    <x v="10"/>
    <s v="  0113 995000009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97288.9"/>
    <n v="21450.658599999999"/>
    <n v="3945.4121"/>
    <n v="75838.241399999999"/>
    <n v="22"/>
  </r>
  <r>
    <s v="8"/>
    <x v="10"/>
    <s v="  0113 9950000090 247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160.9"/>
    <n v="10475.137199999999"/>
    <n v="465.14519999999999"/>
    <n v="5685.7628000000004"/>
    <n v="65"/>
  </r>
  <r>
    <s v="8"/>
    <x v="10"/>
    <s v="  0113 9950000090 83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430.7"/>
    <n v="430.52910000000003"/>
    <n v="75.631"/>
    <n v="0.1709"/>
    <n v="100"/>
  </r>
  <r>
    <s v="8"/>
    <x v="10"/>
    <s v="  0113 9950000090 853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853"/>
    <s v="Уплата иных платежей"/>
    <s v="Администрация Кировского района Санкт-Петербурга"/>
    <s v="7805059546"/>
    <n v="179.8"/>
    <n v="179.71199999999999"/>
    <n v="0"/>
    <n v="8.7999999999999995E-2"/>
    <n v="100"/>
  </r>
  <r>
    <s v="8"/>
    <x v="10"/>
    <s v="  0113 9950000320 1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181743.4"/>
    <n v="116789.9129"/>
    <n v="13975.267099999999"/>
    <n v="64953.487099999998"/>
    <n v="64"/>
  </r>
  <r>
    <s v="8"/>
    <x v="10"/>
    <s v="  0113 9950000320 11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54698.400000000001"/>
    <n v="33627.5867"/>
    <n v="6086.384"/>
    <n v="21070.813300000002"/>
    <n v="61"/>
  </r>
  <r>
    <s v="8"/>
    <x v="10"/>
    <s v="  0113 995000032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2625.5"/>
    <n v="2314.8946000000001"/>
    <n v="43.648899999999998"/>
    <n v="310.60539999999997"/>
    <n v="88"/>
  </r>
  <r>
    <s v="8"/>
    <x v="10"/>
    <s v="  0113 9950000320 3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321"/>
    <s v="Пособия, компенсации и иные социальные выплаты_x000a_гражданам, кроме публичных нормативных обязательств"/>
    <s v="Администрация Кировского района Санкт-Петербурга"/>
    <s v="7805059546"/>
    <n v="2"/>
    <n v="1.9904999999999999"/>
    <n v="0"/>
    <n v="9.4999999999999998E-3"/>
    <n v="100"/>
  </r>
  <r>
    <s v="8"/>
    <x v="10"/>
    <s v="  0113 9950000320 85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2.3089"/>
    <n v="0"/>
    <n v="1.3911"/>
    <n v="62"/>
  </r>
  <r>
    <s v="8"/>
    <x v="10"/>
    <s v="  0113 9950000530 6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0925.600000000006"/>
    <n v="44985.992700000003"/>
    <n v="5884.3927000000003"/>
    <n v="25939.6073"/>
    <n v="63"/>
  </r>
  <r>
    <s v="8"/>
    <x v="10"/>
    <s v="  0113 995000148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5536.5"/>
    <n v="2601.6957000000002"/>
    <n v="214.4273"/>
    <n v="2934.8042999999998"/>
    <n v="47"/>
  </r>
  <r>
    <s v="8"/>
    <x v="10"/>
    <s v="  0309 0650090880 244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4082.8"/>
    <n v="3256.9695000000002"/>
    <n v="0"/>
    <n v="825.83050000000003"/>
    <n v="80"/>
  </r>
  <r>
    <s v="8"/>
    <x v="10"/>
    <s v="  0309 0650090880 247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8518.1"/>
    <n v="264.81889999999999"/>
    <n v="0"/>
    <n v="8253.2811000000002"/>
    <n v="3"/>
  </r>
  <r>
    <s v="8"/>
    <x v="10"/>
    <s v="  0309 0650090880 851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5312.2"/>
    <n v="4513.5222000000003"/>
    <n v="0"/>
    <n v="798.67780000000005"/>
    <n v="85"/>
  </r>
  <r>
    <s v="8"/>
    <x v="10"/>
    <s v="  0309 0650090880 853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3"/>
    <s v="Уплата иных платежей"/>
    <s v="Администрация Кировского района Санкт-Петербурга"/>
    <s v="7805059546"/>
    <n v="2554.3000000000002"/>
    <n v="1582.3280999999999"/>
    <n v="242.97130000000001"/>
    <n v="971.97190000000001"/>
    <n v="62"/>
  </r>
  <r>
    <s v="8"/>
    <x v="10"/>
    <s v="  0314 0650090690 244"/>
    <s v="0314"/>
    <s v="Национальная безопасность и правоохранительная деятельность"/>
    <s v="14"/>
    <s v="Другие вопросы в области национальной безопасности и правоохранительной деятельности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2.1"/>
    <n v="11.1165"/>
    <n v="0"/>
    <n v="10.983499999999999"/>
    <n v="50"/>
  </r>
  <r>
    <s v="8"/>
    <x v="10"/>
    <s v="  0410 0650090810 612"/>
    <s v="0410"/>
    <s v="Национальная экономика"/>
    <s v="10"/>
    <s v="Связь и информатик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612"/>
    <s v="Субсидии бюджетным учреждениям на иные цели"/>
    <s v="Администрация Кировского района Санкт-Петербурга"/>
    <s v="7805059546"/>
    <n v="33219"/>
    <n v="1004.4811999999999"/>
    <n v="739.94420000000002"/>
    <n v="32214.518800000002"/>
    <n v="3"/>
  </r>
  <r>
    <s v="8"/>
    <x v="10"/>
    <s v="  0410 9950096170 242"/>
    <s v="0410"/>
    <s v="Национальная экономика"/>
    <s v="10"/>
    <s v="Связь и информатика"/>
    <s v="99"/>
    <s v="Непрограммные расходы"/>
    <s v="995"/>
    <s v="5"/>
    <s v="Процессная часть перечня мероприятий государственной программы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5402.8"/>
    <n v="3579.4978999999998"/>
    <n v="880.93129999999996"/>
    <n v="1823.3021000000001"/>
    <n v="66"/>
  </r>
  <r>
    <s v="8"/>
    <x v="10"/>
    <s v="  0501 09500833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247.5"/>
    <n v="5021.99"/>
    <n v="302.6696"/>
    <n v="225.51"/>
    <n v="96"/>
  </r>
  <r>
    <s v="8"/>
    <x v="10"/>
    <s v="  0501 095008347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58395.199999999997"/>
    <n v="3856.32"/>
    <n v="3767.4733000000001"/>
    <n v="54538.879999999997"/>
    <n v="7"/>
  </r>
  <r>
    <s v="8"/>
    <x v="10"/>
    <s v="  0501 09500834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2291.9"/>
    <n v="404.16250000000002"/>
    <n v="3.6936"/>
    <n v="1887.7375"/>
    <n v="18"/>
  </r>
  <r>
    <s v="8"/>
    <x v="10"/>
    <s v="  0501 095008348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104832.7"/>
    <n v="62416.6037"/>
    <n v="9785.3642999999993"/>
    <n v="42416.096299999997"/>
    <n v="60"/>
  </r>
  <r>
    <s v="8"/>
    <x v="10"/>
    <s v="  0501 095008349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16844.5"/>
    <n v="10015.9547"/>
    <n v="61.231200000000001"/>
    <n v="6828.5452999999998"/>
    <n v="59"/>
  </r>
  <r>
    <s v="8"/>
    <x v="10"/>
    <s v="  0501 0950083490 247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6321.4"/>
    <n v="0"/>
    <n v="0"/>
    <n v="6321.4"/>
    <n v="0"/>
  </r>
  <r>
    <s v="8"/>
    <x v="10"/>
    <s v="  0501 095008349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785.7"/>
    <n v="3046.8407000000002"/>
    <n v="398.96719999999999"/>
    <n v="1738.8593000000001"/>
    <n v="64"/>
  </r>
  <r>
    <s v="8"/>
    <x v="10"/>
    <s v="  0503 105008791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244"/>
    <s v="Прочая закупка товаров, работ и услуг"/>
    <s v="Администрация Кировского района Санкт-Петербурга"/>
    <s v="7805059546"/>
    <n v="3229.3"/>
    <n v="340"/>
    <n v="0"/>
    <n v="2889.3"/>
    <n v="11"/>
  </r>
  <r>
    <s v="8"/>
    <x v="10"/>
    <s v="  0503 105008791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853"/>
    <s v="Уплата иных платежей"/>
    <s v="Администрация Кировского района Санкт-Петербурга"/>
    <s v="7805059546"/>
    <n v="250.7"/>
    <n v="250.65"/>
    <n v="0"/>
    <n v="0.05"/>
    <n v="100"/>
  </r>
  <r>
    <s v="8"/>
    <x v="10"/>
    <s v="  0503 105008793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52212.9"/>
    <n v="6596.9125000000004"/>
    <n v="577.83000000000004"/>
    <n v="45615.987500000003"/>
    <n v="13"/>
  </r>
  <r>
    <s v="8"/>
    <x v="10"/>
    <s v="  0503 105008793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853"/>
    <s v="Уплата иных платежей"/>
    <s v="Администрация Кировского района Санкт-Петербурга"/>
    <s v="7805059546"/>
    <n v="406.8"/>
    <n v="406.8"/>
    <n v="0"/>
    <n v="0"/>
    <n v="100"/>
  </r>
  <r>
    <s v="8"/>
    <x v="10"/>
    <s v="  0503 105008827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244"/>
    <s v="Прочая закупка товаров, работ и услуг"/>
    <s v="Администрация Кировского района Санкт-Петербурга"/>
    <s v="7805059546"/>
    <n v="152084.6"/>
    <n v="3824.1210999999998"/>
    <n v="315"/>
    <n v="148260.47889999999"/>
    <n v="3"/>
  </r>
  <r>
    <s v="8"/>
    <x v="10"/>
    <s v="  0503 105008827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853"/>
    <s v="Уплата иных платежей"/>
    <s v="Администрация Кировского района Санкт-Петербурга"/>
    <s v="7805059546"/>
    <n v="2086.8000000000002"/>
    <n v="2086.8000000000002"/>
    <n v="0"/>
    <n v="0"/>
    <n v="100"/>
  </r>
  <r>
    <s v="8"/>
    <x v="10"/>
    <s v="  0505 0950083140 11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482554.1"/>
    <n v="294249.17690000002"/>
    <n v="35762.327799999999"/>
    <n v="188304.92310000001"/>
    <n v="61"/>
  </r>
  <r>
    <s v="8"/>
    <x v="10"/>
    <s v="  0505 0950083140 119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44669.9"/>
    <n v="96102.296700000006"/>
    <n v="18774.9817"/>
    <n v="48567.603300000002"/>
    <n v="66"/>
  </r>
  <r>
    <s v="8"/>
    <x v="10"/>
    <s v="  0505 095008314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06091.5"/>
    <n v="45317.600899999998"/>
    <n v="5939.4423999999999"/>
    <n v="60773.899100000002"/>
    <n v="43"/>
  </r>
  <r>
    <s v="8"/>
    <x v="10"/>
    <s v="  0505 0950083140 247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5728.8"/>
    <n v="1750.4711"/>
    <n v="174.24940000000001"/>
    <n v="3978.3289"/>
    <n v="31"/>
  </r>
  <r>
    <s v="8"/>
    <x v="10"/>
    <s v="  0505 0950083140 83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284.7"/>
    <n v="280.87279999999998"/>
    <n v="0"/>
    <n v="3.8271999999999999"/>
    <n v="99"/>
  </r>
  <r>
    <s v="8"/>
    <x v="10"/>
    <s v="  0505 0950083140 85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454.5"/>
    <n v="91.74"/>
    <n v="0"/>
    <n v="1362.76"/>
    <n v="6"/>
  </r>
  <r>
    <s v="8"/>
    <x v="10"/>
    <s v="  0505 0950083140 852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675.8"/>
    <n v="433.1327"/>
    <n v="111.351"/>
    <n v="242.66730000000001"/>
    <n v="64"/>
  </r>
  <r>
    <s v="8"/>
    <x v="10"/>
    <s v="  0505 0950083140 853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3"/>
    <s v="Уплата иных платежей"/>
    <s v="Администрация Кировского района Санкт-Петербурга"/>
    <s v="7805059546"/>
    <n v="185"/>
    <n v="185"/>
    <n v="0"/>
    <n v="0"/>
    <n v="100"/>
  </r>
  <r>
    <s v="8"/>
    <x v="10"/>
    <s v="  0505 095008345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50"/>
    <s v="Расходы на проведение мероприятий по созданию условий доступности для инвалидов и иных маломобильных групп населения"/>
    <s v="244"/>
    <s v="Прочая закупка товаров, работ и услуг"/>
    <s v="Администрация Кировского района Санкт-Петербурга"/>
    <s v="7805059546"/>
    <n v="3157.5"/>
    <n v="0"/>
    <n v="0"/>
    <n v="3157.5"/>
    <n v="0"/>
  </r>
  <r>
    <s v="8"/>
    <x v="10"/>
    <s v="  0701 0250020010 611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988386"/>
    <n v="3157318.4163000002"/>
    <n v="305410.79350000003"/>
    <n v="1831067.5837000001"/>
    <n v="63"/>
  </r>
  <r>
    <s v="8"/>
    <x v="10"/>
    <s v="  0701 025002094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9473.1"/>
    <n v="32.4"/>
    <n v="0"/>
    <n v="29440.7"/>
    <n v="0"/>
  </r>
  <r>
    <s v="8"/>
    <x v="10"/>
    <s v="  0701 025002145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2937.4"/>
    <n v="25302.251199999999"/>
    <n v="5854.6347999999998"/>
    <n v="7635.1487999999999"/>
    <n v="77"/>
  </r>
  <r>
    <s v="8"/>
    <x v="10"/>
    <s v="  0702 021EВ5179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21148"/>
    <n v="14098.5764"/>
    <n v="0"/>
    <n v="7049.4236000000001"/>
    <n v="67"/>
  </r>
  <r>
    <s v="8"/>
    <x v="10"/>
    <s v="  0702 021EВ5786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7860"/>
    <s v="Расходы на обеспечение оснащения государственных общеобразовательных организаций, в том числе структурных подразделений указанных организаций, государственными символами Российской Федерации"/>
    <s v="612"/>
    <s v="Субсидии бюджетным учреждениям на иные цели"/>
    <s v="Администрация Кировского района Санкт-Петербурга"/>
    <s v="7805059546"/>
    <n v="1977.2"/>
    <n v="1975.2195999999999"/>
    <n v="155.85130000000001"/>
    <n v="1.9803999999999999"/>
    <n v="100"/>
  </r>
  <r>
    <s v="8"/>
    <x v="10"/>
    <s v="  0702 025002003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853107.2"/>
    <n v="3183503.9523"/>
    <n v="143305.80420000001"/>
    <n v="1669603.2476999999"/>
    <n v="66"/>
  </r>
  <r>
    <s v="8"/>
    <x v="10"/>
    <s v="  0702 025002006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68859"/>
    <n v="98283.616099999999"/>
    <n v="3872.4396999999999"/>
    <n v="70575.383900000001"/>
    <n v="58"/>
  </r>
  <r>
    <s v="8"/>
    <x v="10"/>
    <s v="  0702 025002007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1930.899999999994"/>
    <n v="52664.364300000001"/>
    <n v="3275.2865999999999"/>
    <n v="29266.5357"/>
    <n v="64"/>
  </r>
  <r>
    <s v="8"/>
    <x v="10"/>
    <s v="  0702 0250020080 633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80"/>
    <s v="Субсидии частным образовательным организациям для реализации основных общеобразовательных программ"/>
    <s v="633"/>
    <s v="Субсидии (гранты в форме субсидий), не подлежащие казначейскому сопровождению"/>
    <s v="Администрация Кировского района Санкт-Петербурга"/>
    <s v="7805059546"/>
    <n v="1102.9000000000001"/>
    <n v="827.17499999999995"/>
    <n v="827.17499999999995"/>
    <n v="275.72500000000002"/>
    <n v="75"/>
  </r>
  <r>
    <s v="8"/>
    <x v="10"/>
    <s v="  0702 025002009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90"/>
    <s v="Расходы на обеспечение книгами и учебными изданиями для комплектования библиотек государственных обще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107676.4"/>
    <n v="55695.533300000003"/>
    <n v="3384.1693"/>
    <n v="51980.866699999999"/>
    <n v="52"/>
  </r>
  <r>
    <s v="8"/>
    <x v="10"/>
    <s v="  0702 025002011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10"/>
    <s v="Расходы на оснащение базовых общеобразовательных организаций современными средствами обучения и воспитания с целью повышения качества общего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20000"/>
    <n v="19921.684000000001"/>
    <n v="0"/>
    <n v="78.316000000000003"/>
    <n v="100"/>
  </r>
  <r>
    <s v="8"/>
    <x v="10"/>
    <s v="  0702 025002068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80"/>
    <s v="Расходы на приобретение оборудования и инвентаря для вводимых после капитального ремонта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8490.7000000000007"/>
    <n v="0"/>
    <n v="0"/>
    <n v="8490.7000000000007"/>
    <n v="0"/>
  </r>
  <r>
    <s v="8"/>
    <x v="10"/>
    <s v="  0702 025002094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27820.2"/>
    <n v="10415.0447"/>
    <n v="5751.9318999999996"/>
    <n v="117405.1553"/>
    <n v="8"/>
  </r>
  <r>
    <s v="8"/>
    <x v="10"/>
    <s v="  0702 025002145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7956.9"/>
    <n v="18003.048200000001"/>
    <n v="2555.5801999999999"/>
    <n v="9953.8518000000004"/>
    <n v="64"/>
  </r>
  <r>
    <s v="8"/>
    <x v="10"/>
    <s v="  0702 025002146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60"/>
    <s v="Расходы на реализацию мероприятий проекта по вовлечению учащихся в развитие школьной инфраструктуры"/>
    <s v="612"/>
    <s v="Субсидии бюджетным учреждениям на иные цели"/>
    <s v="Администрация Кировского района Санкт-Петербурга"/>
    <s v="7805059546"/>
    <n v="2923.6"/>
    <n v="283"/>
    <n v="283"/>
    <n v="2640.6"/>
    <n v="10"/>
  </r>
  <r>
    <s v="8"/>
    <x v="10"/>
    <s v="  0702 025005303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104515.5"/>
    <n v="73036.77"/>
    <n v="0"/>
    <n v="31478.73"/>
    <n v="70"/>
  </r>
  <r>
    <s v="8"/>
    <x v="10"/>
    <s v="  0702 035004065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261384"/>
    <n v="168828.55369999999"/>
    <n v="10.6371"/>
    <n v="92555.446299999996"/>
    <n v="65"/>
  </r>
  <r>
    <s v="8"/>
    <x v="10"/>
    <s v="  0702 03500R304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79288"/>
    <n v="114042.567"/>
    <n v="0"/>
    <n v="65245.432999999997"/>
    <n v="64"/>
  </r>
  <r>
    <s v="8"/>
    <x v="10"/>
    <s v="  0703 0250020300 611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53526.6"/>
    <n v="166933.34359999999"/>
    <n v="10784.348099999999"/>
    <n v="86593.256399999998"/>
    <n v="66"/>
  </r>
  <r>
    <s v="8"/>
    <x v="10"/>
    <s v="  0703 0250021580 816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580"/>
    <s v="Расходы на реализацию системы персонифицированного учета детей, осваивающих дополнительные образовательные программы (за исключением дополнительных предпрофессиональных программ в области искусств)"/>
    <s v="816"/>
    <s v="Субсидии в целях финансового обеспечения (возмещения)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0"/>
    <n v="0"/>
    <n v="0"/>
    <n v="100"/>
    <n v="0"/>
  </r>
  <r>
    <s v="8"/>
    <x v="10"/>
    <s v="  0705 0250020620 612"/>
    <s v="0705"/>
    <s v="Образование"/>
    <s v="05"/>
    <s v="Профессиональная подготовка, переподготовка и повышение квалификации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20"/>
    <s v="Расходы на обеспечение непрерывного и планомерного повышения квалификации руководящих и педагогических работников"/>
    <s v="612"/>
    <s v="Субсидии бюджетным учреждениям на иные цели"/>
    <s v="Администрация Кировского района Санкт-Петербурга"/>
    <s v="7805059546"/>
    <n v="1003.3"/>
    <n v="592.40049999999997"/>
    <n v="0"/>
    <n v="410.89949999999999"/>
    <n v="59"/>
  </r>
  <r>
    <s v="8"/>
    <x v="10"/>
    <s v="  0707 1750078010 611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24582.9"/>
    <n v="119183.5721"/>
    <n v="11953.9529"/>
    <n v="105399.3279"/>
    <n v="53"/>
  </r>
  <r>
    <s v="8"/>
    <x v="10"/>
    <s v="  0707 17500785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9320.5"/>
    <n v="0"/>
    <n v="0"/>
    <n v="9320.5"/>
    <n v="0"/>
  </r>
  <r>
    <s v="8"/>
    <x v="10"/>
    <s v="  0707 175007945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648.3"/>
    <n v="0"/>
    <n v="0"/>
    <n v="1648.3"/>
    <n v="0"/>
  </r>
  <r>
    <s v="8"/>
    <x v="10"/>
    <s v="  0707 17500794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12658.4"/>
    <n v="2069.8175999999999"/>
    <n v="126.29430000000001"/>
    <n v="10588.582399999999"/>
    <n v="16"/>
  </r>
  <r>
    <s v="8"/>
    <x v="10"/>
    <s v="  0709 021E45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5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3914.4"/>
    <n v="13914.3143"/>
    <n v="0"/>
    <n v="8.5699999999999998E-2"/>
    <n v="100"/>
  </r>
  <r>
    <s v="8"/>
    <x v="10"/>
    <s v="  0709 021E4Д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Д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9077.8"/>
    <n v="14549.101199999999"/>
    <n v="2994.3263999999999"/>
    <n v="4528.6988000000001"/>
    <n v="76"/>
  </r>
  <r>
    <s v="8"/>
    <x v="10"/>
    <s v="  0709 025002010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642.6"/>
    <n v="0"/>
    <n v="0"/>
    <n v="1642.6"/>
    <n v="0"/>
  </r>
  <r>
    <s v="8"/>
    <x v="10"/>
    <s v="  0709 0250020370 244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2351.4"/>
    <n v="67901.313999999998"/>
    <n v="21424.263999999999"/>
    <n v="24450.085999999999"/>
    <n v="74"/>
  </r>
  <r>
    <s v="8"/>
    <x v="10"/>
    <s v="  0709 025002037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4681.8"/>
    <n v="13653.830099999999"/>
    <n v="1896.6168"/>
    <n v="1027.9699000000001"/>
    <n v="93"/>
  </r>
  <r>
    <s v="8"/>
    <x v="10"/>
    <s v="  0709 025002043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3320.4"/>
    <n v="27889.703699999998"/>
    <n v="730.56460000000004"/>
    <n v="15430.6963"/>
    <n v="64"/>
  </r>
  <r>
    <s v="8"/>
    <x v="10"/>
    <s v="  0709 025002044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9928.7"/>
    <n v="39592.370600000002"/>
    <n v="2759.2923000000001"/>
    <n v="20336.329399999999"/>
    <n v="66"/>
  </r>
  <r>
    <s v="8"/>
    <x v="10"/>
    <s v="  0709 02500205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590"/>
    <s v="Субсидии на организацию проведения культурно-познавательной программы для обучающихся 9-х и 10-х классов государственных общеобразовательных организаций «Театральный урок в Мариинском театре»"/>
    <s v="612"/>
    <s v="Субсидии бюджетным учреждениям на иные цели"/>
    <s v="Администрация Кировского района Санкт-Петербурга"/>
    <s v="7805059546"/>
    <n v="7028.9"/>
    <n v="7027.2"/>
    <n v="0"/>
    <n v="1.7"/>
    <n v="100"/>
  </r>
  <r>
    <s v="8"/>
    <x v="10"/>
    <s v="  0709 02500210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090"/>
    <s v="Расходы на подготовку и проведение государственной итоговой аттестации по образовательным программам основного общего и среднего обще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9787.3"/>
    <n v="11485.8377"/>
    <n v="4135.3504000000003"/>
    <n v="8301.4622999999992"/>
    <n v="58"/>
  </r>
  <r>
    <s v="8"/>
    <x v="10"/>
    <s v="  0709 02500211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190"/>
    <s v="Расходы на ремонт и оснащение спортивных сооружений (стадионов) государственных 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4012.1"/>
    <n v="6534.4057000000003"/>
    <n v="0"/>
    <n v="37477.694300000003"/>
    <n v="15"/>
  </r>
  <r>
    <s v="8"/>
    <x v="10"/>
    <s v="  0709 02500R050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R0500"/>
    <s v="Расходы на ежемесячное денежное вознаграждение советникам директоров по воспитанию и взаимодействию с детскими общественными объединениями государственных общеобразовательных организаций, профессиональных образовательных организац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142.5"/>
    <n v="0"/>
    <n v="0"/>
    <n v="1142.5"/>
    <n v="0"/>
  </r>
  <r>
    <s v="8"/>
    <x v="10"/>
    <s v="  0709 1750078650 612"/>
    <s v="0709"/>
    <s v="Образование"/>
    <s v="09"/>
    <s v="Другие вопросы в области образования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285"/>
    <n v="0"/>
    <n v="215"/>
    <n v="57"/>
  </r>
  <r>
    <s v="8"/>
    <x v="10"/>
    <s v="  0801 085007008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80"/>
    <s v="Субсидии бюджетным 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32056"/>
    <n v="165664.1808"/>
    <n v="21130.6446"/>
    <n v="66391.819199999998"/>
    <n v="71"/>
  </r>
  <r>
    <s v="8"/>
    <x v="10"/>
    <s v="  0801 085007009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90"/>
    <s v="Субсидии бюджетным 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6322.7"/>
    <n v="52124.119100000004"/>
    <n v="5613.4696999999996"/>
    <n v="34198.580900000001"/>
    <n v="60"/>
  </r>
  <r>
    <s v="8"/>
    <x v="10"/>
    <s v="  0801 08500701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170"/>
    <s v="Субсидии бюджетным 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92328.9"/>
    <n v="115021.1945"/>
    <n v="9125.1587999999992"/>
    <n v="77307.705499999996"/>
    <n v="60"/>
  </r>
  <r>
    <s v="8"/>
    <x v="10"/>
    <s v="  0801 08500702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270"/>
    <s v="Субсидии бюджетным 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3563"/>
    <n v="46182.898999999998"/>
    <n v="4935.0925999999999"/>
    <n v="27380.100999999999"/>
    <n v="63"/>
  </r>
  <r>
    <s v="8"/>
    <x v="10"/>
    <s v="  0801 0850070470 244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7870.9"/>
    <n v="3170"/>
    <n v="0"/>
    <n v="4700.8999999999996"/>
    <n v="40"/>
  </r>
  <r>
    <s v="8"/>
    <x v="10"/>
    <s v="  0801 085007047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612"/>
    <s v="Субсидии бюджетным учреждениям на иные цели"/>
    <s v="Администрация Кировского района Санкт-Петербурга"/>
    <s v="7805059546"/>
    <n v="3639.8"/>
    <n v="2060.9299999999998"/>
    <n v="398.61"/>
    <n v="1578.87"/>
    <n v="57"/>
  </r>
  <r>
    <s v="8"/>
    <x v="10"/>
    <s v="  0801 085007096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40101.9"/>
    <n v="36321.117899999997"/>
    <n v="438.71350000000001"/>
    <n v="3780.7820999999999"/>
    <n v="91"/>
  </r>
  <r>
    <s v="8"/>
    <x v="10"/>
    <s v="  0801 085007161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712.6"/>
    <n v="712.53840000000002"/>
    <n v="712.53840000000002"/>
    <n v="6.1600000000000002E-2"/>
    <n v="100"/>
  </r>
  <r>
    <s v="8"/>
    <x v="10"/>
    <s v="  0801 085007164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40"/>
    <s v="Расходы на мероприятия по модернизации общедоступных библиотек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0745.7"/>
    <n v="21451.273399999998"/>
    <n v="0"/>
    <n v="9294.4266000000007"/>
    <n v="70"/>
  </r>
  <r>
    <s v="8"/>
    <x v="10"/>
    <s v="  0804 0850071320 612"/>
    <s v="0804"/>
    <s v="Культура, кинематография"/>
    <s v="04"/>
    <s v="Другие вопросы в области культуры, кинематографии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2448.4"/>
    <n v="3061.3195999999998"/>
    <n v="0"/>
    <n v="9387.0804000000007"/>
    <n v="25"/>
  </r>
  <r>
    <s v="8"/>
    <x v="10"/>
    <s v="  0902 0150010080 611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07335"/>
    <n v="351026.8897"/>
    <n v="25163.330300000001"/>
    <n v="256308.1103"/>
    <n v="58"/>
  </r>
  <r>
    <s v="8"/>
    <x v="10"/>
    <s v="  0902 0150010080 614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54.6000000000004"/>
    <n v="2595.9648999999999"/>
    <n v="205.00020000000001"/>
    <n v="2558.6351"/>
    <n v="50"/>
  </r>
  <r>
    <s v="8"/>
    <x v="10"/>
    <s v="  0909 011N953652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N9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79182.8"/>
    <n v="68566.592399999994"/>
    <n v="0"/>
    <n v="10616.2076"/>
    <n v="87"/>
  </r>
  <r>
    <s v="8"/>
    <x v="10"/>
    <s v="  0909 011P3546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P3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50.1"/>
    <n v="50.1"/>
    <n v="0"/>
    <n v="0"/>
    <n v="100"/>
  </r>
  <r>
    <s v="8"/>
    <x v="10"/>
    <s v="  0909 01500100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20"/>
    <s v="Расходы на профилактику инфекционных заболеваний, включая иммунопрофилактику"/>
    <s v="612"/>
    <s v="Субсидии бюджетным учреждениям на иные цели"/>
    <s v="Администрация Кировского района Санкт-Петербурга"/>
    <s v="7805059546"/>
    <n v="35585.699999999997"/>
    <n v="17520.559300000001"/>
    <n v="1596.4166"/>
    <n v="18065.1407"/>
    <n v="49"/>
  </r>
  <r>
    <s v="8"/>
    <x v="10"/>
    <s v="  0909 0150010100 244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46.1"/>
    <n v="0"/>
    <n v="0"/>
    <n v="46.1"/>
    <n v="0"/>
  </r>
  <r>
    <s v="8"/>
    <x v="10"/>
    <s v="  0909 01500105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98282.8"/>
    <n v="0"/>
    <n v="0"/>
    <n v="98282.8"/>
    <n v="0"/>
  </r>
  <r>
    <s v="8"/>
    <x v="10"/>
    <s v="  0909 015001057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70"/>
    <s v="Расходы на приобретение оборудования дл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4237.2"/>
    <n v="0"/>
    <n v="0"/>
    <n v="14237.2"/>
    <n v="0"/>
  </r>
  <r>
    <s v="8"/>
    <x v="10"/>
    <s v="  0909 015001065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650"/>
    <s v="Расходы на приобретение немонтируемого оборудования и инвентаря для оснащения вводных объектов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00"/>
    <n v="0"/>
    <n v="0"/>
    <n v="100"/>
    <n v="0"/>
  </r>
  <r>
    <s v="8"/>
    <x v="10"/>
    <s v="  0909 015001083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30"/>
    <s v="Расходы на капитальный ремонт и замену лифтового оборудовани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5384.9"/>
    <n v="0"/>
    <n v="0"/>
    <n v="15384.9"/>
    <n v="0"/>
  </r>
  <r>
    <s v="8"/>
    <x v="10"/>
    <s v="  0909 01500108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80"/>
    <s v="Субсидии государственным учреждениям здравоохранения на оказание экстренной медицинской помощи иностранным гражданам и гражданам не идентифицированным и не застрахованным в системе ОМС при заболеваниях, включенных в базовую программу ОМС"/>
    <s v="612"/>
    <s v="Субсидии бюджетным учреждениям на иные цели"/>
    <s v="Администрация Кировского района Санкт-Петербурга"/>
    <s v="7805059546"/>
    <n v="2903.1"/>
    <n v="1587.6786999999999"/>
    <n v="0"/>
    <n v="1315.4213"/>
    <n v="55"/>
  </r>
  <r>
    <s v="8"/>
    <x v="10"/>
    <s v="  0909 015001100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43694.2"/>
    <n v="21914.021400000001"/>
    <n v="1637.0536"/>
    <n v="21780.178599999999"/>
    <n v="50"/>
  </r>
  <r>
    <s v="8"/>
    <x v="10"/>
    <s v="  0909 015001101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10"/>
    <s v="Субсидии государственным учреждениям здравоохранения Санкт-Петербурга в целях поддержания высокого уровня оказания медицинской помощи и усиления кадрового потенциала в государственных учреждениях здравоохранения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94092.1"/>
    <n v="138175.7905"/>
    <n v="136044.85649999999"/>
    <n v="55916.309500000003"/>
    <n v="71"/>
  </r>
  <r>
    <s v="8"/>
    <x v="10"/>
    <s v="  1002 035004046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1890.3"/>
    <n v="125688.99950000001"/>
    <n v="13373.9329"/>
    <n v="56201.300499999998"/>
    <n v="69"/>
  </r>
  <r>
    <s v="8"/>
    <x v="10"/>
    <s v="  1002 035004046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8356.2"/>
    <n v="9495.8480999999992"/>
    <n v="1313.2497000000001"/>
    <n v="8860.3518999999997"/>
    <n v="52"/>
  </r>
  <r>
    <s v="8"/>
    <x v="10"/>
    <s v="  1002 035004048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9296.5"/>
    <n v="79923.867100000003"/>
    <n v="5532.5721999999996"/>
    <n v="29372.632900000001"/>
    <n v="73"/>
  </r>
  <r>
    <s v="8"/>
    <x v="10"/>
    <s v="  1002 0350040530 612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10386"/>
    <n v="0"/>
    <n v="0"/>
    <n v="10386"/>
    <n v="0"/>
  </r>
  <r>
    <s v="8"/>
    <x v="10"/>
    <s v="  1002 035004063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2844.7"/>
    <n v="9055.4231"/>
    <n v="1064.3463999999999"/>
    <n v="3789.2768999999998"/>
    <n v="70"/>
  </r>
  <r>
    <s v="8"/>
    <x v="10"/>
    <s v="  1002 035004063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443478.3"/>
    <n v="300965.07900000003"/>
    <n v="38245.759400000003"/>
    <n v="142513.22099999999"/>
    <n v="68"/>
  </r>
  <r>
    <s v="8"/>
    <x v="10"/>
    <s v="  1002 035004064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058.7"/>
    <n v="34902.458899999998"/>
    <n v="3776.2231999999999"/>
    <n v="16156.241099999999"/>
    <n v="68"/>
  </r>
  <r>
    <s v="8"/>
    <x v="10"/>
    <s v="  1003 0350040240 612"/>
    <s v="1003"/>
    <s v="Социальная политика"/>
    <s v="03"/>
    <s v="Социальное обеспече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8948.800000000003"/>
    <n v="41905.463000000003"/>
    <n v="1207.8605"/>
    <n v="7043.3370000000004"/>
    <n v="86"/>
  </r>
  <r>
    <s v="8"/>
    <x v="10"/>
    <s v="  1004 0350040990 611"/>
    <s v="1004"/>
    <s v="Социальная политика"/>
    <s v="04"/>
    <s v="Охрана семьи и детства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990"/>
    <s v="Расходы на выплату компенсации части родительской платы за содержание ребенка в государственных или муниципальных образовательных учреждениях, реализующих общеобразовательную программу дошкольного образов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359.3"/>
    <n v="16225.0841"/>
    <n v="1328.3235999999999"/>
    <n v="16134.215899999999"/>
    <n v="50"/>
  </r>
  <r>
    <s v="8"/>
    <x v="10"/>
    <s v="  1101 041P545060 612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60"/>
    <s v="Расходы на проектирование, ремонт и оснащение оборудованием внутридворовых спортивных площадок для занятий физической культурой и спортом населения"/>
    <s v="612"/>
    <s v="Субсидии бюджетным учреждениям на иные цели"/>
    <s v="Администрация Кировского района Санкт-Петербурга"/>
    <s v="7805059546"/>
    <n v="9879.5"/>
    <n v="9208.0640999999996"/>
    <n v="0"/>
    <n v="671.43589999999995"/>
    <n v="93"/>
  </r>
  <r>
    <s v="8"/>
    <x v="10"/>
    <s v="  1101 0450045020 611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125.7"/>
    <n v="118106.4451"/>
    <n v="11940.986500000001"/>
    <n v="65019.2549"/>
    <n v="64"/>
  </r>
  <r>
    <s v="8"/>
    <x v="10"/>
    <s v="  1102 041P545010 612"/>
    <s v="1102"/>
    <s v="Физическая культура и спорт"/>
    <s v="02"/>
    <s v="Массовый спорт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545.6"/>
    <n v="1511.1197999999999"/>
    <n v="259.01369999999997"/>
    <n v="2034.4802"/>
    <n v="43"/>
  </r>
  <r>
    <s v="8"/>
    <x v="10"/>
    <s v="  1103 0450045090 611"/>
    <s v="1103"/>
    <s v="Физическая культура и спорт"/>
    <s v="03"/>
    <s v="Спорт высших достижений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4843.3"/>
    <n v="219602.7746"/>
    <n v="33385.696199999998"/>
    <n v="105240.5254"/>
    <n v="68"/>
  </r>
  <r>
    <s v="9"/>
    <x v="11"/>
    <s v="  0103 9950000060 244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4"/>
    <s v="Прочая закупка товаров, работ и услуг"/>
    <s v="Администрация Кировского района Санкт-Петербурга"/>
    <s v="7805059546"/>
    <n v="3772.6"/>
    <n v="50.020899999999997"/>
    <n v="1.3041"/>
    <n v="3722.5790999999999"/>
    <n v="1"/>
  </r>
  <r>
    <s v="9"/>
    <x v="11"/>
    <s v="  0103 9950000060 247"/>
    <s v="0103"/>
    <s v="Общегосударственные вопросы"/>
    <s v="03"/>
    <s v="Функционирование законодательных (представительных) органов государственной власти и представительных органов муниципальных образований"/>
    <s v="99"/>
    <s v="Непрограммные расходы"/>
    <s v="995"/>
    <s v="5"/>
    <s v="Процессная часть перечня мероприятий государственной программы"/>
    <s v="9950000060"/>
    <s v="Расходы на обслуживание приемных помещений депутатов Законодательного Собрания Санкт-Петербурга"/>
    <s v="247"/>
    <s v="Закупка энергетических ресурсов"/>
    <s v="Администрация Кировского района Санкт-Петербурга"/>
    <s v="7805059546"/>
    <n v="8.3000000000000007"/>
    <n v="0.92269999999999996"/>
    <n v="0"/>
    <n v="7.3773"/>
    <n v="11"/>
  </r>
  <r>
    <s v="9"/>
    <x v="11"/>
    <s v="  0113 0650090100 530"/>
    <s v="0113"/>
    <s v="Общегосударственные вопросы"/>
    <s v="13"/>
    <s v="Другие общегосударственные вопросы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100"/>
    <s v="Субвенции бюджетам муниципальных образований на исполнение государственного полномочия по составлению протоколов об административных правонарушениях"/>
    <s v="530"/>
    <s v="Субвенции"/>
    <s v="Администрация Кировского района Санкт-Петербурга"/>
    <s v="7805059546"/>
    <n v="64.400000000000006"/>
    <n v="0"/>
    <n v="0"/>
    <n v="64.400000000000006"/>
    <n v="0"/>
  </r>
  <r>
    <s v="9"/>
    <x v="11"/>
    <s v="  0113 1650099220 244"/>
    <s v="0113"/>
    <s v="Общегосударственные вопросы"/>
    <s v="13"/>
    <s v="Другие общегосударственные вопросы"/>
    <s v="16"/>
    <s v="Экономическое и социальное развитие территорий Санкт-Петербурга"/>
    <s v="165"/>
    <s v="5"/>
    <s v="Процессная часть перечня мероприятий государственной программы"/>
    <s v="1650099220"/>
    <s v="Расходы на формирование Реестра собственности Санкт-Петербурга и на подготовку документов, идентифицирующих бесхозяйное имущество"/>
    <s v="244"/>
    <s v="Прочая закупка товаров, работ и услуг"/>
    <s v="Администрация Кировского района Санкт-Петербурга"/>
    <s v="7805059546"/>
    <n v="208.2"/>
    <n v="95.19"/>
    <n v="6.7"/>
    <n v="113.01"/>
    <n v="46"/>
  </r>
  <r>
    <s v="9"/>
    <x v="11"/>
    <s v="  0113 1750098720 244"/>
    <s v="0113"/>
    <s v="Общегосударственные вопросы"/>
    <s v="13"/>
    <s v="Другие общегосударственные вопросы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98720"/>
    <s v="Расходы на информационное освещение деятельности органов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567.9"/>
    <n v="267.5752"/>
    <n v="55.911299999999997"/>
    <n v="300.32479999999998"/>
    <n v="47"/>
  </r>
  <r>
    <s v="9"/>
    <x v="11"/>
    <s v="  0113 9950000090 1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1"/>
    <s v="Фонд оплаты труда государственных (муниципальных) органов"/>
    <s v="Администрация Кировского района Санкт-Петербурга"/>
    <s v="7805059546"/>
    <n v="246128.1"/>
    <n v="185433.9431"/>
    <n v="23342.936600000001"/>
    <n v="60694.156900000002"/>
    <n v="75"/>
  </r>
  <r>
    <s v="9"/>
    <x v="11"/>
    <s v="  0113 9950000090 12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2"/>
    <s v="Иные выплаты персоналу государственных (муниципальных) органов, за исключением фонда оплаты труда"/>
    <s v="Администрация Кировского района Санкт-Петербурга"/>
    <s v="7805059546"/>
    <n v="140.5"/>
    <n v="80.436000000000007"/>
    <n v="2"/>
    <n v="60.064"/>
    <n v="57"/>
  </r>
  <r>
    <s v="9"/>
    <x v="11"/>
    <s v="  0113 9950000090 12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129"/>
    <s v="Взносы по обязательному социальному страхованию на выплаты денежного содержания и иные выплаты работникам государственных (муниципальных) органов"/>
    <s v="Администрация Кировского района Санкт-Петербурга"/>
    <s v="7805059546"/>
    <n v="73726.399999999994"/>
    <n v="55978.9251"/>
    <n v="5780.3281999999999"/>
    <n v="17747.474900000001"/>
    <n v="76"/>
  </r>
  <r>
    <s v="9"/>
    <x v="11"/>
    <s v="  0113 9950000090 24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300"/>
    <n v="142.66909999999999"/>
    <n v="45.560899999999997"/>
    <n v="157.33090000000001"/>
    <n v="48"/>
  </r>
  <r>
    <s v="9"/>
    <x v="11"/>
    <s v="  0113 9950000090 243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3"/>
    <s v="Закупка товаров, работ, услуг в целях капитального ремонта государственного (муниципального) имущества"/>
    <s v="Администрация Кировского района Санкт-Петербурга"/>
    <s v="7805059546"/>
    <n v="9797.9"/>
    <n v="0"/>
    <n v="0"/>
    <n v="9797.9"/>
    <n v="0"/>
  </r>
  <r>
    <s v="9"/>
    <x v="11"/>
    <s v="  0113 995000009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4"/>
    <s v="Прочая закупка товаров, работ и услуг"/>
    <s v="Администрация Кировского района Санкт-Петербурга"/>
    <s v="7805059546"/>
    <n v="97216.5"/>
    <n v="44602.339200000002"/>
    <n v="23151.6806"/>
    <n v="52614.160799999998"/>
    <n v="46"/>
  </r>
  <r>
    <s v="9"/>
    <x v="11"/>
    <s v="  0113 9950000090 247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247"/>
    <s v="Закупка энергетических ресурсов"/>
    <s v="Администрация Кировского района Санкт-Петербурга"/>
    <s v="7805059546"/>
    <n v="16160.9"/>
    <n v="11109.2531"/>
    <n v="634.11590000000001"/>
    <n v="5051.6468999999997"/>
    <n v="69"/>
  </r>
  <r>
    <s v="9"/>
    <x v="11"/>
    <s v="  0113 9950000090 83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503.1"/>
    <n v="502.91250000000002"/>
    <n v="72.383399999999995"/>
    <n v="0.1875"/>
    <n v="100"/>
  </r>
  <r>
    <s v="9"/>
    <x v="11"/>
    <s v="  0113 9950000090 853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090"/>
    <s v="Содержание исполнительного органа государственной власти Санкт-Петербурга"/>
    <s v="853"/>
    <s v="Уплата иных платежей"/>
    <s v="Администрация Кировского района Санкт-Петербурга"/>
    <s v="7805059546"/>
    <n v="179.8"/>
    <n v="179.71199999999999"/>
    <n v="0"/>
    <n v="8.7999999999999995E-2"/>
    <n v="100"/>
  </r>
  <r>
    <s v="9"/>
    <x v="11"/>
    <s v="  0113 9950000320 1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1"/>
    <s v="Фонд оплаты труда учреждений"/>
    <s v="Администрация Кировского района Санкт-Петербурга"/>
    <s v="7805059546"/>
    <n v="181743.4"/>
    <n v="129139.38340000001"/>
    <n v="12349.470499999999"/>
    <n v="52604.016600000003"/>
    <n v="71"/>
  </r>
  <r>
    <s v="9"/>
    <x v="11"/>
    <s v="  0113 9950000320 119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54698.400000000001"/>
    <n v="38245.272700000001"/>
    <n v="4617.6859999999997"/>
    <n v="16453.1273"/>
    <n v="70"/>
  </r>
  <r>
    <s v="9"/>
    <x v="11"/>
    <s v="  0113 995000032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244"/>
    <s v="Прочая закупка товаров, работ и услуг"/>
    <s v="Администрация Кировского района Санкт-Петербурга"/>
    <s v="7805059546"/>
    <n v="2625.5"/>
    <n v="2418.7381"/>
    <n v="103.84350000000001"/>
    <n v="206.7619"/>
    <n v="92"/>
  </r>
  <r>
    <s v="9"/>
    <x v="11"/>
    <s v="  0113 9950000320 32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321"/>
    <s v="Пособия, компенсации и иные социальные выплаты_x000a_гражданам, кроме публичных нормативных обязательств"/>
    <s v="Администрация Кировского района Санкт-Петербурга"/>
    <s v="7805059546"/>
    <n v="2"/>
    <n v="1.9904999999999999"/>
    <n v="0"/>
    <n v="9.4999999999999998E-3"/>
    <n v="100"/>
  </r>
  <r>
    <s v="9"/>
    <x v="11"/>
    <s v="  0113 9950000320 852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320"/>
    <s v="Содержание централизованных бухгалтерий"/>
    <s v="852"/>
    <s v="Уплата прочих налогов, сборов"/>
    <s v="Администрация Кировского района Санкт-Петербурга"/>
    <s v="7805059546"/>
    <n v="3.7"/>
    <n v="2.3089"/>
    <n v="0"/>
    <n v="1.3911"/>
    <n v="62"/>
  </r>
  <r>
    <s v="9"/>
    <x v="11"/>
    <s v="  0113 9950000530 611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0530"/>
    <s v="Субсидии бюджетным учреждениям - службы заказчик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0925.600000000006"/>
    <n v="50562.712599999999"/>
    <n v="5576.7199000000001"/>
    <n v="20362.8874"/>
    <n v="71"/>
  </r>
  <r>
    <s v="9"/>
    <x v="11"/>
    <s v="  0113 9950001480 244"/>
    <s v="0113"/>
    <s v="Общегосударственные вопросы"/>
    <s v="13"/>
    <s v="Другие общегосударственные вопросы"/>
    <s v="99"/>
    <s v="Непрограммные расходы"/>
    <s v="995"/>
    <s v="5"/>
    <s v="Процессная часть перечня мероприятий государственной программы"/>
    <s v="9950001480"/>
    <s v="Расходы на обеспечение содержания нежилых зданий, а также помещений в таких зданиях, являющихся имуществом казны Санкт-Петербурга и не переданных по договорам третьим лицам"/>
    <s v="244"/>
    <s v="Прочая закупка товаров, работ и услуг"/>
    <s v="Администрация Кировского района Санкт-Петербурга"/>
    <s v="7805059546"/>
    <n v="4360.5"/>
    <n v="2819.3098"/>
    <n v="217.61410000000001"/>
    <n v="1541.1902"/>
    <n v="65"/>
  </r>
  <r>
    <s v="9"/>
    <x v="11"/>
    <s v="  0309 0650090880 244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4"/>
    <s v="Прочая закупка товаров, работ и услуг"/>
    <s v="Администрация Кировского района Санкт-Петербурга"/>
    <s v="7805059546"/>
    <n v="4082.8"/>
    <n v="3256.9695000000002"/>
    <n v="0"/>
    <n v="825.83050000000003"/>
    <n v="80"/>
  </r>
  <r>
    <s v="9"/>
    <x v="11"/>
    <s v="  0309 0650090880 247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247"/>
    <s v="Закупка энергетических ресурсов"/>
    <s v="Администрация Кировского района Санкт-Петербурга"/>
    <s v="7805059546"/>
    <n v="8518.1"/>
    <n v="403.39819999999997"/>
    <n v="138.57929999999999"/>
    <n v="8114.7017999999998"/>
    <n v="5"/>
  </r>
  <r>
    <s v="9"/>
    <x v="11"/>
    <s v="  0309 0650090880 851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5312.2"/>
    <n v="4513.5222000000003"/>
    <n v="0"/>
    <n v="798.67780000000005"/>
    <n v="85"/>
  </r>
  <r>
    <s v="9"/>
    <x v="11"/>
    <s v="  0309 0650090880 853"/>
    <s v="0309"/>
    <s v="Национальная безопасность и правоохранительная деятельность"/>
    <s v="09"/>
    <s v="Гражданская оборон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80"/>
    <s v="Расходы на содержание защитных сооружений гражданской обороны"/>
    <s v="853"/>
    <s v="Уплата иных платежей"/>
    <s v="Администрация Кировского района Санкт-Петербурга"/>
    <s v="7805059546"/>
    <n v="2554.3000000000002"/>
    <n v="2068.2707"/>
    <n v="485.94260000000003"/>
    <n v="486.02929999999998"/>
    <n v="81"/>
  </r>
  <r>
    <s v="9"/>
    <x v="11"/>
    <s v="  0314 0650090690 244"/>
    <s v="0314"/>
    <s v="Национальная безопасность и правоохранительная деятельность"/>
    <s v="14"/>
    <s v="Другие вопросы в области национальной безопасности и правоохранительной деятельности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690"/>
    <s v="Расходы, связанные с материально-техническим обеспечением деятельности народных дружин"/>
    <s v="244"/>
    <s v="Прочая закупка товаров, работ и услуг"/>
    <s v="Администрация Кировского района Санкт-Петербурга"/>
    <s v="7805059546"/>
    <n v="22.1"/>
    <n v="11.1165"/>
    <n v="0"/>
    <n v="10.983499999999999"/>
    <n v="50"/>
  </r>
  <r>
    <s v="9"/>
    <x v="11"/>
    <s v="  0410 0650090810 612"/>
    <s v="0410"/>
    <s v="Национальная экономика"/>
    <s v="10"/>
    <s v="Связь и информатика"/>
    <s v="06"/>
    <s v="Обеспечение законности, правопорядка и безопасности в Санкт-Петербурге"/>
    <s v="065"/>
    <s v="5"/>
    <s v="Процессная часть перечня мероприятий государственной программы"/>
    <s v="0650090810"/>
    <s v="Расходы на дооснащение комплексными системами обеспечения безопасности"/>
    <s v="612"/>
    <s v="Субсидии бюджетным учреждениям на иные цели"/>
    <s v="Администрация Кировского района Санкт-Петербурга"/>
    <s v="7805059546"/>
    <n v="33219"/>
    <n v="7323.1282000000001"/>
    <n v="6318.6469999999999"/>
    <n v="25895.871800000001"/>
    <n v="22"/>
  </r>
  <r>
    <s v="9"/>
    <x v="11"/>
    <s v="  0410 9950096170 242"/>
    <s v="0410"/>
    <s v="Национальная экономика"/>
    <s v="10"/>
    <s v="Связь и информатика"/>
    <s v="99"/>
    <s v="Непрограммные расходы"/>
    <s v="995"/>
    <s v="5"/>
    <s v="Процессная часть перечня мероприятий государственной программы"/>
    <s v="9950096170"/>
    <s v="Расходы на обеспечение эксплуатации и закупку средств автоматизации, запасных частей, расходных материалов и комплектующих к ним"/>
    <s v="242"/>
    <s v="Закупка товаров, работ, услуг в сфере информационно-коммуникационных технологий"/>
    <s v="Администрация Кировского района Санкт-Петербурга"/>
    <s v="7805059546"/>
    <n v="5402.8"/>
    <n v="3719.8539000000001"/>
    <n v="140.35599999999999"/>
    <n v="1682.9460999999999"/>
    <n v="69"/>
  </r>
  <r>
    <s v="9"/>
    <x v="11"/>
    <s v="  0501 09500833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380"/>
    <s v="Расходы на предупреждение аварийных ситуаций и ликвидацию их последствий в отношении объектов системы жизнеобеспечения населения"/>
    <s v="244"/>
    <s v="Прочая закупка товаров, работ и услуг"/>
    <s v="Администрация Кировского района Санкт-Петербурга"/>
    <s v="7805059546"/>
    <n v="5247.5"/>
    <n v="5021.99"/>
    <n v="0"/>
    <n v="225.51"/>
    <n v="96"/>
  </r>
  <r>
    <s v="9"/>
    <x v="11"/>
    <s v="  0501 095008347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70"/>
    <s v="Расходы на ремонт и оснащение пустующих 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58395.199999999997"/>
    <n v="10261.186799999999"/>
    <n v="6404.8667999999998"/>
    <n v="48134.013200000001"/>
    <n v="18"/>
  </r>
  <r>
    <s v="9"/>
    <x v="11"/>
    <s v="  0501 095008348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3467.9"/>
    <n v="586.33839999999998"/>
    <n v="182.17590000000001"/>
    <n v="2881.5616"/>
    <n v="17"/>
  </r>
  <r>
    <s v="9"/>
    <x v="11"/>
    <s v="  0501 095008348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80"/>
    <s v="Расходы на содержание и оснащение жилых и нежилых помещений (за исключением пустующих)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104832.7"/>
    <n v="78135.755099999995"/>
    <n v="15719.151400000001"/>
    <n v="26696.944899999999"/>
    <n v="75"/>
  </r>
  <r>
    <s v="9"/>
    <x v="11"/>
    <s v="  0501 0950083490 244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4"/>
    <s v="Прочая закупка товаров, работ и услуг"/>
    <s v="Администрация Кировского района Санкт-Петербурга"/>
    <s v="7805059546"/>
    <n v="16844.5"/>
    <n v="10081.2371"/>
    <n v="65.282399999999996"/>
    <n v="6763.2628999999997"/>
    <n v="60"/>
  </r>
  <r>
    <s v="9"/>
    <x v="11"/>
    <s v="  0501 0950083490 247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247"/>
    <s v="Закупка энергетических ресурсов"/>
    <s v="Администрация Кировского района Санкт-Петербурга"/>
    <s v="7805059546"/>
    <n v="6321.4"/>
    <n v="228.6628"/>
    <n v="228.6628"/>
    <n v="6092.7371999999996"/>
    <n v="4"/>
  </r>
  <r>
    <s v="9"/>
    <x v="11"/>
    <s v="  0501 0950083490 853"/>
    <s v="0501"/>
    <s v="Жилищно-коммунальное хозяйство"/>
    <s v="01"/>
    <s v="Жилищное хозяйство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90"/>
    <s v="Расходы на содержание пустующих жилых и нежилых помещений, являющихся собственностью Санкт-Петербурга"/>
    <s v="853"/>
    <s v="Уплата иных платежей"/>
    <s v="Администрация Кировского района Санкт-Петербурга"/>
    <s v="7805059546"/>
    <n v="4785.7"/>
    <n v="3837.5237000000002"/>
    <n v="790.68299999999999"/>
    <n v="948.17629999999997"/>
    <n v="80"/>
  </r>
  <r>
    <s v="9"/>
    <x v="11"/>
    <s v="  0503 105008791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244"/>
    <s v="Прочая закупка товаров, работ и услуг"/>
    <s v="Администрация Кировского района Санкт-Петербурга"/>
    <s v="7805059546"/>
    <n v="3229.3"/>
    <n v="340"/>
    <n v="0"/>
    <n v="2889.3"/>
    <n v="11"/>
  </r>
  <r>
    <s v="9"/>
    <x v="11"/>
    <s v="  0503 105008791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10"/>
    <s v="Расходы на обеспечение мероприятий по пресечению образования несанкционированных свалок отходов, ликвидации несанкционированных свалок отходов на территории района"/>
    <s v="853"/>
    <s v="Уплата иных платежей"/>
    <s v="Администрация Кировского района Санкт-Петербурга"/>
    <s v="7805059546"/>
    <n v="250.7"/>
    <n v="250.65"/>
    <n v="0"/>
    <n v="0.05"/>
    <n v="100"/>
  </r>
  <r>
    <s v="9"/>
    <x v="11"/>
    <s v="  0503 105008793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244"/>
    <s v="Прочая закупка товаров, работ и услуг"/>
    <s v="Администрация Кировского района Санкт-Петербурга"/>
    <s v="7805059546"/>
    <n v="52212.9"/>
    <n v="8439.4480999999996"/>
    <n v="1842.5355999999999"/>
    <n v="43773.4519"/>
    <n v="16"/>
  </r>
  <r>
    <s v="9"/>
    <x v="11"/>
    <s v="  0503 105008793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7930"/>
    <s v="Расходы на проведение мероприятий в сфере благоустройства"/>
    <s v="853"/>
    <s v="Уплата иных платежей"/>
    <s v="Администрация Кировского района Санкт-Петербурга"/>
    <s v="7805059546"/>
    <n v="406.8"/>
    <n v="406.8"/>
    <n v="0"/>
    <n v="0"/>
    <n v="100"/>
  </r>
  <r>
    <s v="9"/>
    <x v="11"/>
    <s v="  0503 1050088270 244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244"/>
    <s v="Прочая закупка товаров, работ и услуг"/>
    <s v="Администрация Кировского района Санкт-Петербурга"/>
    <s v="7805059546"/>
    <n v="152084.6"/>
    <n v="44981.402099999999"/>
    <n v="41157.281000000003"/>
    <n v="107103.1979"/>
    <n v="30"/>
  </r>
  <r>
    <s v="9"/>
    <x v="11"/>
    <s v="  0503 1050088270 853"/>
    <s v="0503"/>
    <s v="Жилищно-коммунальное хозяйство"/>
    <s v="03"/>
    <s v="Благоустройство"/>
    <s v="10"/>
    <s v="Благоустройство и охрана окружающей среды в Санкт-Петербурге"/>
    <s v="105"/>
    <s v="5"/>
    <s v="Процессная часть перечня мероприятий государственной программы"/>
    <s v="1050088270"/>
    <s v="Расходы на реализацию мероприятий проекта «Комфортная городская среда Санкт-Петербурга»"/>
    <s v="853"/>
    <s v="Уплата иных платежей"/>
    <s v="Администрация Кировского района Санкт-Петербурга"/>
    <s v="7805059546"/>
    <n v="2086.8000000000002"/>
    <n v="2086.8000000000002"/>
    <n v="0"/>
    <n v="0"/>
    <n v="100"/>
  </r>
  <r>
    <s v="9"/>
    <x v="11"/>
    <s v="  0505 0950083140 11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1"/>
    <s v="Фонд оплаты труда учреждений"/>
    <s v="Администрация Кировского района Санкт-Петербурга"/>
    <s v="7805059546"/>
    <n v="470237.7"/>
    <n v="322161.28460000001"/>
    <n v="27912.1077"/>
    <n v="148076.4154"/>
    <n v="69"/>
  </r>
  <r>
    <s v="9"/>
    <x v="11"/>
    <s v="  0505 0950083140 119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119"/>
    <s v="Взносы по обязательному социальному страхованию на выплаты по оплате труда работников и иные выплаты работникам учреждений"/>
    <s v="Администрация Кировского района Санкт-Петербурга"/>
    <s v="7805059546"/>
    <n v="140950.39999999999"/>
    <n v="99296.0576"/>
    <n v="3193.7609000000002"/>
    <n v="41654.342400000001"/>
    <n v="70"/>
  </r>
  <r>
    <s v="9"/>
    <x v="11"/>
    <s v="  0505 095008314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4"/>
    <s v="Прочая закупка товаров, работ и услуг"/>
    <s v="Администрация Кировского района Санкт-Петербурга"/>
    <s v="7805059546"/>
    <n v="122127.4"/>
    <n v="51002.823100000001"/>
    <n v="5685.2222000000002"/>
    <n v="71124.5769"/>
    <n v="42"/>
  </r>
  <r>
    <s v="9"/>
    <x v="11"/>
    <s v="  0505 0950083140 247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247"/>
    <s v="Закупка энергетических ресурсов"/>
    <s v="Администрация Кировского района Санкт-Петербурга"/>
    <s v="7805059546"/>
    <n v="5728.8"/>
    <n v="2166.5657999999999"/>
    <n v="416.09469999999999"/>
    <n v="3562.2341999999999"/>
    <n v="38"/>
  </r>
  <r>
    <s v="9"/>
    <x v="11"/>
    <s v="  0505 0950083140 83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31"/>
    <s v="Исполнение судебных актов Российской Федерации и мировых соглашений по возмещению причиненного вреда"/>
    <s v="Администрация Кировского района Санкт-Петербурга"/>
    <s v="7805059546"/>
    <n v="284.7"/>
    <n v="280.87279999999998"/>
    <n v="0"/>
    <n v="3.8271999999999999"/>
    <n v="99"/>
  </r>
  <r>
    <s v="9"/>
    <x v="11"/>
    <s v="  0505 0950083140 851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1"/>
    <s v="Уплата налога на имущество организаций и земельного налога"/>
    <s v="Администрация Кировского района Санкт-Петербурга"/>
    <s v="7805059546"/>
    <n v="1454.5"/>
    <n v="91.74"/>
    <n v="0"/>
    <n v="1362.76"/>
    <n v="6"/>
  </r>
  <r>
    <s v="9"/>
    <x v="11"/>
    <s v="  0505 0950083140 852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2"/>
    <s v="Уплата прочих налогов, сборов"/>
    <s v="Администрация Кировского района Санкт-Петербурга"/>
    <s v="7805059546"/>
    <n v="675.8"/>
    <n v="433.1327"/>
    <n v="0"/>
    <n v="242.66730000000001"/>
    <n v="64"/>
  </r>
  <r>
    <s v="9"/>
    <x v="11"/>
    <s v="  0505 0950083140 853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140"/>
    <s v="Расходы на содержание Санкт-Петербургских государственных казенных учреждений Жилищных агентств районов Санкт-Петербурга"/>
    <s v="853"/>
    <s v="Уплата иных платежей"/>
    <s v="Администрация Кировского района Санкт-Петербурга"/>
    <s v="7805059546"/>
    <n v="185"/>
    <n v="185"/>
    <n v="0"/>
    <n v="0"/>
    <n v="100"/>
  </r>
  <r>
    <s v="9"/>
    <x v="11"/>
    <s v="  0505 0950083450 244"/>
    <s v="0505"/>
    <s v="Жилищно-коммунальное хозяйство"/>
    <s v="05"/>
    <s v="Другие вопросы в области жилищно-коммунального хозяйства"/>
    <s v="09"/>
    <s v="Обеспечение доступным жильем и жилищно-коммунальными услугами жителей Санкт-Петербурга"/>
    <s v="095"/>
    <s v="5"/>
    <s v="Процессная часть перечня мероприятий государственной программы"/>
    <s v="0950083450"/>
    <s v="Расходы на проведение мероприятий по созданию условий доступности для инвалидов и иных маломобильных групп населения"/>
    <s v="244"/>
    <s v="Прочая закупка товаров, работ и услуг"/>
    <s v="Администрация Кировского района Санкт-Петербурга"/>
    <s v="7805059546"/>
    <n v="3157.5"/>
    <n v="0"/>
    <n v="0"/>
    <n v="3157.5"/>
    <n v="0"/>
  </r>
  <r>
    <s v="9"/>
    <x v="11"/>
    <s v="  0701 0250020010 611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10"/>
    <s v="Субсидии бюджетным учреждениям - дошкольным образовательным учрежден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988386"/>
    <n v="3509541.1553000002"/>
    <n v="352222.739"/>
    <n v="1478844.8447"/>
    <n v="70"/>
  </r>
  <r>
    <s v="9"/>
    <x v="11"/>
    <s v="  0701 025002094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29473.1"/>
    <n v="8176.0011999999997"/>
    <n v="8143.6012000000001"/>
    <n v="21297.0988"/>
    <n v="28"/>
  </r>
  <r>
    <s v="9"/>
    <x v="11"/>
    <s v="  0701 0250021450 612"/>
    <s v="0701"/>
    <s v="Образование"/>
    <s v="01"/>
    <s v="Дошкольно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2937.4"/>
    <n v="28207.702000000001"/>
    <n v="2905.4508000000001"/>
    <n v="4729.6980000000003"/>
    <n v="86"/>
  </r>
  <r>
    <s v="9"/>
    <x v="11"/>
    <s v="  0702 021EВ5179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1790"/>
    <s v="Субсид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21148"/>
    <n v="15860.8182"/>
    <n v="1762.2418"/>
    <n v="5287.1818000000003"/>
    <n v="75"/>
  </r>
  <r>
    <s v="9"/>
    <x v="11"/>
    <s v="  0702 021EВ57860 612"/>
    <s v="0702"/>
    <s v="Образование"/>
    <s v="02"/>
    <s v="Общее образование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В57860"/>
    <s v="Расходы на обеспечение оснащения государственных общеобразовательных организаций, в том числе структурных подразделений указанных организаций, государственными символами Российской Федерации"/>
    <s v="612"/>
    <s v="Субсидии бюджетным учреждениям на иные цели"/>
    <s v="Администрация Кировского района Санкт-Петербурга"/>
    <s v="7805059546"/>
    <n v="1977.2"/>
    <n v="1975.2195999999999"/>
    <n v="0"/>
    <n v="1.9803999999999999"/>
    <n v="100"/>
  </r>
  <r>
    <s v="9"/>
    <x v="11"/>
    <s v="  0702 025002003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30"/>
    <s v="Субсидии бюджетным учреждениям - общеобразовательным школ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853108.9000000004"/>
    <n v="3482298.8843"/>
    <n v="298794.93199999997"/>
    <n v="1370810.0157000001"/>
    <n v="72"/>
  </r>
  <r>
    <s v="9"/>
    <x v="11"/>
    <s v="  0702 025002006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60"/>
    <s v="Субсидии бюджетным учреждениям - школам-интерна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68859"/>
    <n v="108030.0022"/>
    <n v="9746.3860999999997"/>
    <n v="60828.997799999997"/>
    <n v="64"/>
  </r>
  <r>
    <s v="9"/>
    <x v="11"/>
    <s v="  0702 0250020070 611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70"/>
    <s v="Субсидии бюджетным учреждениям - образовательным учреждениям «Центр образования»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1930.899999999994"/>
    <n v="57889.6875"/>
    <n v="5225.3231999999998"/>
    <n v="24041.212500000001"/>
    <n v="71"/>
  </r>
  <r>
    <s v="9"/>
    <x v="11"/>
    <s v="  0702 0250020080 633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80"/>
    <s v="Субсидии частным образовательным организациям для реализации основных общеобразовательных программ"/>
    <s v="633"/>
    <s v="Субсидии (гранты в форме субсидий), не подлежащие казначейскому сопровождению"/>
    <s v="Администрация Кировского района Санкт-Петербурга"/>
    <s v="7805059546"/>
    <n v="1102.9000000000001"/>
    <n v="827.17499999999995"/>
    <n v="0"/>
    <n v="275.72500000000002"/>
    <n v="75"/>
  </r>
  <r>
    <s v="9"/>
    <x v="11"/>
    <s v="  0702 025002009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090"/>
    <s v="Расходы на обеспечение книгами и учебными изданиями для комплектования библиотек государственных обще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107676.4"/>
    <n v="79425.185100000002"/>
    <n v="23729.6518"/>
    <n v="28251.214899999999"/>
    <n v="74"/>
  </r>
  <r>
    <s v="9"/>
    <x v="11"/>
    <s v="  0702 025002011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10"/>
    <s v="Расходы на оснащение базовых общеобразовательных организаций современными средствами обучения и воспитания с целью повышения качества общего образования, в том числе через использование сетевой формы реализации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20000"/>
    <n v="19921.684000000001"/>
    <n v="0"/>
    <n v="78.316000000000003"/>
    <n v="100"/>
  </r>
  <r>
    <s v="9"/>
    <x v="11"/>
    <s v="  0702 025002068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80"/>
    <s v="Расходы на приобретение оборудования и инвентаря для вводимых после капитального ремонта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8490.7000000000007"/>
    <n v="0"/>
    <n v="0"/>
    <n v="8490.7000000000007"/>
    <n v="0"/>
  </r>
  <r>
    <s v="9"/>
    <x v="11"/>
    <s v="  0702 025002094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940"/>
    <s v="Расходы на капитальный ремонт учреждений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27820.2"/>
    <n v="15342.911400000001"/>
    <n v="4927.8666999999996"/>
    <n v="112477.2886"/>
    <n v="12"/>
  </r>
  <r>
    <s v="9"/>
    <x v="11"/>
    <s v="  0702 025002145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50"/>
    <s v="Расходы на приобретение оборудования, кухонного инвентаря, мебели для пищеблоков, столовых и буфетов в государственных образовательных учреждениях, подведомственных Комитету по образованию и администрациям районов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25956.9"/>
    <n v="19027.123"/>
    <n v="1024.0748000000001"/>
    <n v="6929.777"/>
    <n v="73"/>
  </r>
  <r>
    <s v="9"/>
    <x v="11"/>
    <s v="  0702 025002146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460"/>
    <s v="Расходы на реализацию мероприятий проекта по вовлечению учащихся в развитие школьной инфраструктуры"/>
    <s v="612"/>
    <s v="Субсидии бюджетным учреждениям на иные цели"/>
    <s v="Администрация Кировского района Санкт-Петербурга"/>
    <s v="7805059546"/>
    <n v="2923.6"/>
    <n v="1958.5275999999999"/>
    <n v="1675.5275999999999"/>
    <n v="965.07240000000002"/>
    <n v="67"/>
  </r>
  <r>
    <s v="9"/>
    <x v="11"/>
    <s v="  0702 0250053030 612"/>
    <s v="0702"/>
    <s v="Образование"/>
    <s v="02"/>
    <s v="Общее образование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53030"/>
    <s v="Расходы на ежемесячное денежное вознаграждение за классное руководство педагогическим работникам государственных образовательных организаций, реализующих образовательные программы начального общего образования, образовательные программы основного общего о"/>
    <s v="612"/>
    <s v="Субсидии бюджетным учреждениям на иные цели"/>
    <s v="Администрация Кировского района Санкт-Петербурга"/>
    <s v="7805059546"/>
    <n v="104515.5"/>
    <n v="82036.77"/>
    <n v="9000"/>
    <n v="22478.73"/>
    <n v="78"/>
  </r>
  <r>
    <s v="9"/>
    <x v="11"/>
    <s v="  0702 035004065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50"/>
    <s v="Расходы на реализацию дополнительных мер социальной поддержки по обеспечению питанием в государственных образовательных учреждениях"/>
    <s v="612"/>
    <s v="Субсидии бюджетным учреждениям на иные цели"/>
    <s v="Администрация Кировского района Санкт-Петербурга"/>
    <s v="7805059546"/>
    <n v="261384"/>
    <n v="168828.55369999999"/>
    <n v="0"/>
    <n v="92555.446299999996"/>
    <n v="65"/>
  </r>
  <r>
    <s v="9"/>
    <x v="11"/>
    <s v="  0702 03500R3040 612"/>
    <s v="0702"/>
    <s v="Образование"/>
    <s v="02"/>
    <s v="Общее образование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R3040"/>
    <s v="Расходы на организацию бесплатного горячего питания обучающихся, получающих начальное общее образование в государственных образовательных организациях"/>
    <s v="612"/>
    <s v="Субсидии бюджетным учреждениям на иные цели"/>
    <s v="Администрация Кировского района Санкт-Петербурга"/>
    <s v="7805059546"/>
    <n v="179288"/>
    <n v="121734.8749"/>
    <n v="7692.3078999999998"/>
    <n v="57553.125099999997"/>
    <n v="68"/>
  </r>
  <r>
    <s v="9"/>
    <x v="11"/>
    <s v="  0703 0250020300 611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00"/>
    <s v="Субсидии бюджетным учреждениям - учреждениям дополнительного образовани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53526.6"/>
    <n v="194048.83489999999"/>
    <n v="27115.491300000002"/>
    <n v="59477.765099999997"/>
    <n v="77"/>
  </r>
  <r>
    <s v="9"/>
    <x v="11"/>
    <s v="  0703 0250021580 816"/>
    <s v="0703"/>
    <s v="Образование"/>
    <s v="03"/>
    <s v="Дополнительное образование детей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580"/>
    <s v="Расходы на реализацию системы персонифицированного учета детей, осваивающих дополнительные образовательные программы (за исключением дополнительных предпрофессиональных программ в области искусств)"/>
    <s v="816"/>
    <s v="Субсидии в целях финансового обеспечения (возмещения)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0"/>
    <n v="0"/>
    <n v="0"/>
    <n v="100"/>
    <n v="0"/>
  </r>
  <r>
    <s v="9"/>
    <x v="11"/>
    <s v="  0705 0250020620 612"/>
    <s v="0705"/>
    <s v="Образование"/>
    <s v="05"/>
    <s v="Профессиональная подготовка, переподготовка и повышение квалификации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620"/>
    <s v="Расходы на обеспечение непрерывного и планомерного повышения квалификации руководящих и педагогических работников"/>
    <s v="612"/>
    <s v="Субсидии бюджетным учреждениям на иные цели"/>
    <s v="Администрация Кировского района Санкт-Петербурга"/>
    <s v="7805059546"/>
    <n v="1003.3"/>
    <n v="602.53210000000001"/>
    <n v="10.131600000000001"/>
    <n v="400.7679"/>
    <n v="60"/>
  </r>
  <r>
    <s v="9"/>
    <x v="11"/>
    <s v="  0707 1750078010 611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010"/>
    <s v="Субсидии бюджетным учреждениям - подростковым и молодежны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24582.9"/>
    <n v="132438.03109999999"/>
    <n v="13254.459000000001"/>
    <n v="92144.868900000001"/>
    <n v="59"/>
  </r>
  <r>
    <s v="9"/>
    <x v="11"/>
    <s v="  0707 17500785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560"/>
    <s v="Расходы на капитальный ремонт подростковых и молодежных центров"/>
    <s v="612"/>
    <s v="Субсидии бюджетным учреждениям на иные цели"/>
    <s v="Администрация Кировского района Санкт-Петербурга"/>
    <s v="7805059546"/>
    <n v="11946.1"/>
    <n v="0"/>
    <n v="0"/>
    <n v="11946.1"/>
    <n v="0"/>
  </r>
  <r>
    <s v="9"/>
    <x v="11"/>
    <s v="  0707 175007945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50"/>
    <s v="Расходы на организацию и проведение мероприятий в сфере молодежной политики"/>
    <s v="612"/>
    <s v="Субсидии бюджетным учреждениям на иные цели"/>
    <s v="Администрация Кировского района Санкт-Петербурга"/>
    <s v="7805059546"/>
    <n v="1648.3"/>
    <n v="0"/>
    <n v="0"/>
    <n v="1648.3"/>
    <n v="0"/>
  </r>
  <r>
    <s v="9"/>
    <x v="11"/>
    <s v="  0707 1750079460 612"/>
    <s v="0707"/>
    <s v="Образование"/>
    <s v="07"/>
    <s v="Молодежная политика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9460"/>
    <s v="Субсидии государственным бюджетным учреждениям в сфере молодежной политики на иные цели"/>
    <s v="612"/>
    <s v="Субсидии бюджетным учреждениям на иные цели"/>
    <s v="Администрация Кировского района Санкт-Петербурга"/>
    <s v="7805059546"/>
    <n v="10032.799999999999"/>
    <n v="5064.0586999999996"/>
    <n v="2994.2411000000002"/>
    <n v="4968.7412999999997"/>
    <n v="50"/>
  </r>
  <r>
    <s v="9"/>
    <x v="11"/>
    <s v="  0709 021E45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5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3914.4"/>
    <n v="13914.3143"/>
    <n v="0"/>
    <n v="8.5699999999999998E-2"/>
    <n v="100"/>
  </r>
  <r>
    <s v="9"/>
    <x v="11"/>
    <s v="  0709 021E4Д2130 612"/>
    <s v="0709"/>
    <s v="Образование"/>
    <s v="09"/>
    <s v="Другие вопросы в области образования"/>
    <s v="02"/>
    <s v="Развитие образования в Санкт-Петербурге"/>
    <s v="021"/>
    <s v="1"/>
    <s v="Региональные проекты, входящие в состав национальных проектов"/>
    <s v="021E4Д2130"/>
    <s v="Расходы на обеспечение образовательных организаций материально-технической базой для внедрения цифровой образовательной среды"/>
    <s v="612"/>
    <s v="Субсидии бюджетным учреждениям на иные цели"/>
    <s v="Администрация Кировского района Санкт-Петербурга"/>
    <s v="7805059546"/>
    <n v="19077.8"/>
    <n v="16687.0828"/>
    <n v="2137.9816000000001"/>
    <n v="2390.7172"/>
    <n v="87"/>
  </r>
  <r>
    <s v="9"/>
    <x v="11"/>
    <s v="  0709 025002010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100"/>
    <s v="Расходы на организацию дистанционного образования детей-инвалидов и детей с ограниченными возможностями здоровья"/>
    <s v="612"/>
    <s v="Субсидии бюджетным учреждениям на иные цели"/>
    <s v="Администрация Кировского района Санкт-Петербурга"/>
    <s v="7805059546"/>
    <n v="1642.6"/>
    <n v="1642.6"/>
    <n v="1642.6"/>
    <n v="0"/>
    <n v="100"/>
  </r>
  <r>
    <s v="9"/>
    <x v="11"/>
    <s v="  0709 0250020370 244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244"/>
    <s v="Прочая закупка товаров, работ и услуг"/>
    <s v="Администрация Кировского района Санкт-Петербурга"/>
    <s v="7805059546"/>
    <n v="92351.4"/>
    <n v="84443.039000000004"/>
    <n v="16541.724999999999"/>
    <n v="7908.3609999999999"/>
    <n v="91"/>
  </r>
  <r>
    <s v="9"/>
    <x v="11"/>
    <s v="  0709 025002037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370"/>
    <s v="Расходы на организацию отдыха и оздоровления детей и молодежи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4681.8"/>
    <n v="13656.830099999999"/>
    <n v="3"/>
    <n v="1024.9699000000001"/>
    <n v="93"/>
  </r>
  <r>
    <s v="9"/>
    <x v="11"/>
    <s v="  0709 025002043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30"/>
    <s v="Субсидии бюджетным учреждениям - психолого-педагогическим медико-социальным учреждениям для детей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43320.4"/>
    <n v="30886.259600000001"/>
    <n v="2996.5558999999998"/>
    <n v="12434.1404"/>
    <n v="71"/>
  </r>
  <r>
    <s v="9"/>
    <x v="11"/>
    <s v="  0709 0250020440 611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440"/>
    <s v="Субсидии бюджетным учреждениям - информационно-метод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59928.7"/>
    <n v="43455.807099999998"/>
    <n v="3863.4364999999998"/>
    <n v="16472.892899999999"/>
    <n v="73"/>
  </r>
  <r>
    <s v="9"/>
    <x v="11"/>
    <s v="  0709 02500205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0590"/>
    <s v="Субсидии на организацию проведения культурно-познавательной программы для обучающихся 9-х и 10-х классов государственных общеобразовательных организаций «Театральный урок в Мариинском театре»"/>
    <s v="612"/>
    <s v="Субсидии бюджетным учреждениям на иные цели"/>
    <s v="Администрация Кировского района Санкт-Петербурга"/>
    <s v="7805059546"/>
    <n v="7027.2"/>
    <n v="7027.2"/>
    <n v="0"/>
    <n v="0"/>
    <n v="100"/>
  </r>
  <r>
    <s v="9"/>
    <x v="11"/>
    <s v="  0709 02500210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090"/>
    <s v="Расходы на подготовку и проведение государственной итоговой аттестации по образовательным программам основного общего и среднего общего образования"/>
    <s v="612"/>
    <s v="Субсидии бюджетным учреждениям на иные цели"/>
    <s v="Администрация Кировского района Санкт-Петербурга"/>
    <s v="7805059546"/>
    <n v="19787.3"/>
    <n v="14444.0193"/>
    <n v="2958.1815999999999"/>
    <n v="5343.2807000000003"/>
    <n v="73"/>
  </r>
  <r>
    <s v="9"/>
    <x v="11"/>
    <s v="  0709 025002119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21190"/>
    <s v="Расходы на ремонт и оснащение спортивных сооружений (стадионов) государственных образователь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4012.1"/>
    <n v="25788.179599999999"/>
    <n v="19253.7739"/>
    <n v="18223.920399999999"/>
    <n v="59"/>
  </r>
  <r>
    <s v="9"/>
    <x v="11"/>
    <s v="  0709 02500R0500 612"/>
    <s v="0709"/>
    <s v="Образование"/>
    <s v="09"/>
    <s v="Другие вопросы в области образования"/>
    <s v="02"/>
    <s v="Развитие образования в Санкт-Петербурге"/>
    <s v="025"/>
    <s v="5"/>
    <s v="Процессная часть перечня мероприятий государственной программы"/>
    <s v="02500R0500"/>
    <s v="Расходы на ежемесячное денежное вознаграждение советникам директоров по воспитанию и взаимодействию с детскими общественными объединениями государственных общеобразовательных организаций, профессиональных образовательных организаций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142.5"/>
    <n v="285.60000000000002"/>
    <n v="285.60000000000002"/>
    <n v="856.9"/>
    <n v="25"/>
  </r>
  <r>
    <s v="9"/>
    <x v="11"/>
    <s v="  0709 1750078650 612"/>
    <s v="0709"/>
    <s v="Образование"/>
    <s v="09"/>
    <s v="Другие вопросы в области образования"/>
    <s v="17"/>
    <s v="Создание условий для обеспечения общественного согласия в Санкт-Петербурге"/>
    <s v="175"/>
    <s v="5"/>
    <s v="Процессная часть перечня мероприятий государственной программы"/>
    <s v="1750078650"/>
    <s v="Расходы на организацию посещения обучающимися первой и второй образовательной ступени (1-4 и 5-8 классов) общеобразовательных учреждений Санкт-Петербурга цикла музейных образовательных программ"/>
    <s v="612"/>
    <s v="Субсидии бюджетным учреждениям на иные цели"/>
    <s v="Администрация Кировского района Санкт-Петербурга"/>
    <s v="7805059546"/>
    <n v="500"/>
    <n v="292.2"/>
    <n v="7.2"/>
    <n v="207.8"/>
    <n v="58"/>
  </r>
  <r>
    <s v="9"/>
    <x v="11"/>
    <s v="  0801 085007008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80"/>
    <s v="Субсидии бюджетным учреждениям - библиотек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232056"/>
    <n v="182715.16"/>
    <n v="17050.979200000002"/>
    <n v="49340.84"/>
    <n v="79"/>
  </r>
  <r>
    <s v="9"/>
    <x v="11"/>
    <s v="  0801 085007009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090"/>
    <s v="Субсидии бюджетным учреждениям - музеям, выставочному зал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86322.7"/>
    <n v="60698.8773"/>
    <n v="8574.7582000000002"/>
    <n v="25623.822700000001"/>
    <n v="70"/>
  </r>
  <r>
    <s v="9"/>
    <x v="11"/>
    <s v="  0801 08500701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170"/>
    <s v="Субсидии бюджетным учреждениям - театрам, концертным организация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92328.9"/>
    <n v="125764.8639"/>
    <n v="10743.669400000001"/>
    <n v="66564.036099999998"/>
    <n v="65"/>
  </r>
  <r>
    <s v="9"/>
    <x v="11"/>
    <s v="  0801 0850070270 611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270"/>
    <s v="Субсидии бюджетным учреждениям - учреждениям культурно-досугового типа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73563"/>
    <n v="53403.3992"/>
    <n v="7220.5002000000004"/>
    <n v="20159.6008"/>
    <n v="73"/>
  </r>
  <r>
    <s v="9"/>
    <x v="11"/>
    <s v="  0801 0850070470 244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244"/>
    <s v="Прочая закупка товаров, работ и услуг"/>
    <s v="Администрация Кировского района Санкт-Петербурга"/>
    <s v="7805059546"/>
    <n v="7870.9"/>
    <n v="3276.7202000000002"/>
    <n v="106.72020000000001"/>
    <n v="4594.1797999999999"/>
    <n v="42"/>
  </r>
  <r>
    <s v="9"/>
    <x v="11"/>
    <s v="  0801 085007047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470"/>
    <s v="Расходы на организацию и проведение мероприятий в сфере культуры"/>
    <s v="612"/>
    <s v="Субсидии бюджетным учреждениям на иные цели"/>
    <s v="Администрация Кировского района Санкт-Петербурга"/>
    <s v="7805059546"/>
    <n v="3639.8"/>
    <n v="3413.2981"/>
    <n v="1352.3680999999999"/>
    <n v="226.50190000000001"/>
    <n v="94"/>
  </r>
  <r>
    <s v="9"/>
    <x v="11"/>
    <s v="  0801 085007096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0960"/>
    <s v="Расходы на приобретение оборудования и инвентаря для вводимых после капитального ремонта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40101.9"/>
    <n v="36521.501199999999"/>
    <n v="200.38329999999999"/>
    <n v="3580.3987999999999"/>
    <n v="91"/>
  </r>
  <r>
    <s v="9"/>
    <x v="11"/>
    <s v="  0801 085007161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10"/>
    <s v="Расходы на содержание и ремонт памятных объектов в честь защитников Ленинграда в годы Великой Отечественной войны"/>
    <s v="612"/>
    <s v="Субсидии бюджетным учреждениям на иные цели"/>
    <s v="Администрация Кировского района Санкт-Петербурга"/>
    <s v="7805059546"/>
    <n v="712.6"/>
    <n v="712.53840000000002"/>
    <n v="0"/>
    <n v="6.1600000000000002E-2"/>
    <n v="100"/>
  </r>
  <r>
    <s v="9"/>
    <x v="11"/>
    <s v="  0801 0850071640 612"/>
    <s v="0801"/>
    <s v="Культура, кинематография"/>
    <s v="01"/>
    <s v="Культура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640"/>
    <s v="Расходы на мероприятия по модернизации общедоступных библиотек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30745.7"/>
    <n v="21451.273399999998"/>
    <n v="0"/>
    <n v="9294.4266000000007"/>
    <n v="70"/>
  </r>
  <r>
    <s v="9"/>
    <x v="11"/>
    <s v="  0804 0850071320 612"/>
    <s v="0804"/>
    <s v="Культура, кинематография"/>
    <s v="04"/>
    <s v="Другие вопросы в области культуры, кинематографии"/>
    <s v="08"/>
    <s v="Развитие сферы культуры в Санкт-Петербурге"/>
    <s v="085"/>
    <s v="5"/>
    <s v="Процессная часть перечня мероприятий государственной программы"/>
    <s v="0850071320"/>
    <s v="Расходы на капитальный ремонт учреждений культуры"/>
    <s v="612"/>
    <s v="Субсидии бюджетным учреждениям на иные цели"/>
    <s v="Администрация Кировского района Санкт-Петербурга"/>
    <s v="7805059546"/>
    <n v="12448.4"/>
    <n v="3061.3195999999998"/>
    <n v="0"/>
    <n v="9387.0804000000007"/>
    <n v="25"/>
  </r>
  <r>
    <s v="9"/>
    <x v="11"/>
    <s v="  0902 0150010080 611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607335"/>
    <n v="379666.51559999998"/>
    <n v="28639.625899999999"/>
    <n v="227668.48439999999"/>
    <n v="63"/>
  </r>
  <r>
    <s v="9"/>
    <x v="11"/>
    <s v="  0902 0150010080 614"/>
    <s v="0902"/>
    <s v="Здравоохранение"/>
    <s v="02"/>
    <s v="Амбулаторная помощь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80"/>
    <s v="Субсидии бюджетным учреждениям - поликлиникам, амбулаториям, диагностическим центр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54.6000000000004"/>
    <n v="2871.4665"/>
    <n v="275.5016"/>
    <n v="2283.1334999999999"/>
    <n v="56"/>
  </r>
  <r>
    <s v="9"/>
    <x v="11"/>
    <s v="  0909 011N953652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N953652"/>
    <s v="Расходы на приобретение оборудования в рамках реализации регионального проекта «Модернизация первичного звена здравоохранения»"/>
    <s v="612"/>
    <s v="Субсидии бюджетным учреждениям на иные цели"/>
    <s v="Администрация Кировского района Санкт-Петербурга"/>
    <s v="7805059546"/>
    <n v="79182.8"/>
    <n v="68566.592399999994"/>
    <n v="0"/>
    <n v="10616.2076"/>
    <n v="87"/>
  </r>
  <r>
    <s v="9"/>
    <x v="11"/>
    <s v="  0909 011P3546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1"/>
    <s v="1"/>
    <s v="Региональные проекты, входящие в состав национальных проектов"/>
    <s v="011P354680"/>
    <s v="Расходы на 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"/>
    <s v="612"/>
    <s v="Субсидии бюджетным учреждениям на иные цели"/>
    <s v="Администрация Кировского района Санкт-Петербурга"/>
    <s v="7805059546"/>
    <n v="50.1"/>
    <n v="50.1"/>
    <n v="0"/>
    <n v="0"/>
    <n v="100"/>
  </r>
  <r>
    <s v="9"/>
    <x v="11"/>
    <s v="  0909 01500100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020"/>
    <s v="Расходы на профилактику инфекционных заболеваний, включая иммунопрофилактику"/>
    <s v="612"/>
    <s v="Субсидии бюджетным учреждениям на иные цели"/>
    <s v="Администрация Кировского района Санкт-Петербурга"/>
    <s v="7805059546"/>
    <n v="35585.699999999997"/>
    <n v="19835.680899999999"/>
    <n v="2315.1215999999999"/>
    <n v="15750.0191"/>
    <n v="56"/>
  </r>
  <r>
    <s v="9"/>
    <x v="11"/>
    <s v="  0909 0150010100 244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100"/>
    <s v="Расходы на проведение акарицидных и ларвицидных обработок территорий и водоемов Санкт-Петербурга"/>
    <s v="244"/>
    <s v="Прочая закупка товаров, работ и услуг"/>
    <s v="Администрация Кировского района Санкт-Петербурга"/>
    <s v="7805059546"/>
    <n v="46.1"/>
    <n v="36.159500000000001"/>
    <n v="36.159500000000001"/>
    <n v="9.9405000000000001"/>
    <n v="78"/>
  </r>
  <r>
    <s v="9"/>
    <x v="11"/>
    <s v="  0909 015001052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20"/>
    <s v="Расходы на капитальный ремонт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09042.9"/>
    <n v="0"/>
    <n v="0"/>
    <n v="109042.9"/>
    <n v="0"/>
  </r>
  <r>
    <s v="9"/>
    <x v="11"/>
    <s v="  0909 015001057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570"/>
    <s v="Расходы на приобретение оборудования дл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4237.2"/>
    <n v="13660"/>
    <n v="13660"/>
    <n v="577.20000000000005"/>
    <n v="96"/>
  </r>
  <r>
    <s v="9"/>
    <x v="11"/>
    <s v="  0909 015001065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650"/>
    <s v="Расходы на приобретение немонтируемого оборудования и инвентаря для оснащения вводных объектов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100"/>
    <n v="0"/>
    <n v="0"/>
    <n v="100"/>
    <n v="0"/>
  </r>
  <r>
    <s v="9"/>
    <x v="11"/>
    <s v="  0909 015001083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30"/>
    <s v="Расходы на капитальный ремонт и замену лифтового оборудования учреждений здравоохранения"/>
    <s v="612"/>
    <s v="Субсидии бюджетным учреждениям на иные цели"/>
    <s v="Администрация Кировского района Санкт-Петербурга"/>
    <s v="7805059546"/>
    <n v="8607.7000000000007"/>
    <n v="0"/>
    <n v="0"/>
    <n v="8607.7000000000007"/>
    <n v="0"/>
  </r>
  <r>
    <s v="9"/>
    <x v="11"/>
    <s v="  0909 015001088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0880"/>
    <s v="Субсидии государственным учреждениям здравоохранения на оказание экстренной медицинской помощи иностранным гражданам и гражданам не идентифицированным и не застрахованным в системе ОМС при заболеваниях, включенных в базовую программу ОМС"/>
    <s v="612"/>
    <s v="Субсидии бюджетным учреждениям на иные цели"/>
    <s v="Администрация Кировского района Санкт-Петербурга"/>
    <s v="7805059546"/>
    <n v="2903.1"/>
    <n v="1748.1786999999999"/>
    <n v="160.5"/>
    <n v="1154.9213"/>
    <n v="60"/>
  </r>
  <r>
    <s v="9"/>
    <x v="11"/>
    <s v="  0909 015001100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00"/>
    <s v="Расходы на оплату труда и начисления на выплаты по оплате труда отдельных категорий медицинских работников на основании постановления Правительства Санкт-Петербурга от 09.06.2023 № 559"/>
    <s v="612"/>
    <s v="Субсидии бюджетным учреждениям на иные цели"/>
    <s v="Администрация Кировского района Санкт-Петербурга"/>
    <s v="7805059546"/>
    <n v="43694.2"/>
    <n v="23593.185300000001"/>
    <n v="1679.1639"/>
    <n v="20101.0147"/>
    <n v="54"/>
  </r>
  <r>
    <s v="9"/>
    <x v="11"/>
    <s v="  0909 0150011010 612"/>
    <s v="0909"/>
    <s v="Здравоохранение"/>
    <s v="09"/>
    <s v="Другие вопросы в области здравоохранения"/>
    <s v="01"/>
    <s v="Развитие здравоохранения в Санкт-Петербурге"/>
    <s v="015"/>
    <s v="5"/>
    <s v="Процессная часть перечня мероприятий государственной программы"/>
    <s v="0150011010"/>
    <s v="Субсидии государственным учреждениям здравоохранения Санкт-Петербурга в целях поддержания высокого уровня оказания медицинской помощи и усиления кадрового потенциала в государственных учреждениях здравоохранения Санкт-Петербурга"/>
    <s v="612"/>
    <s v="Субсидии бюджетным учреждениям на иные цели"/>
    <s v="Администрация Кировского района Санкт-Петербурга"/>
    <s v="7805059546"/>
    <n v="194092.1"/>
    <n v="193028.57"/>
    <n v="54852.779499999997"/>
    <n v="1063.53"/>
    <n v="99"/>
  </r>
  <r>
    <s v="9"/>
    <x v="11"/>
    <s v="  1002 035004046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1890.3"/>
    <n v="137342.5018"/>
    <n v="11653.5023"/>
    <n v="44547.798199999997"/>
    <n v="76"/>
  </r>
  <r>
    <s v="9"/>
    <x v="11"/>
    <s v="  1002 035004046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60"/>
    <s v="Субсидии бюджетным учреждениям - детским приютам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8356.2"/>
    <n v="12842.345799999999"/>
    <n v="3346.4976999999999"/>
    <n v="5513.8541999999998"/>
    <n v="70"/>
  </r>
  <r>
    <s v="9"/>
    <x v="11"/>
    <s v="  1002 035004048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480"/>
    <s v="Субсидии бюджетным учреждениям социальной реабилитации инвалидов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109296.5"/>
    <n v="87499.803100000005"/>
    <n v="7575.9359999999997"/>
    <n v="21796.696899999999"/>
    <n v="80"/>
  </r>
  <r>
    <s v="9"/>
    <x v="11"/>
    <s v="  1002 0350040530 612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530"/>
    <s v="Расходы на капитальный ремонт учреждений социальной защиты"/>
    <s v="612"/>
    <s v="Субсидии бюджетным учреждениям на иные цели"/>
    <s v="Администрация Кировского района Санкт-Петербурга"/>
    <s v="7805059546"/>
    <n v="10386"/>
    <n v="0"/>
    <n v="0"/>
    <n v="10386"/>
    <n v="0"/>
  </r>
  <r>
    <s v="9"/>
    <x v="11"/>
    <s v="  1002 0350040630 611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2844.7"/>
    <n v="9809.2000000000007"/>
    <n v="753.77689999999996"/>
    <n v="3035.5"/>
    <n v="76"/>
  </r>
  <r>
    <s v="9"/>
    <x v="11"/>
    <s v="  1002 035004063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30"/>
    <s v="Субсидии бюджетным учреждениям - территориальным центрам и отделениям оказания социальной помощи на дому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443478.3"/>
    <n v="336803.04009999998"/>
    <n v="35837.9611"/>
    <n v="106675.2599"/>
    <n v="76"/>
  </r>
  <r>
    <s v="9"/>
    <x v="11"/>
    <s v="  1002 0350040640 614"/>
    <s v="1002"/>
    <s v="Социальная политика"/>
    <s v="02"/>
    <s v="Социальное обслужива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640"/>
    <s v="Субсидии бюджетным учреждениям социального обслуживания семьи и детей на финансовое обеспечение выполнения государственного задания"/>
    <s v="614"/>
    <s v="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"/>
    <s v="Администрация Кировского района Санкт-Петербурга"/>
    <s v="7805059546"/>
    <n v="51058.7"/>
    <n v="38039.8102"/>
    <n v="3137.3512999999998"/>
    <n v="13018.889800000001"/>
    <n v="75"/>
  </r>
  <r>
    <s v="9"/>
    <x v="11"/>
    <s v="  1003 0350040240 612"/>
    <s v="1003"/>
    <s v="Социальная политика"/>
    <s v="03"/>
    <s v="Социальное обеспечение населения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240"/>
    <s v="Расходы на реализацию дополнительных мер социальной поддержки работникам государственных учреждений"/>
    <s v="612"/>
    <s v="Субсидии бюджетным учреждениям на иные цели"/>
    <s v="Администрация Кировского района Санкт-Петербурга"/>
    <s v="7805059546"/>
    <n v="48948.800000000003"/>
    <n v="43366.531499999997"/>
    <n v="1461.0685000000001"/>
    <n v="5582.2685000000001"/>
    <n v="89"/>
  </r>
  <r>
    <s v="9"/>
    <x v="11"/>
    <s v="  1004 0350040990 611"/>
    <s v="1004"/>
    <s v="Социальная политика"/>
    <s v="04"/>
    <s v="Охрана семьи и детства"/>
    <s v="03"/>
    <s v="Социальная поддержка граждан в Санкт-Петербурге"/>
    <s v="035"/>
    <s v="5"/>
    <s v="Процессная часть перечня мероприятий государственной программы"/>
    <s v="0350040990"/>
    <s v="Расходы на выплату компенсации части родительской платы за содержание ребенка в государственных или муниципальных образовательных учреждениях, реализующих общеобразовательную программу дошкольного образов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359.3"/>
    <n v="16366.5478"/>
    <n v="141.46369999999999"/>
    <n v="15992.752200000001"/>
    <n v="51"/>
  </r>
  <r>
    <s v="9"/>
    <x v="11"/>
    <s v="  1101 041P545060 612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60"/>
    <s v="Расходы на проектирование, ремонт и оснащение оборудованием внутридворовых спортивных площадок для занятий физической культурой и спортом населения"/>
    <s v="612"/>
    <s v="Субсидии бюджетным учреждениям на иные цели"/>
    <s v="Администрация Кировского района Санкт-Петербурга"/>
    <s v="7805059546"/>
    <n v="9879.5"/>
    <n v="9208.0640999999996"/>
    <n v="0"/>
    <n v="671.43589999999995"/>
    <n v="93"/>
  </r>
  <r>
    <s v="9"/>
    <x v="11"/>
    <s v="  1101 0450045020 611"/>
    <s v="1101"/>
    <s v="Физическая культура и спорт"/>
    <s v="01"/>
    <s v="Физическая культура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20"/>
    <s v="Субсидии бюджетным учреждениям по физической культуре и спорту на финансовое обеспечение выполнения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183125.7"/>
    <n v="127048.4216"/>
    <n v="8941.9765000000007"/>
    <n v="56077.278400000003"/>
    <n v="69"/>
  </r>
  <r>
    <s v="9"/>
    <x v="11"/>
    <s v="  1102 041P545010 612"/>
    <s v="1102"/>
    <s v="Физическая культура и спорт"/>
    <s v="02"/>
    <s v="Массовый спорт"/>
    <s v="04"/>
    <s v="Развитие физической культуры и спорта в Санкт-Петербурге"/>
    <s v="041"/>
    <s v="1"/>
    <s v="Региональные проекты, входящие в состав национальных проектов"/>
    <s v="041P545010"/>
    <s v="Расходы на проведение мероприятий по физическому воспитанию населения"/>
    <s v="612"/>
    <s v="Субсидии бюджетным учреждениям на иные цели"/>
    <s v="Администрация Кировского района Санкт-Петербурга"/>
    <s v="7805059546"/>
    <n v="3545.6"/>
    <n v="1912.191"/>
    <n v="401.07119999999998"/>
    <n v="1633.4090000000001"/>
    <n v="54"/>
  </r>
  <r>
    <s v="9"/>
    <x v="11"/>
    <s v="  1103 0450045090 611"/>
    <s v="1103"/>
    <s v="Физическая культура и спорт"/>
    <s v="03"/>
    <s v="Спорт высших достижений"/>
    <s v="04"/>
    <s v="Развитие физической культуры и спорта в Санкт-Петербурге"/>
    <s v="045"/>
    <s v="5"/>
    <s v="Процессная часть перечня мероприятий государственной программы"/>
    <s v="0450045090"/>
    <s v="Субсидии бюджетным учреждениям – спортивным школам на выполнение государственного задания"/>
    <s v="611"/>
    <s v="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"/>
    <s v="Администрация Кировского района Санкт-Петербурга"/>
    <s v="7805059546"/>
    <n v="324843.3"/>
    <n v="255204.1519"/>
    <n v="35601.3773"/>
    <n v="69639.148100000006"/>
    <n v="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B96C4-74B4-4F27-A27B-BE15310CBA01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M3:N9" firstHeaderRow="1" firstDataRow="1" firstDataCol="1" rowPageCount="1" colPageCount="1"/>
  <pivotFields count="23">
    <pivotField showAll="0"/>
    <pivotField showAll="0"/>
    <pivotField showAll="0"/>
    <pivotField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Page" multipleItemSelectionAllowed="1" showAll="0">
      <items count="10">
        <item h="1" x="3"/>
        <item h="1" x="6"/>
        <item h="1" x="5"/>
        <item h="1" x="1"/>
        <item h="1" x="2"/>
        <item x="4"/>
        <item h="1" x="0"/>
        <item h="1" x="7"/>
        <item h="1" x="8"/>
        <item t="default"/>
      </items>
    </pivotField>
    <pivotField showAll="0"/>
    <pivotField axis="axisRow" showAll="0">
      <items count="24">
        <item x="15"/>
        <item x="6"/>
        <item x="2"/>
        <item x="10"/>
        <item x="8"/>
        <item x="7"/>
        <item x="16"/>
        <item x="14"/>
        <item x="3"/>
        <item x="12"/>
        <item x="1"/>
        <item x="5"/>
        <item x="13"/>
        <item x="21"/>
        <item x="11"/>
        <item x="9"/>
        <item x="19"/>
        <item x="4"/>
        <item x="18"/>
        <item x="17"/>
        <item x="22"/>
        <item x="20"/>
        <item x="0"/>
        <item t="default"/>
      </items>
    </pivotField>
    <pivotField showAll="0"/>
    <pivotField showAll="0"/>
    <pivotField showAll="0">
      <items count="15">
        <item x="11"/>
        <item x="10"/>
        <item x="7"/>
        <item x="6"/>
        <item x="13"/>
        <item x="8"/>
        <item x="12"/>
        <item x="1"/>
        <item x="9"/>
        <item x="4"/>
        <item x="5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164" showAll="0"/>
    <pivotField showAll="0"/>
  </pivotFields>
  <rowFields count="1">
    <field x="6"/>
  </rowFields>
  <rowItems count="6">
    <i>
      <x v="3"/>
    </i>
    <i>
      <x v="4"/>
    </i>
    <i>
      <x v="9"/>
    </i>
    <i>
      <x v="14"/>
    </i>
    <i>
      <x v="15"/>
    </i>
    <i t="grand">
      <x/>
    </i>
  </rowItems>
  <colItems count="1">
    <i/>
  </colItems>
  <pageFields count="1">
    <pageField fld="4" hier="-1"/>
  </pageFields>
  <dataFields count="1">
    <dataField name="Сумма по полю Уточненный план на год" fld="18" baseField="0" baseItem="0" numFmtId="164"/>
  </dataFields>
  <formats count="6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6" type="button" dataOnly="0" labelOnly="1" outline="0" axis="axisRow" fieldPosition="0"/>
    </format>
    <format dxfId="46">
      <pivotArea dataOnly="0" labelOnly="1" fieldPosition="0">
        <references count="1">
          <reference field="6" count="5">
            <x v="3"/>
            <x v="4"/>
            <x v="9"/>
            <x v="14"/>
            <x v="15"/>
          </reference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02F8B-477B-40B4-9992-E61AF1456CC7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K16" firstHeaderRow="1" firstDataRow="2" firstDataCol="1"/>
  <pivotFields count="23">
    <pivotField showAll="0"/>
    <pivotField showAll="0"/>
    <pivotField showAll="0"/>
    <pivotField showAll="0"/>
    <pivotField axis="axisCol" showAll="0">
      <items count="10">
        <item x="3"/>
        <item x="6"/>
        <item x="5"/>
        <item x="1"/>
        <item x="2"/>
        <item x="4"/>
        <item x="0"/>
        <item x="7"/>
        <item x="8"/>
        <item t="default"/>
      </items>
    </pivotField>
    <pivotField showAll="0"/>
    <pivotField showAll="0"/>
    <pivotField showAll="0"/>
    <pivotField axis="axisRow" showAll="0">
      <items count="12">
        <item x="5"/>
        <item x="0"/>
        <item x="4"/>
        <item x="1"/>
        <item x="9"/>
        <item x="6"/>
        <item x="8"/>
        <item x="10"/>
        <item x="3"/>
        <item x="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164" showAll="0"/>
    <pivotField showAll="0"/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Сумма по полю Уточненный план на год" fld="18" baseField="0" baseItem="0" numFmtId="164"/>
  </dataFields>
  <formats count="15">
    <format dxfId="64">
      <pivotArea dataOnly="0" labelOnly="1" fieldPosition="0">
        <references count="1">
          <reference field="4" count="1">
            <x v="0"/>
          </reference>
        </references>
      </pivotArea>
    </format>
    <format dxfId="63">
      <pivotArea dataOnly="0" outline="0" fieldPosition="0">
        <references count="1">
          <reference field="4" count="1">
            <x v="2"/>
          </reference>
        </references>
      </pivotArea>
    </format>
    <format dxfId="62">
      <pivotArea dataOnly="0" outline="0" fieldPosition="0">
        <references count="1">
          <reference field="4" count="1">
            <x v="3"/>
          </reference>
        </references>
      </pivotArea>
    </format>
    <format dxfId="61">
      <pivotArea dataOnly="0" outline="0" fieldPosition="0">
        <references count="1">
          <reference field="4" count="1">
            <x v="4"/>
          </reference>
        </references>
      </pivotArea>
    </format>
    <format dxfId="60">
      <pivotArea dataOnly="0" labelOnly="1" fieldPosition="0">
        <references count="1">
          <reference field="4" count="1">
            <x v="6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4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8" type="button" dataOnly="0" labelOnly="1" outline="0" axis="axisRow" fieldPosition="0"/>
    </format>
    <format dxfId="53">
      <pivotArea dataOnly="0" labelOnly="1" fieldPosition="0">
        <references count="1">
          <reference field="8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1">
          <reference field="4" count="0"/>
        </references>
      </pivotArea>
    </format>
    <format dxfId="5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F6B49-057F-4AAE-A084-AA9702FD4AAD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K16" firstHeaderRow="1" firstDataRow="2" firstDataCol="1"/>
  <pivotFields count="23">
    <pivotField showAll="0"/>
    <pivotField showAll="0"/>
    <pivotField showAll="0"/>
    <pivotField showAll="0"/>
    <pivotField axis="axisCol" showAll="0">
      <items count="10">
        <item x="3"/>
        <item x="6"/>
        <item x="5"/>
        <item x="1"/>
        <item x="2"/>
        <item x="4"/>
        <item x="0"/>
        <item x="7"/>
        <item x="8"/>
        <item t="default"/>
      </items>
    </pivotField>
    <pivotField showAll="0"/>
    <pivotField showAll="0"/>
    <pivotField showAll="0"/>
    <pivotField axis="axisRow" showAll="0">
      <items count="12">
        <item x="5"/>
        <item x="0"/>
        <item x="4"/>
        <item x="1"/>
        <item x="9"/>
        <item x="6"/>
        <item x="8"/>
        <item x="10"/>
        <item x="3"/>
        <item x="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showAll="0"/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Сумма по полю Исполнено с начала месяца" fld="20" baseField="0" baseItem="0" numFmtId="164"/>
  </dataFields>
  <formats count="15">
    <format dxfId="43">
      <pivotArea dataOnly="0" labelOnly="1" fieldPosition="0">
        <references count="1">
          <reference field="4" count="1">
            <x v="0"/>
          </reference>
        </references>
      </pivotArea>
    </format>
    <format dxfId="42">
      <pivotArea dataOnly="0" labelOnly="1" fieldPosition="0">
        <references count="1">
          <reference field="4" count="1">
            <x v="2"/>
          </reference>
        </references>
      </pivotArea>
    </format>
    <format dxfId="41">
      <pivotArea dataOnly="0" labelOnly="1" fieldPosition="0">
        <references count="1">
          <reference field="4" count="1">
            <x v="3"/>
          </reference>
        </references>
      </pivotArea>
    </format>
    <format dxfId="40">
      <pivotArea dataOnly="0" outline="0" fieldPosition="0">
        <references count="1">
          <reference field="4" count="1">
            <x v="4"/>
          </reference>
        </references>
      </pivotArea>
    </format>
    <format dxfId="39">
      <pivotArea dataOnly="0" labelOnly="1" fieldPosition="0">
        <references count="1">
          <reference field="4" count="1">
            <x v="4"/>
          </reference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4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8" type="button" dataOnly="0" labelOnly="1" outline="0" axis="axisRow" fieldPosition="0"/>
    </format>
    <format dxfId="32">
      <pivotArea dataOnly="0" labelOnly="1" fieldPosition="0">
        <references count="1">
          <reference field="8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4" count="0"/>
        </references>
      </pivotArea>
    </format>
    <format dxfId="2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6391C-ED12-47DF-B446-9BC38DE6B444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I2:L15" firstHeaderRow="0" firstDataRow="1" firstDataCol="1"/>
  <pivotFields count="23">
    <pivotField showAll="0"/>
    <pivotField axis="axisRow" showAll="0">
      <items count="13">
        <item x="0"/>
        <item x="4"/>
        <item x="5"/>
        <item x="6"/>
        <item x="7"/>
        <item x="8"/>
        <item x="9"/>
        <item x="10"/>
        <item x="11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dataField="1" numFmtId="4" showAll="0"/>
    <pivotField dataField="1" numFmtId="4" showAll="0"/>
    <pivotField numFmtId="4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Исполнено с начала месяца" fld="20" baseField="0" baseItem="0" numFmtId="4"/>
    <dataField name="Сумма по полю Уточненный план на год" fld="18" baseField="1" baseItem="1" numFmtId="4"/>
    <dataField name="Сумма по полю Исполнено с начала года" fld="19" baseField="0" baseItem="0" numFmtId="4"/>
  </dataFields>
  <formats count="7">
    <format dxfId="28">
      <pivotArea collapsedLevelsAreSubtotals="1" fieldPosition="0">
        <references count="1">
          <reference field="1" count="0"/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C3DC5-2CCB-4361-9FA9-0F1E4C87CFE4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12" firstHeaderRow="0" firstDataRow="1" firstDataCol="1"/>
  <pivotFields count="23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dataField="1" numFmtId="164" showAll="0"/>
    <pivotField dataField="1" numFmtId="164" showAll="0"/>
    <pivotField numFmtId="164"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Уточненный план на год" fld="18" baseField="0" baseItem="0" numFmtId="164"/>
    <dataField name="Сумма по полю Исполнено с начала месяца" fld="20" baseField="0" baseItem="0" numFmtId="164"/>
    <dataField name="Сумма по полю Исполнено с начала года" fld="19" baseField="0" baseItem="0" numFmtId="16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C77E9D-D3F3-4713-916C-705D876541FA}" name="Таблица3" displayName="Таблица3" ref="A14:F22" totalsRowShown="0" headerRowDxfId="21" dataDxfId="20">
  <tableColumns count="6">
    <tableColumn id="1" xr3:uid="{B91C7E99-949A-4FB8-BFEA-E10CE1AA0028}" name="месяц" dataDxfId="27"/>
    <tableColumn id="2" xr3:uid="{EC273119-1684-4CEF-94E1-3E379ED6A363}" name="уточненный план на год 2025" dataDxfId="26"/>
    <tableColumn id="3" xr3:uid="{B1DFED7E-3C33-4515-8B3A-2902068E8F10}" name="Исполнено с началя месяца 2025" dataDxfId="25"/>
    <tableColumn id="6" xr3:uid="{D25F113F-915B-4C87-9CD5-E5CCC3CB9354}" name="Исполнено с начала года 2025" dataDxfId="24"/>
    <tableColumn id="4" xr3:uid="{8984F731-4603-4C78-8570-2A16C765EB68}" name="Уровень исполнения 2025, %" dataDxfId="23">
      <calculatedColumnFormula>C15/$B$22*100</calculatedColumnFormula>
    </tableColumn>
    <tableColumn id="5" xr3:uid="{FF9C5ED6-1A95-4633-8201-A40AF75EEAF8}" name="накопленный уровень исполнения 2025, %" dataDxfId="22">
      <calculatedColumnFormula>F14+E15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B741E8-D738-4E8F-8E79-98C9AA9AC85F}" name="Таблица2" displayName="Таблица2" ref="I18:N30" totalsRowShown="0" headerRowDxfId="13" dataDxfId="12" dataCellStyle="Процентный">
  <tableColumns count="6">
    <tableColumn id="1" xr3:uid="{94DECBDD-6534-4180-9FC5-0F967E7733B2}" name="Названия строк" dataDxfId="19"/>
    <tableColumn id="2" xr3:uid="{95C070B8-2AFE-4DBB-90F2-B0EF1FB260BA}" name="Уточненный план на год 2024" dataDxfId="18" dataCellStyle="Процентный"/>
    <tableColumn id="3" xr3:uid="{F9E91484-C1D4-4100-A584-62F4D03E8054}" name="Исполнено с начала месяца 2024" dataDxfId="17" dataCellStyle="Процентный"/>
    <tableColumn id="6" xr3:uid="{40FF3980-1E34-4DF7-A499-8DB6616AEFF4}" name="Исполнено с начала года" dataDxfId="16" dataCellStyle="Процентный"/>
    <tableColumn id="4" xr3:uid="{A26FC1B8-50E3-46E5-978A-7BE895DDB5E9}" name="Уровень исполнения 2024, %" dataDxfId="15" dataCellStyle="Процентный">
      <calculatedColumnFormula>K19/J19*100</calculatedColumnFormula>
    </tableColumn>
    <tableColumn id="5" xr3:uid="{9AA898DD-F439-4760-B4EE-AA3992978A80}" name="Накопленный уровень исполнения 2024, %" dataDxfId="14" dataCellStyle="Процентный">
      <calculatedColumnFormula>Таблица2[[#This Row],[Исполнено с начала года]]/$J$30*100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D594-D366-47FB-8EE1-54A16601ADC5}">
  <dimension ref="A1:M10"/>
  <sheetViews>
    <sheetView showGridLines="0" zoomScale="95" zoomScaleNormal="95" workbookViewId="0">
      <selection activeCell="M8" sqref="M8"/>
    </sheetView>
  </sheetViews>
  <sheetFormatPr defaultRowHeight="14" x14ac:dyDescent="0.3"/>
  <cols>
    <col min="1" max="16384" width="8.7265625" style="3"/>
  </cols>
  <sheetData>
    <row r="1" spans="1:13" ht="20" x14ac:dyDescent="0.4">
      <c r="A1" s="39" t="s">
        <v>597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1"/>
    </row>
    <row r="2" spans="1:13" ht="20" x14ac:dyDescent="0.4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ht="18" x14ac:dyDescent="0.4">
      <c r="A3" s="42" t="s">
        <v>598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4"/>
    </row>
    <row r="4" spans="1:13" x14ac:dyDescent="0.3">
      <c r="A4" s="31"/>
      <c r="K4" s="6"/>
      <c r="M4" s="32"/>
    </row>
    <row r="5" spans="1:13" ht="241.5" customHeight="1" x14ac:dyDescent="0.3">
      <c r="A5" s="45" t="s">
        <v>599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</row>
    <row r="6" spans="1:13" ht="60.5" customHeight="1" thickBot="1" x14ac:dyDescent="0.35">
      <c r="A6" s="33"/>
      <c r="B6" s="34"/>
      <c r="C6" s="34"/>
      <c r="D6" s="34"/>
      <c r="E6" s="34"/>
      <c r="F6" s="34"/>
      <c r="G6" s="34"/>
      <c r="H6" s="34"/>
      <c r="I6" s="34"/>
      <c r="J6" s="48" t="s">
        <v>600</v>
      </c>
      <c r="K6" s="48"/>
      <c r="L6" s="48"/>
      <c r="M6" s="49"/>
    </row>
    <row r="7" spans="1:13" ht="34.5" customHeight="1" x14ac:dyDescent="0.3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1:13" ht="28.5" customHeight="1" x14ac:dyDescent="0.3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 spans="1:13" ht="45.5" customHeight="1" x14ac:dyDescent="0.3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  <row r="10" spans="1:13" x14ac:dyDescent="0.3">
      <c r="A10" s="27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</row>
  </sheetData>
  <mergeCells count="4">
    <mergeCell ref="A1:M1"/>
    <mergeCell ref="A3:M3"/>
    <mergeCell ref="A5:M5"/>
    <mergeCell ref="J6:M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567D-91C5-4A94-9CE6-46DA2199FC02}">
  <dimension ref="A1:W1438"/>
  <sheetViews>
    <sheetView topLeftCell="A1407" zoomScale="54" zoomScaleNormal="54" workbookViewId="0">
      <selection activeCell="U1438" sqref="U1438"/>
    </sheetView>
  </sheetViews>
  <sheetFormatPr defaultRowHeight="14.5" x14ac:dyDescent="0.35"/>
  <cols>
    <col min="19" max="20" width="11.7265625" bestFit="1" customWidth="1"/>
    <col min="21" max="21" width="12.36328125" bestFit="1" customWidth="1"/>
    <col min="22" max="22" width="11.7265625" bestFit="1" customWidth="1"/>
    <col min="23" max="23" width="8.81640625" bestFit="1" customWidth="1"/>
  </cols>
  <sheetData>
    <row r="1" spans="1:2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502</v>
      </c>
      <c r="I1" s="3" t="s">
        <v>503</v>
      </c>
      <c r="J1" s="3" t="s">
        <v>504</v>
      </c>
      <c r="K1" s="3" t="s">
        <v>505</v>
      </c>
      <c r="L1" s="3" t="s">
        <v>506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3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51</v>
      </c>
      <c r="M2" s="3" t="s">
        <v>35</v>
      </c>
      <c r="N2" s="3" t="s">
        <v>36</v>
      </c>
      <c r="O2" s="3" t="s">
        <v>37</v>
      </c>
      <c r="P2" s="3" t="s">
        <v>38</v>
      </c>
      <c r="Q2" s="3" t="s">
        <v>39</v>
      </c>
      <c r="R2" s="3" t="s">
        <v>40</v>
      </c>
      <c r="S2" s="55">
        <v>3772.6</v>
      </c>
      <c r="T2" s="55">
        <v>0</v>
      </c>
      <c r="U2" s="55">
        <v>0</v>
      </c>
      <c r="V2" s="55">
        <v>3772.6</v>
      </c>
      <c r="W2" s="3">
        <v>0</v>
      </c>
    </row>
    <row r="3" spans="1:23" x14ac:dyDescent="0.35">
      <c r="A3" s="3" t="s">
        <v>23</v>
      </c>
      <c r="B3" s="3" t="s">
        <v>24</v>
      </c>
      <c r="C3" s="3" t="s">
        <v>41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51</v>
      </c>
      <c r="M3" s="3" t="s">
        <v>35</v>
      </c>
      <c r="N3" s="3" t="s">
        <v>36</v>
      </c>
      <c r="O3" s="3" t="s">
        <v>42</v>
      </c>
      <c r="P3" s="3" t="s">
        <v>43</v>
      </c>
      <c r="Q3" s="3" t="s">
        <v>39</v>
      </c>
      <c r="R3" s="3" t="s">
        <v>40</v>
      </c>
      <c r="S3" s="55">
        <v>8.3000000000000007</v>
      </c>
      <c r="T3" s="55">
        <v>0</v>
      </c>
      <c r="U3" s="55">
        <v>0</v>
      </c>
      <c r="V3" s="55">
        <v>8.3000000000000007</v>
      </c>
      <c r="W3" s="3">
        <v>0</v>
      </c>
    </row>
    <row r="4" spans="1:23" x14ac:dyDescent="0.35">
      <c r="A4" s="3" t="s">
        <v>23</v>
      </c>
      <c r="B4" s="3" t="s">
        <v>24</v>
      </c>
      <c r="C4" s="3" t="s">
        <v>44</v>
      </c>
      <c r="D4" s="3" t="s">
        <v>45</v>
      </c>
      <c r="E4" s="3" t="s">
        <v>27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33</v>
      </c>
      <c r="L4" s="3" t="s">
        <v>51</v>
      </c>
      <c r="M4" s="3" t="s">
        <v>52</v>
      </c>
      <c r="N4" s="3" t="s">
        <v>53</v>
      </c>
      <c r="O4" s="3" t="s">
        <v>54</v>
      </c>
      <c r="P4" s="3" t="s">
        <v>55</v>
      </c>
      <c r="Q4" s="3" t="s">
        <v>39</v>
      </c>
      <c r="R4" s="3" t="s">
        <v>40</v>
      </c>
      <c r="S4" s="55">
        <v>64.400000000000006</v>
      </c>
      <c r="T4" s="55">
        <v>0</v>
      </c>
      <c r="U4" s="55">
        <v>0</v>
      </c>
      <c r="V4" s="55">
        <v>64.400000000000006</v>
      </c>
      <c r="W4" s="3">
        <v>0</v>
      </c>
    </row>
    <row r="5" spans="1:23" x14ac:dyDescent="0.35">
      <c r="A5" s="3" t="s">
        <v>23</v>
      </c>
      <c r="B5" s="3" t="s">
        <v>24</v>
      </c>
      <c r="C5" s="3" t="s">
        <v>59</v>
      </c>
      <c r="D5" s="3" t="s">
        <v>45</v>
      </c>
      <c r="E5" s="3" t="s">
        <v>27</v>
      </c>
      <c r="F5" s="3" t="s">
        <v>46</v>
      </c>
      <c r="G5" s="3" t="s">
        <v>47</v>
      </c>
      <c r="H5" s="3" t="s">
        <v>60</v>
      </c>
      <c r="I5" s="3" t="s">
        <v>61</v>
      </c>
      <c r="J5" s="3" t="s">
        <v>62</v>
      </c>
      <c r="K5" s="3" t="s">
        <v>33</v>
      </c>
      <c r="L5" s="3" t="s">
        <v>51</v>
      </c>
      <c r="M5" s="3" t="s">
        <v>63</v>
      </c>
      <c r="N5" s="3" t="s">
        <v>64</v>
      </c>
      <c r="O5" s="3" t="s">
        <v>37</v>
      </c>
      <c r="P5" s="3" t="s">
        <v>38</v>
      </c>
      <c r="Q5" s="3" t="s">
        <v>39</v>
      </c>
      <c r="R5" s="3" t="s">
        <v>40</v>
      </c>
      <c r="S5" s="55">
        <v>208.2</v>
      </c>
      <c r="T5" s="55">
        <v>0</v>
      </c>
      <c r="U5" s="55">
        <v>0</v>
      </c>
      <c r="V5" s="55">
        <v>208.2</v>
      </c>
      <c r="W5" s="3">
        <v>0</v>
      </c>
    </row>
    <row r="6" spans="1:23" x14ac:dyDescent="0.35">
      <c r="A6" s="3" t="s">
        <v>23</v>
      </c>
      <c r="B6" s="3" t="s">
        <v>24</v>
      </c>
      <c r="C6" s="3" t="s">
        <v>65</v>
      </c>
      <c r="D6" s="3" t="s">
        <v>45</v>
      </c>
      <c r="E6" s="3" t="s">
        <v>27</v>
      </c>
      <c r="F6" s="3" t="s">
        <v>46</v>
      </c>
      <c r="G6" s="3" t="s">
        <v>47</v>
      </c>
      <c r="H6" s="3" t="s">
        <v>66</v>
      </c>
      <c r="I6" s="3" t="s">
        <v>67</v>
      </c>
      <c r="J6" s="3" t="s">
        <v>68</v>
      </c>
      <c r="K6" s="3" t="s">
        <v>33</v>
      </c>
      <c r="L6" s="3" t="s">
        <v>51</v>
      </c>
      <c r="M6" s="3" t="s">
        <v>69</v>
      </c>
      <c r="N6" s="3" t="s">
        <v>70</v>
      </c>
      <c r="O6" s="3" t="s">
        <v>37</v>
      </c>
      <c r="P6" s="3" t="s">
        <v>38</v>
      </c>
      <c r="Q6" s="3" t="s">
        <v>39</v>
      </c>
      <c r="R6" s="3" t="s">
        <v>40</v>
      </c>
      <c r="S6" s="55">
        <v>567.9</v>
      </c>
      <c r="T6" s="55">
        <v>0</v>
      </c>
      <c r="U6" s="55">
        <v>0</v>
      </c>
      <c r="V6" s="55">
        <v>567.9</v>
      </c>
      <c r="W6" s="3">
        <v>0</v>
      </c>
    </row>
    <row r="7" spans="1:23" x14ac:dyDescent="0.35">
      <c r="A7" s="3" t="s">
        <v>23</v>
      </c>
      <c r="B7" s="3" t="s">
        <v>24</v>
      </c>
      <c r="C7" s="3" t="s">
        <v>71</v>
      </c>
      <c r="D7" s="3" t="s">
        <v>45</v>
      </c>
      <c r="E7" s="3" t="s">
        <v>27</v>
      </c>
      <c r="F7" s="3" t="s">
        <v>46</v>
      </c>
      <c r="G7" s="3" t="s">
        <v>47</v>
      </c>
      <c r="H7" s="3" t="s">
        <v>30</v>
      </c>
      <c r="I7" s="3" t="s">
        <v>31</v>
      </c>
      <c r="J7" s="3" t="s">
        <v>32</v>
      </c>
      <c r="K7" s="3" t="s">
        <v>33</v>
      </c>
      <c r="L7" s="3" t="s">
        <v>51</v>
      </c>
      <c r="M7" s="3" t="s">
        <v>72</v>
      </c>
      <c r="N7" s="3" t="s">
        <v>73</v>
      </c>
      <c r="O7" s="3" t="s">
        <v>74</v>
      </c>
      <c r="P7" s="3" t="s">
        <v>75</v>
      </c>
      <c r="Q7" s="3" t="s">
        <v>39</v>
      </c>
      <c r="R7" s="3" t="s">
        <v>40</v>
      </c>
      <c r="S7" s="55">
        <v>246128.1</v>
      </c>
      <c r="T7" s="55">
        <v>22136.058400000002</v>
      </c>
      <c r="U7" s="55">
        <v>22136.058400000002</v>
      </c>
      <c r="V7" s="55">
        <v>223992.0416</v>
      </c>
      <c r="W7" s="3">
        <v>9</v>
      </c>
    </row>
    <row r="8" spans="1:23" x14ac:dyDescent="0.35">
      <c r="A8" s="3" t="s">
        <v>23</v>
      </c>
      <c r="B8" s="3" t="s">
        <v>24</v>
      </c>
      <c r="C8" s="3" t="s">
        <v>76</v>
      </c>
      <c r="D8" s="3" t="s">
        <v>45</v>
      </c>
      <c r="E8" s="3" t="s">
        <v>27</v>
      </c>
      <c r="F8" s="3" t="s">
        <v>46</v>
      </c>
      <c r="G8" s="3" t="s">
        <v>47</v>
      </c>
      <c r="H8" s="3" t="s">
        <v>30</v>
      </c>
      <c r="I8" s="3" t="s">
        <v>31</v>
      </c>
      <c r="J8" s="3" t="s">
        <v>32</v>
      </c>
      <c r="K8" s="3" t="s">
        <v>33</v>
      </c>
      <c r="L8" s="3" t="s">
        <v>51</v>
      </c>
      <c r="M8" s="3" t="s">
        <v>72</v>
      </c>
      <c r="N8" s="3" t="s">
        <v>73</v>
      </c>
      <c r="O8" s="3" t="s">
        <v>77</v>
      </c>
      <c r="P8" s="3" t="s">
        <v>78</v>
      </c>
      <c r="Q8" s="3" t="s">
        <v>39</v>
      </c>
      <c r="R8" s="3" t="s">
        <v>40</v>
      </c>
      <c r="S8" s="55">
        <v>140.5</v>
      </c>
      <c r="T8" s="55">
        <v>20.663</v>
      </c>
      <c r="U8" s="55">
        <v>20.663</v>
      </c>
      <c r="V8" s="55">
        <v>119.837</v>
      </c>
      <c r="W8" s="3">
        <v>15</v>
      </c>
    </row>
    <row r="9" spans="1:23" x14ac:dyDescent="0.35">
      <c r="A9" s="3" t="s">
        <v>23</v>
      </c>
      <c r="B9" s="3" t="s">
        <v>24</v>
      </c>
      <c r="C9" s="3" t="s">
        <v>79</v>
      </c>
      <c r="D9" s="3" t="s">
        <v>45</v>
      </c>
      <c r="E9" s="3" t="s">
        <v>27</v>
      </c>
      <c r="F9" s="3" t="s">
        <v>46</v>
      </c>
      <c r="G9" s="3" t="s">
        <v>47</v>
      </c>
      <c r="H9" s="3" t="s">
        <v>30</v>
      </c>
      <c r="I9" s="3" t="s">
        <v>31</v>
      </c>
      <c r="J9" s="3" t="s">
        <v>32</v>
      </c>
      <c r="K9" s="3" t="s">
        <v>33</v>
      </c>
      <c r="L9" s="3" t="s">
        <v>51</v>
      </c>
      <c r="M9" s="3" t="s">
        <v>72</v>
      </c>
      <c r="N9" s="3" t="s">
        <v>73</v>
      </c>
      <c r="O9" s="3" t="s">
        <v>80</v>
      </c>
      <c r="P9" s="3" t="s">
        <v>81</v>
      </c>
      <c r="Q9" s="3" t="s">
        <v>39</v>
      </c>
      <c r="R9" s="3" t="s">
        <v>40</v>
      </c>
      <c r="S9" s="55">
        <v>73941.2</v>
      </c>
      <c r="T9" s="55">
        <v>76.575400000000002</v>
      </c>
      <c r="U9" s="55">
        <v>76.575400000000002</v>
      </c>
      <c r="V9" s="55">
        <v>73864.624599999996</v>
      </c>
      <c r="W9" s="3">
        <v>0</v>
      </c>
    </row>
    <row r="10" spans="1:23" x14ac:dyDescent="0.35">
      <c r="A10" s="3" t="s">
        <v>23</v>
      </c>
      <c r="B10" s="3" t="s">
        <v>24</v>
      </c>
      <c r="C10" s="3" t="s">
        <v>82</v>
      </c>
      <c r="D10" s="3" t="s">
        <v>45</v>
      </c>
      <c r="E10" s="3" t="s">
        <v>27</v>
      </c>
      <c r="F10" s="3" t="s">
        <v>46</v>
      </c>
      <c r="G10" s="3" t="s">
        <v>47</v>
      </c>
      <c r="H10" s="3" t="s">
        <v>30</v>
      </c>
      <c r="I10" s="3" t="s">
        <v>31</v>
      </c>
      <c r="J10" s="3" t="s">
        <v>32</v>
      </c>
      <c r="K10" s="3" t="s">
        <v>33</v>
      </c>
      <c r="L10" s="3" t="s">
        <v>51</v>
      </c>
      <c r="M10" s="3" t="s">
        <v>72</v>
      </c>
      <c r="N10" s="3" t="s">
        <v>73</v>
      </c>
      <c r="O10" s="3" t="s">
        <v>83</v>
      </c>
      <c r="P10" s="3" t="s">
        <v>84</v>
      </c>
      <c r="Q10" s="3" t="s">
        <v>39</v>
      </c>
      <c r="R10" s="3" t="s">
        <v>40</v>
      </c>
      <c r="S10" s="55">
        <v>300</v>
      </c>
      <c r="T10" s="55">
        <v>0</v>
      </c>
      <c r="U10" s="55">
        <v>0</v>
      </c>
      <c r="V10" s="55">
        <v>300</v>
      </c>
      <c r="W10" s="3">
        <v>0</v>
      </c>
    </row>
    <row r="11" spans="1:23" x14ac:dyDescent="0.35">
      <c r="A11" s="3" t="s">
        <v>23</v>
      </c>
      <c r="B11" s="3" t="s">
        <v>24</v>
      </c>
      <c r="C11" s="3" t="s">
        <v>85</v>
      </c>
      <c r="D11" s="3" t="s">
        <v>45</v>
      </c>
      <c r="E11" s="3" t="s">
        <v>27</v>
      </c>
      <c r="F11" s="3" t="s">
        <v>46</v>
      </c>
      <c r="G11" s="3" t="s">
        <v>47</v>
      </c>
      <c r="H11" s="3" t="s">
        <v>30</v>
      </c>
      <c r="I11" s="3" t="s">
        <v>31</v>
      </c>
      <c r="J11" s="3" t="s">
        <v>32</v>
      </c>
      <c r="K11" s="3" t="s">
        <v>33</v>
      </c>
      <c r="L11" s="3" t="s">
        <v>51</v>
      </c>
      <c r="M11" s="3" t="s">
        <v>72</v>
      </c>
      <c r="N11" s="3" t="s">
        <v>73</v>
      </c>
      <c r="O11" s="3" t="s">
        <v>86</v>
      </c>
      <c r="P11" s="3" t="s">
        <v>87</v>
      </c>
      <c r="Q11" s="3" t="s">
        <v>39</v>
      </c>
      <c r="R11" s="3" t="s">
        <v>40</v>
      </c>
      <c r="S11" s="55">
        <v>18097.3</v>
      </c>
      <c r="T11" s="55">
        <v>0</v>
      </c>
      <c r="U11" s="55">
        <v>0</v>
      </c>
      <c r="V11" s="55">
        <v>18097.3</v>
      </c>
      <c r="W11" s="3">
        <v>0</v>
      </c>
    </row>
    <row r="12" spans="1:23" x14ac:dyDescent="0.35">
      <c r="A12" s="3" t="s">
        <v>23</v>
      </c>
      <c r="B12" s="3" t="s">
        <v>24</v>
      </c>
      <c r="C12" s="3" t="s">
        <v>88</v>
      </c>
      <c r="D12" s="3" t="s">
        <v>45</v>
      </c>
      <c r="E12" s="3" t="s">
        <v>27</v>
      </c>
      <c r="F12" s="3" t="s">
        <v>46</v>
      </c>
      <c r="G12" s="3" t="s">
        <v>47</v>
      </c>
      <c r="H12" s="3" t="s">
        <v>30</v>
      </c>
      <c r="I12" s="3" t="s">
        <v>31</v>
      </c>
      <c r="J12" s="3" t="s">
        <v>32</v>
      </c>
      <c r="K12" s="3" t="s">
        <v>33</v>
      </c>
      <c r="L12" s="3" t="s">
        <v>51</v>
      </c>
      <c r="M12" s="3" t="s">
        <v>72</v>
      </c>
      <c r="N12" s="3" t="s">
        <v>73</v>
      </c>
      <c r="O12" s="3" t="s">
        <v>37</v>
      </c>
      <c r="P12" s="3" t="s">
        <v>38</v>
      </c>
      <c r="Q12" s="3" t="s">
        <v>39</v>
      </c>
      <c r="R12" s="3" t="s">
        <v>40</v>
      </c>
      <c r="S12" s="55">
        <v>93368.1</v>
      </c>
      <c r="T12" s="55">
        <v>404.19069999999999</v>
      </c>
      <c r="U12" s="55">
        <v>404.19069999999999</v>
      </c>
      <c r="V12" s="55">
        <v>92963.909299999999</v>
      </c>
      <c r="W12" s="3">
        <v>0</v>
      </c>
    </row>
    <row r="13" spans="1:23" x14ac:dyDescent="0.35">
      <c r="A13" s="3" t="s">
        <v>23</v>
      </c>
      <c r="B13" s="3" t="s">
        <v>24</v>
      </c>
      <c r="C13" s="3" t="s">
        <v>89</v>
      </c>
      <c r="D13" s="3" t="s">
        <v>45</v>
      </c>
      <c r="E13" s="3" t="s">
        <v>27</v>
      </c>
      <c r="F13" s="3" t="s">
        <v>46</v>
      </c>
      <c r="G13" s="3" t="s">
        <v>47</v>
      </c>
      <c r="H13" s="3" t="s">
        <v>30</v>
      </c>
      <c r="I13" s="3" t="s">
        <v>31</v>
      </c>
      <c r="J13" s="3" t="s">
        <v>32</v>
      </c>
      <c r="K13" s="3" t="s">
        <v>33</v>
      </c>
      <c r="L13" s="3" t="s">
        <v>51</v>
      </c>
      <c r="M13" s="3" t="s">
        <v>72</v>
      </c>
      <c r="N13" s="3" t="s">
        <v>73</v>
      </c>
      <c r="O13" s="3" t="s">
        <v>42</v>
      </c>
      <c r="P13" s="3" t="s">
        <v>43</v>
      </c>
      <c r="Q13" s="3" t="s">
        <v>39</v>
      </c>
      <c r="R13" s="3" t="s">
        <v>40</v>
      </c>
      <c r="S13" s="55">
        <v>16160.9</v>
      </c>
      <c r="T13" s="55">
        <v>1881.8282999999999</v>
      </c>
      <c r="U13" s="55">
        <v>1881.8282999999999</v>
      </c>
      <c r="V13" s="55">
        <v>14279.0717</v>
      </c>
      <c r="W13" s="3">
        <v>12</v>
      </c>
    </row>
    <row r="14" spans="1:23" x14ac:dyDescent="0.35">
      <c r="A14" s="3" t="s">
        <v>23</v>
      </c>
      <c r="B14" s="3" t="s">
        <v>24</v>
      </c>
      <c r="C14" s="3" t="s">
        <v>93</v>
      </c>
      <c r="D14" s="3" t="s">
        <v>45</v>
      </c>
      <c r="E14" s="3" t="s">
        <v>27</v>
      </c>
      <c r="F14" s="3" t="s">
        <v>46</v>
      </c>
      <c r="G14" s="3" t="s">
        <v>47</v>
      </c>
      <c r="H14" s="3" t="s">
        <v>30</v>
      </c>
      <c r="I14" s="3" t="s">
        <v>31</v>
      </c>
      <c r="J14" s="3" t="s">
        <v>32</v>
      </c>
      <c r="K14" s="3" t="s">
        <v>33</v>
      </c>
      <c r="L14" s="3" t="s">
        <v>51</v>
      </c>
      <c r="M14" s="3" t="s">
        <v>94</v>
      </c>
      <c r="N14" s="3" t="s">
        <v>95</v>
      </c>
      <c r="O14" s="3" t="s">
        <v>96</v>
      </c>
      <c r="P14" s="3" t="s">
        <v>97</v>
      </c>
      <c r="Q14" s="3" t="s">
        <v>39</v>
      </c>
      <c r="R14" s="3" t="s">
        <v>40</v>
      </c>
      <c r="S14" s="55">
        <v>181743.4</v>
      </c>
      <c r="T14" s="55">
        <v>10214.7201</v>
      </c>
      <c r="U14" s="55">
        <v>10214.7201</v>
      </c>
      <c r="V14" s="55">
        <v>171528.67989999999</v>
      </c>
      <c r="W14" s="3">
        <v>6</v>
      </c>
    </row>
    <row r="15" spans="1:23" x14ac:dyDescent="0.35">
      <c r="A15" s="3" t="s">
        <v>23</v>
      </c>
      <c r="B15" s="3" t="s">
        <v>24</v>
      </c>
      <c r="C15" s="3" t="s">
        <v>98</v>
      </c>
      <c r="D15" s="3" t="s">
        <v>45</v>
      </c>
      <c r="E15" s="3" t="s">
        <v>27</v>
      </c>
      <c r="F15" s="3" t="s">
        <v>46</v>
      </c>
      <c r="G15" s="3" t="s">
        <v>47</v>
      </c>
      <c r="H15" s="3" t="s">
        <v>30</v>
      </c>
      <c r="I15" s="3" t="s">
        <v>31</v>
      </c>
      <c r="J15" s="3" t="s">
        <v>32</v>
      </c>
      <c r="K15" s="3" t="s">
        <v>33</v>
      </c>
      <c r="L15" s="3" t="s">
        <v>51</v>
      </c>
      <c r="M15" s="3" t="s">
        <v>94</v>
      </c>
      <c r="N15" s="3" t="s">
        <v>95</v>
      </c>
      <c r="O15" s="3" t="s">
        <v>99</v>
      </c>
      <c r="P15" s="3" t="s">
        <v>100</v>
      </c>
      <c r="Q15" s="3" t="s">
        <v>39</v>
      </c>
      <c r="R15" s="3" t="s">
        <v>40</v>
      </c>
      <c r="S15" s="55">
        <v>54700.4</v>
      </c>
      <c r="T15" s="55">
        <v>2151.9915999999998</v>
      </c>
      <c r="U15" s="55">
        <v>2151.9915999999998</v>
      </c>
      <c r="V15" s="55">
        <v>52548.4084</v>
      </c>
      <c r="W15" s="3">
        <v>4</v>
      </c>
    </row>
    <row r="16" spans="1:23" x14ac:dyDescent="0.35">
      <c r="A16" s="3" t="s">
        <v>23</v>
      </c>
      <c r="B16" s="3" t="s">
        <v>24</v>
      </c>
      <c r="C16" s="3" t="s">
        <v>101</v>
      </c>
      <c r="D16" s="3" t="s">
        <v>45</v>
      </c>
      <c r="E16" s="3" t="s">
        <v>27</v>
      </c>
      <c r="F16" s="3" t="s">
        <v>46</v>
      </c>
      <c r="G16" s="3" t="s">
        <v>47</v>
      </c>
      <c r="H16" s="3" t="s">
        <v>30</v>
      </c>
      <c r="I16" s="3" t="s">
        <v>31</v>
      </c>
      <c r="J16" s="3" t="s">
        <v>32</v>
      </c>
      <c r="K16" s="3" t="s">
        <v>33</v>
      </c>
      <c r="L16" s="3" t="s">
        <v>51</v>
      </c>
      <c r="M16" s="3" t="s">
        <v>94</v>
      </c>
      <c r="N16" s="3" t="s">
        <v>95</v>
      </c>
      <c r="O16" s="3" t="s">
        <v>37</v>
      </c>
      <c r="P16" s="3" t="s">
        <v>38</v>
      </c>
      <c r="Q16" s="3" t="s">
        <v>39</v>
      </c>
      <c r="R16" s="3" t="s">
        <v>40</v>
      </c>
      <c r="S16" s="55">
        <v>2625.5</v>
      </c>
      <c r="T16" s="55">
        <v>1.1308</v>
      </c>
      <c r="U16" s="55">
        <v>1.1308</v>
      </c>
      <c r="V16" s="55">
        <v>2624.3692000000001</v>
      </c>
      <c r="W16" s="3">
        <v>0</v>
      </c>
    </row>
    <row r="17" spans="1:23" x14ac:dyDescent="0.35">
      <c r="A17" s="3" t="s">
        <v>23</v>
      </c>
      <c r="B17" s="3" t="s">
        <v>24</v>
      </c>
      <c r="C17" s="3" t="s">
        <v>102</v>
      </c>
      <c r="D17" s="3" t="s">
        <v>45</v>
      </c>
      <c r="E17" s="3" t="s">
        <v>27</v>
      </c>
      <c r="F17" s="3" t="s">
        <v>46</v>
      </c>
      <c r="G17" s="3" t="s">
        <v>47</v>
      </c>
      <c r="H17" s="3" t="s">
        <v>30</v>
      </c>
      <c r="I17" s="3" t="s">
        <v>31</v>
      </c>
      <c r="J17" s="3" t="s">
        <v>32</v>
      </c>
      <c r="K17" s="3" t="s">
        <v>33</v>
      </c>
      <c r="L17" s="3" t="s">
        <v>51</v>
      </c>
      <c r="M17" s="3" t="s">
        <v>94</v>
      </c>
      <c r="N17" s="3" t="s">
        <v>95</v>
      </c>
      <c r="O17" s="3" t="s">
        <v>103</v>
      </c>
      <c r="P17" s="3" t="s">
        <v>104</v>
      </c>
      <c r="Q17" s="3" t="s">
        <v>39</v>
      </c>
      <c r="R17" s="3" t="s">
        <v>40</v>
      </c>
      <c r="S17" s="55">
        <v>3.7</v>
      </c>
      <c r="T17" s="55">
        <v>0.47589999999999999</v>
      </c>
      <c r="U17" s="55">
        <v>0.47589999999999999</v>
      </c>
      <c r="V17" s="55">
        <v>3.2241</v>
      </c>
      <c r="W17" s="3">
        <v>13</v>
      </c>
    </row>
    <row r="18" spans="1:23" x14ac:dyDescent="0.35">
      <c r="A18" s="3" t="s">
        <v>23</v>
      </c>
      <c r="B18" s="3" t="s">
        <v>24</v>
      </c>
      <c r="C18" s="3" t="s">
        <v>105</v>
      </c>
      <c r="D18" s="3" t="s">
        <v>45</v>
      </c>
      <c r="E18" s="3" t="s">
        <v>27</v>
      </c>
      <c r="F18" s="3" t="s">
        <v>46</v>
      </c>
      <c r="G18" s="3" t="s">
        <v>47</v>
      </c>
      <c r="H18" s="3" t="s">
        <v>30</v>
      </c>
      <c r="I18" s="3" t="s">
        <v>31</v>
      </c>
      <c r="J18" s="3" t="s">
        <v>32</v>
      </c>
      <c r="K18" s="3" t="s">
        <v>33</v>
      </c>
      <c r="L18" s="3" t="s">
        <v>51</v>
      </c>
      <c r="M18" s="3" t="s">
        <v>106</v>
      </c>
      <c r="N18" s="3" t="s">
        <v>107</v>
      </c>
      <c r="O18" s="3" t="s">
        <v>108</v>
      </c>
      <c r="P18" s="3" t="s">
        <v>109</v>
      </c>
      <c r="Q18" s="3" t="s">
        <v>39</v>
      </c>
      <c r="R18" s="3" t="s">
        <v>40</v>
      </c>
      <c r="S18" s="55">
        <v>70925.600000000006</v>
      </c>
      <c r="T18" s="55">
        <v>3058.5798</v>
      </c>
      <c r="U18" s="55">
        <v>3058.5798</v>
      </c>
      <c r="V18" s="55">
        <v>67867.020199999999</v>
      </c>
      <c r="W18" s="3">
        <v>4</v>
      </c>
    </row>
    <row r="19" spans="1:23" x14ac:dyDescent="0.35">
      <c r="A19" s="3" t="s">
        <v>23</v>
      </c>
      <c r="B19" s="3" t="s">
        <v>24</v>
      </c>
      <c r="C19" s="3" t="s">
        <v>110</v>
      </c>
      <c r="D19" s="3" t="s">
        <v>45</v>
      </c>
      <c r="E19" s="3" t="s">
        <v>27</v>
      </c>
      <c r="F19" s="3" t="s">
        <v>46</v>
      </c>
      <c r="G19" s="3" t="s">
        <v>47</v>
      </c>
      <c r="H19" s="3" t="s">
        <v>30</v>
      </c>
      <c r="I19" s="3" t="s">
        <v>31</v>
      </c>
      <c r="J19" s="3" t="s">
        <v>32</v>
      </c>
      <c r="K19" s="3" t="s">
        <v>33</v>
      </c>
      <c r="L19" s="3" t="s">
        <v>51</v>
      </c>
      <c r="M19" s="3" t="s">
        <v>111</v>
      </c>
      <c r="N19" s="3" t="s">
        <v>112</v>
      </c>
      <c r="O19" s="3" t="s">
        <v>37</v>
      </c>
      <c r="P19" s="3" t="s">
        <v>38</v>
      </c>
      <c r="Q19" s="3" t="s">
        <v>39</v>
      </c>
      <c r="R19" s="3" t="s">
        <v>40</v>
      </c>
      <c r="S19" s="55">
        <v>6627.5</v>
      </c>
      <c r="T19" s="55">
        <v>0</v>
      </c>
      <c r="U19" s="55">
        <v>0</v>
      </c>
      <c r="V19" s="55">
        <v>6627.5</v>
      </c>
      <c r="W19" s="3">
        <v>0</v>
      </c>
    </row>
    <row r="20" spans="1:23" x14ac:dyDescent="0.35">
      <c r="A20" s="3" t="s">
        <v>23</v>
      </c>
      <c r="B20" s="3" t="s">
        <v>24</v>
      </c>
      <c r="C20" s="3" t="s">
        <v>113</v>
      </c>
      <c r="D20" s="3" t="s">
        <v>114</v>
      </c>
      <c r="E20" s="3" t="s">
        <v>115</v>
      </c>
      <c r="F20" s="3" t="s">
        <v>116</v>
      </c>
      <c r="G20" s="3" t="s">
        <v>117</v>
      </c>
      <c r="H20" s="3" t="s">
        <v>48</v>
      </c>
      <c r="I20" s="3" t="s">
        <v>49</v>
      </c>
      <c r="J20" s="3" t="s">
        <v>50</v>
      </c>
      <c r="K20" s="3" t="s">
        <v>33</v>
      </c>
      <c r="L20" s="3" t="s">
        <v>51</v>
      </c>
      <c r="M20" s="3" t="s">
        <v>118</v>
      </c>
      <c r="N20" s="3" t="s">
        <v>119</v>
      </c>
      <c r="O20" s="3" t="s">
        <v>37</v>
      </c>
      <c r="P20" s="3" t="s">
        <v>38</v>
      </c>
      <c r="Q20" s="3" t="s">
        <v>39</v>
      </c>
      <c r="R20" s="3" t="s">
        <v>40</v>
      </c>
      <c r="S20" s="55">
        <v>4082.8</v>
      </c>
      <c r="T20" s="55">
        <v>0</v>
      </c>
      <c r="U20" s="55">
        <v>0</v>
      </c>
      <c r="V20" s="55">
        <v>4082.8</v>
      </c>
      <c r="W20" s="3">
        <v>0</v>
      </c>
    </row>
    <row r="21" spans="1:23" x14ac:dyDescent="0.35">
      <c r="A21" s="3" t="s">
        <v>23</v>
      </c>
      <c r="B21" s="3" t="s">
        <v>24</v>
      </c>
      <c r="C21" s="3" t="s">
        <v>120</v>
      </c>
      <c r="D21" s="3" t="s">
        <v>114</v>
      </c>
      <c r="E21" s="3" t="s">
        <v>115</v>
      </c>
      <c r="F21" s="3" t="s">
        <v>116</v>
      </c>
      <c r="G21" s="3" t="s">
        <v>117</v>
      </c>
      <c r="H21" s="3" t="s">
        <v>48</v>
      </c>
      <c r="I21" s="3" t="s">
        <v>49</v>
      </c>
      <c r="J21" s="3" t="s">
        <v>50</v>
      </c>
      <c r="K21" s="3" t="s">
        <v>33</v>
      </c>
      <c r="L21" s="3" t="s">
        <v>51</v>
      </c>
      <c r="M21" s="3" t="s">
        <v>118</v>
      </c>
      <c r="N21" s="3" t="s">
        <v>119</v>
      </c>
      <c r="O21" s="3" t="s">
        <v>42</v>
      </c>
      <c r="P21" s="3" t="s">
        <v>43</v>
      </c>
      <c r="Q21" s="3" t="s">
        <v>39</v>
      </c>
      <c r="R21" s="3" t="s">
        <v>40</v>
      </c>
      <c r="S21" s="55">
        <v>778.7</v>
      </c>
      <c r="T21" s="55">
        <v>0</v>
      </c>
      <c r="U21" s="55">
        <v>0</v>
      </c>
      <c r="V21" s="55">
        <v>778.7</v>
      </c>
      <c r="W21" s="3">
        <v>0</v>
      </c>
    </row>
    <row r="22" spans="1:23" x14ac:dyDescent="0.35">
      <c r="A22" s="3" t="s">
        <v>23</v>
      </c>
      <c r="B22" s="3" t="s">
        <v>24</v>
      </c>
      <c r="C22" s="3" t="s">
        <v>121</v>
      </c>
      <c r="D22" s="3" t="s">
        <v>114</v>
      </c>
      <c r="E22" s="3" t="s">
        <v>115</v>
      </c>
      <c r="F22" s="3" t="s">
        <v>116</v>
      </c>
      <c r="G22" s="3" t="s">
        <v>117</v>
      </c>
      <c r="H22" s="3" t="s">
        <v>48</v>
      </c>
      <c r="I22" s="3" t="s">
        <v>49</v>
      </c>
      <c r="J22" s="3" t="s">
        <v>50</v>
      </c>
      <c r="K22" s="3" t="s">
        <v>33</v>
      </c>
      <c r="L22" s="3" t="s">
        <v>51</v>
      </c>
      <c r="M22" s="3" t="s">
        <v>118</v>
      </c>
      <c r="N22" s="3" t="s">
        <v>119</v>
      </c>
      <c r="O22" s="3" t="s">
        <v>122</v>
      </c>
      <c r="P22" s="3" t="s">
        <v>123</v>
      </c>
      <c r="Q22" s="3" t="s">
        <v>39</v>
      </c>
      <c r="R22" s="3" t="s">
        <v>40</v>
      </c>
      <c r="S22" s="55">
        <v>5312.2</v>
      </c>
      <c r="T22" s="55">
        <v>0</v>
      </c>
      <c r="U22" s="55">
        <v>0</v>
      </c>
      <c r="V22" s="55">
        <v>5312.2</v>
      </c>
      <c r="W22" s="3">
        <v>0</v>
      </c>
    </row>
    <row r="23" spans="1:23" x14ac:dyDescent="0.35">
      <c r="A23" s="3" t="s">
        <v>23</v>
      </c>
      <c r="B23" s="3" t="s">
        <v>24</v>
      </c>
      <c r="C23" s="3" t="s">
        <v>130</v>
      </c>
      <c r="D23" s="3" t="s">
        <v>131</v>
      </c>
      <c r="E23" s="3" t="s">
        <v>115</v>
      </c>
      <c r="F23" s="3" t="s">
        <v>132</v>
      </c>
      <c r="G23" s="3" t="s">
        <v>133</v>
      </c>
      <c r="H23" s="3" t="s">
        <v>48</v>
      </c>
      <c r="I23" s="3" t="s">
        <v>49</v>
      </c>
      <c r="J23" s="3" t="s">
        <v>50</v>
      </c>
      <c r="K23" s="3" t="s">
        <v>33</v>
      </c>
      <c r="L23" s="3" t="s">
        <v>51</v>
      </c>
      <c r="M23" s="3" t="s">
        <v>134</v>
      </c>
      <c r="N23" s="3" t="s">
        <v>135</v>
      </c>
      <c r="O23" s="3" t="s">
        <v>37</v>
      </c>
      <c r="P23" s="3" t="s">
        <v>38</v>
      </c>
      <c r="Q23" s="3" t="s">
        <v>39</v>
      </c>
      <c r="R23" s="3" t="s">
        <v>40</v>
      </c>
      <c r="S23" s="55">
        <v>22.1</v>
      </c>
      <c r="T23" s="55">
        <v>0</v>
      </c>
      <c r="U23" s="55">
        <v>0</v>
      </c>
      <c r="V23" s="55">
        <v>22.1</v>
      </c>
      <c r="W23" s="3">
        <v>0</v>
      </c>
    </row>
    <row r="24" spans="1:23" x14ac:dyDescent="0.35">
      <c r="A24" s="3" t="s">
        <v>23</v>
      </c>
      <c r="B24" s="3" t="s">
        <v>24</v>
      </c>
      <c r="C24" s="3" t="s">
        <v>448</v>
      </c>
      <c r="D24" s="3" t="s">
        <v>137</v>
      </c>
      <c r="E24" s="3" t="s">
        <v>138</v>
      </c>
      <c r="F24" s="3" t="s">
        <v>139</v>
      </c>
      <c r="G24" s="3" t="s">
        <v>140</v>
      </c>
      <c r="H24" s="3" t="s">
        <v>48</v>
      </c>
      <c r="I24" s="3" t="s">
        <v>49</v>
      </c>
      <c r="J24" s="3" t="s">
        <v>50</v>
      </c>
      <c r="K24" s="3" t="s">
        <v>33</v>
      </c>
      <c r="L24" s="3" t="s">
        <v>51</v>
      </c>
      <c r="M24" s="3" t="s">
        <v>446</v>
      </c>
      <c r="N24" s="3" t="s">
        <v>447</v>
      </c>
      <c r="O24" s="3" t="s">
        <v>197</v>
      </c>
      <c r="P24" s="3" t="s">
        <v>198</v>
      </c>
      <c r="Q24" s="3" t="s">
        <v>39</v>
      </c>
      <c r="R24" s="3" t="s">
        <v>40</v>
      </c>
      <c r="S24" s="55">
        <v>32862.199999999997</v>
      </c>
      <c r="T24" s="55">
        <v>0</v>
      </c>
      <c r="U24" s="55">
        <v>0</v>
      </c>
      <c r="V24" s="55">
        <v>32862.199999999997</v>
      </c>
      <c r="W24" s="3">
        <v>0</v>
      </c>
    </row>
    <row r="25" spans="1:23" x14ac:dyDescent="0.35">
      <c r="A25" s="3" t="s">
        <v>23</v>
      </c>
      <c r="B25" s="3" t="s">
        <v>24</v>
      </c>
      <c r="C25" s="3" t="s">
        <v>136</v>
      </c>
      <c r="D25" s="3" t="s">
        <v>137</v>
      </c>
      <c r="E25" s="3" t="s">
        <v>138</v>
      </c>
      <c r="F25" s="3" t="s">
        <v>139</v>
      </c>
      <c r="G25" s="3" t="s">
        <v>140</v>
      </c>
      <c r="H25" s="3" t="s">
        <v>30</v>
      </c>
      <c r="I25" s="3" t="s">
        <v>31</v>
      </c>
      <c r="J25" s="3" t="s">
        <v>32</v>
      </c>
      <c r="K25" s="3" t="s">
        <v>33</v>
      </c>
      <c r="L25" s="3" t="s">
        <v>51</v>
      </c>
      <c r="M25" s="3" t="s">
        <v>141</v>
      </c>
      <c r="N25" s="3" t="s">
        <v>142</v>
      </c>
      <c r="O25" s="3" t="s">
        <v>83</v>
      </c>
      <c r="P25" s="3" t="s">
        <v>84</v>
      </c>
      <c r="Q25" s="3" t="s">
        <v>39</v>
      </c>
      <c r="R25" s="3" t="s">
        <v>40</v>
      </c>
      <c r="S25" s="55">
        <v>5402.8</v>
      </c>
      <c r="T25" s="55">
        <v>56.6813</v>
      </c>
      <c r="U25" s="55">
        <v>56.6813</v>
      </c>
      <c r="V25" s="55">
        <v>5346.1187</v>
      </c>
      <c r="W25" s="3">
        <v>1</v>
      </c>
    </row>
    <row r="26" spans="1:23" x14ac:dyDescent="0.35">
      <c r="A26" s="3" t="s">
        <v>23</v>
      </c>
      <c r="B26" s="3" t="s">
        <v>24</v>
      </c>
      <c r="C26" s="3" t="s">
        <v>143</v>
      </c>
      <c r="D26" s="3" t="s">
        <v>144</v>
      </c>
      <c r="E26" s="3" t="s">
        <v>145</v>
      </c>
      <c r="F26" s="3" t="s">
        <v>146</v>
      </c>
      <c r="G26" s="3" t="s">
        <v>147</v>
      </c>
      <c r="H26" s="3" t="s">
        <v>116</v>
      </c>
      <c r="I26" s="3" t="s">
        <v>148</v>
      </c>
      <c r="J26" s="3" t="s">
        <v>149</v>
      </c>
      <c r="K26" s="3" t="s">
        <v>33</v>
      </c>
      <c r="L26" s="3" t="s">
        <v>51</v>
      </c>
      <c r="M26" s="3" t="s">
        <v>150</v>
      </c>
      <c r="N26" s="3" t="s">
        <v>151</v>
      </c>
      <c r="O26" s="3" t="s">
        <v>37</v>
      </c>
      <c r="P26" s="3" t="s">
        <v>38</v>
      </c>
      <c r="Q26" s="3" t="s">
        <v>39</v>
      </c>
      <c r="R26" s="3" t="s">
        <v>40</v>
      </c>
      <c r="S26" s="55">
        <v>5247.5</v>
      </c>
      <c r="T26" s="55">
        <v>0</v>
      </c>
      <c r="U26" s="55">
        <v>0</v>
      </c>
      <c r="V26" s="55">
        <v>5247.5</v>
      </c>
      <c r="W26" s="3">
        <v>0</v>
      </c>
    </row>
    <row r="27" spans="1:23" x14ac:dyDescent="0.35">
      <c r="A27" s="3" t="s">
        <v>23</v>
      </c>
      <c r="B27" s="3" t="s">
        <v>24</v>
      </c>
      <c r="C27" s="3" t="s">
        <v>152</v>
      </c>
      <c r="D27" s="3" t="s">
        <v>144</v>
      </c>
      <c r="E27" s="3" t="s">
        <v>145</v>
      </c>
      <c r="F27" s="3" t="s">
        <v>146</v>
      </c>
      <c r="G27" s="3" t="s">
        <v>147</v>
      </c>
      <c r="H27" s="3" t="s">
        <v>116</v>
      </c>
      <c r="I27" s="3" t="s">
        <v>148</v>
      </c>
      <c r="J27" s="3" t="s">
        <v>149</v>
      </c>
      <c r="K27" s="3" t="s">
        <v>33</v>
      </c>
      <c r="L27" s="3" t="s">
        <v>51</v>
      </c>
      <c r="M27" s="3" t="s">
        <v>153</v>
      </c>
      <c r="N27" s="3" t="s">
        <v>154</v>
      </c>
      <c r="O27" s="3" t="s">
        <v>37</v>
      </c>
      <c r="P27" s="3" t="s">
        <v>38</v>
      </c>
      <c r="Q27" s="3" t="s">
        <v>39</v>
      </c>
      <c r="R27" s="3" t="s">
        <v>40</v>
      </c>
      <c r="S27" s="55">
        <v>58301.1</v>
      </c>
      <c r="T27" s="55">
        <v>0</v>
      </c>
      <c r="U27" s="55">
        <v>0</v>
      </c>
      <c r="V27" s="55">
        <v>58301.1</v>
      </c>
      <c r="W27" s="3">
        <v>0</v>
      </c>
    </row>
    <row r="28" spans="1:23" x14ac:dyDescent="0.35">
      <c r="A28" s="3" t="s">
        <v>23</v>
      </c>
      <c r="B28" s="3" t="s">
        <v>24</v>
      </c>
      <c r="C28" s="3" t="s">
        <v>155</v>
      </c>
      <c r="D28" s="3" t="s">
        <v>144</v>
      </c>
      <c r="E28" s="3" t="s">
        <v>145</v>
      </c>
      <c r="F28" s="3" t="s">
        <v>146</v>
      </c>
      <c r="G28" s="3" t="s">
        <v>147</v>
      </c>
      <c r="H28" s="3" t="s">
        <v>116</v>
      </c>
      <c r="I28" s="3" t="s">
        <v>148</v>
      </c>
      <c r="J28" s="3" t="s">
        <v>149</v>
      </c>
      <c r="K28" s="3" t="s">
        <v>33</v>
      </c>
      <c r="L28" s="3" t="s">
        <v>51</v>
      </c>
      <c r="M28" s="3" t="s">
        <v>156</v>
      </c>
      <c r="N28" s="3" t="s">
        <v>157</v>
      </c>
      <c r="O28" s="3" t="s">
        <v>37</v>
      </c>
      <c r="P28" s="3" t="s">
        <v>38</v>
      </c>
      <c r="Q28" s="3" t="s">
        <v>39</v>
      </c>
      <c r="R28" s="3" t="s">
        <v>40</v>
      </c>
      <c r="S28" s="55">
        <v>1465.6</v>
      </c>
      <c r="T28" s="55">
        <v>0</v>
      </c>
      <c r="U28" s="55">
        <v>0</v>
      </c>
      <c r="V28" s="55">
        <v>1465.6</v>
      </c>
      <c r="W28" s="3">
        <v>0</v>
      </c>
    </row>
    <row r="29" spans="1:23" x14ac:dyDescent="0.35">
      <c r="A29" s="3" t="s">
        <v>23</v>
      </c>
      <c r="B29" s="3" t="s">
        <v>24</v>
      </c>
      <c r="C29" s="3" t="s">
        <v>158</v>
      </c>
      <c r="D29" s="3" t="s">
        <v>144</v>
      </c>
      <c r="E29" s="3" t="s">
        <v>145</v>
      </c>
      <c r="F29" s="3" t="s">
        <v>146</v>
      </c>
      <c r="G29" s="3" t="s">
        <v>147</v>
      </c>
      <c r="H29" s="3" t="s">
        <v>116</v>
      </c>
      <c r="I29" s="3" t="s">
        <v>148</v>
      </c>
      <c r="J29" s="3" t="s">
        <v>149</v>
      </c>
      <c r="K29" s="3" t="s">
        <v>33</v>
      </c>
      <c r="L29" s="3" t="s">
        <v>51</v>
      </c>
      <c r="M29" s="3" t="s">
        <v>156</v>
      </c>
      <c r="N29" s="3" t="s">
        <v>157</v>
      </c>
      <c r="O29" s="3" t="s">
        <v>125</v>
      </c>
      <c r="P29" s="3" t="s">
        <v>126</v>
      </c>
      <c r="Q29" s="3" t="s">
        <v>39</v>
      </c>
      <c r="R29" s="3" t="s">
        <v>40</v>
      </c>
      <c r="S29" s="55">
        <v>107387</v>
      </c>
      <c r="T29" s="55">
        <v>6271.6196</v>
      </c>
      <c r="U29" s="55">
        <v>6271.6196</v>
      </c>
      <c r="V29" s="55">
        <v>101115.38039999999</v>
      </c>
      <c r="W29" s="3">
        <v>6</v>
      </c>
    </row>
    <row r="30" spans="1:23" x14ac:dyDescent="0.35">
      <c r="A30" s="3" t="s">
        <v>23</v>
      </c>
      <c r="B30" s="3" t="s">
        <v>24</v>
      </c>
      <c r="C30" s="3" t="s">
        <v>159</v>
      </c>
      <c r="D30" s="3" t="s">
        <v>144</v>
      </c>
      <c r="E30" s="3" t="s">
        <v>145</v>
      </c>
      <c r="F30" s="3" t="s">
        <v>146</v>
      </c>
      <c r="G30" s="3" t="s">
        <v>147</v>
      </c>
      <c r="H30" s="3" t="s">
        <v>116</v>
      </c>
      <c r="I30" s="3" t="s">
        <v>148</v>
      </c>
      <c r="J30" s="3" t="s">
        <v>149</v>
      </c>
      <c r="K30" s="3" t="s">
        <v>33</v>
      </c>
      <c r="L30" s="3" t="s">
        <v>51</v>
      </c>
      <c r="M30" s="3" t="s">
        <v>160</v>
      </c>
      <c r="N30" s="3" t="s">
        <v>161</v>
      </c>
      <c r="O30" s="3" t="s">
        <v>37</v>
      </c>
      <c r="P30" s="3" t="s">
        <v>38</v>
      </c>
      <c r="Q30" s="3" t="s">
        <v>39</v>
      </c>
      <c r="R30" s="3" t="s">
        <v>40</v>
      </c>
      <c r="S30" s="55">
        <v>24678</v>
      </c>
      <c r="T30" s="55">
        <v>0</v>
      </c>
      <c r="U30" s="55">
        <v>0</v>
      </c>
      <c r="V30" s="55">
        <v>24678</v>
      </c>
      <c r="W30" s="3">
        <v>0</v>
      </c>
    </row>
    <row r="31" spans="1:23" x14ac:dyDescent="0.35">
      <c r="A31" s="3" t="s">
        <v>23</v>
      </c>
      <c r="B31" s="3" t="s">
        <v>24</v>
      </c>
      <c r="C31" s="3" t="s">
        <v>162</v>
      </c>
      <c r="D31" s="3" t="s">
        <v>144</v>
      </c>
      <c r="E31" s="3" t="s">
        <v>145</v>
      </c>
      <c r="F31" s="3" t="s">
        <v>146</v>
      </c>
      <c r="G31" s="3" t="s">
        <v>147</v>
      </c>
      <c r="H31" s="3" t="s">
        <v>116</v>
      </c>
      <c r="I31" s="3" t="s">
        <v>148</v>
      </c>
      <c r="J31" s="3" t="s">
        <v>149</v>
      </c>
      <c r="K31" s="3" t="s">
        <v>33</v>
      </c>
      <c r="L31" s="3" t="s">
        <v>51</v>
      </c>
      <c r="M31" s="3" t="s">
        <v>160</v>
      </c>
      <c r="N31" s="3" t="s">
        <v>161</v>
      </c>
      <c r="O31" s="3" t="s">
        <v>42</v>
      </c>
      <c r="P31" s="3" t="s">
        <v>43</v>
      </c>
      <c r="Q31" s="3" t="s">
        <v>39</v>
      </c>
      <c r="R31" s="3" t="s">
        <v>40</v>
      </c>
      <c r="S31" s="55">
        <v>6321.4</v>
      </c>
      <c r="T31" s="55">
        <v>0</v>
      </c>
      <c r="U31" s="55">
        <v>0</v>
      </c>
      <c r="V31" s="55">
        <v>6321.4</v>
      </c>
      <c r="W31" s="3">
        <v>0</v>
      </c>
    </row>
    <row r="32" spans="1:23" x14ac:dyDescent="0.35">
      <c r="A32" s="3" t="s">
        <v>23</v>
      </c>
      <c r="B32" s="3" t="s">
        <v>24</v>
      </c>
      <c r="C32" s="3" t="s">
        <v>163</v>
      </c>
      <c r="D32" s="3" t="s">
        <v>144</v>
      </c>
      <c r="E32" s="3" t="s">
        <v>145</v>
      </c>
      <c r="F32" s="3" t="s">
        <v>146</v>
      </c>
      <c r="G32" s="3" t="s">
        <v>147</v>
      </c>
      <c r="H32" s="3" t="s">
        <v>116</v>
      </c>
      <c r="I32" s="3" t="s">
        <v>148</v>
      </c>
      <c r="J32" s="3" t="s">
        <v>149</v>
      </c>
      <c r="K32" s="3" t="s">
        <v>33</v>
      </c>
      <c r="L32" s="3" t="s">
        <v>51</v>
      </c>
      <c r="M32" s="3" t="s">
        <v>160</v>
      </c>
      <c r="N32" s="3" t="s">
        <v>161</v>
      </c>
      <c r="O32" s="3" t="s">
        <v>125</v>
      </c>
      <c r="P32" s="3" t="s">
        <v>126</v>
      </c>
      <c r="Q32" s="3" t="s">
        <v>39</v>
      </c>
      <c r="R32" s="3" t="s">
        <v>40</v>
      </c>
      <c r="S32" s="55">
        <v>4785.7</v>
      </c>
      <c r="T32" s="55">
        <v>372.48579999999998</v>
      </c>
      <c r="U32" s="55">
        <v>372.48579999999998</v>
      </c>
      <c r="V32" s="55">
        <v>4413.2142000000003</v>
      </c>
      <c r="W32" s="3">
        <v>8</v>
      </c>
    </row>
    <row r="33" spans="1:23" x14ac:dyDescent="0.35">
      <c r="A33" s="3" t="s">
        <v>23</v>
      </c>
      <c r="B33" s="3" t="s">
        <v>24</v>
      </c>
      <c r="C33" s="3" t="s">
        <v>423</v>
      </c>
      <c r="D33" s="3" t="s">
        <v>165</v>
      </c>
      <c r="E33" s="3" t="s">
        <v>145</v>
      </c>
      <c r="F33" s="3" t="s">
        <v>28</v>
      </c>
      <c r="G33" s="3" t="s">
        <v>166</v>
      </c>
      <c r="H33" s="3" t="s">
        <v>139</v>
      </c>
      <c r="I33" s="3" t="s">
        <v>167</v>
      </c>
      <c r="J33" s="3" t="s">
        <v>168</v>
      </c>
      <c r="K33" s="3" t="s">
        <v>33</v>
      </c>
      <c r="L33" s="3" t="s">
        <v>51</v>
      </c>
      <c r="M33" s="3" t="s">
        <v>424</v>
      </c>
      <c r="N33" s="3" t="s">
        <v>507</v>
      </c>
      <c r="O33" s="3" t="s">
        <v>37</v>
      </c>
      <c r="P33" s="3" t="s">
        <v>38</v>
      </c>
      <c r="Q33" s="3" t="s">
        <v>39</v>
      </c>
      <c r="R33" s="3" t="s">
        <v>40</v>
      </c>
      <c r="S33" s="55">
        <v>1500</v>
      </c>
      <c r="T33" s="55">
        <v>0</v>
      </c>
      <c r="U33" s="55">
        <v>0</v>
      </c>
      <c r="V33" s="55">
        <v>1500</v>
      </c>
      <c r="W33" s="3">
        <v>0</v>
      </c>
    </row>
    <row r="34" spans="1:23" x14ac:dyDescent="0.35">
      <c r="A34" s="3" t="s">
        <v>23</v>
      </c>
      <c r="B34" s="3" t="s">
        <v>24</v>
      </c>
      <c r="C34" s="3" t="s">
        <v>164</v>
      </c>
      <c r="D34" s="3" t="s">
        <v>165</v>
      </c>
      <c r="E34" s="3" t="s">
        <v>145</v>
      </c>
      <c r="F34" s="3" t="s">
        <v>28</v>
      </c>
      <c r="G34" s="3" t="s">
        <v>166</v>
      </c>
      <c r="H34" s="3" t="s">
        <v>139</v>
      </c>
      <c r="I34" s="3" t="s">
        <v>167</v>
      </c>
      <c r="J34" s="3" t="s">
        <v>168</v>
      </c>
      <c r="K34" s="3" t="s">
        <v>33</v>
      </c>
      <c r="L34" s="3" t="s">
        <v>51</v>
      </c>
      <c r="M34" s="3" t="s">
        <v>169</v>
      </c>
      <c r="N34" s="3" t="s">
        <v>170</v>
      </c>
      <c r="O34" s="3" t="s">
        <v>37</v>
      </c>
      <c r="P34" s="3" t="s">
        <v>38</v>
      </c>
      <c r="Q34" s="3" t="s">
        <v>39</v>
      </c>
      <c r="R34" s="3" t="s">
        <v>40</v>
      </c>
      <c r="S34" s="55">
        <v>52619.7</v>
      </c>
      <c r="T34" s="55">
        <v>0</v>
      </c>
      <c r="U34" s="55">
        <v>0</v>
      </c>
      <c r="V34" s="55">
        <v>52619.7</v>
      </c>
      <c r="W34" s="3">
        <v>0</v>
      </c>
    </row>
    <row r="35" spans="1:23" x14ac:dyDescent="0.35">
      <c r="A35" s="3" t="s">
        <v>23</v>
      </c>
      <c r="B35" s="3" t="s">
        <v>24</v>
      </c>
      <c r="C35" s="3" t="s">
        <v>174</v>
      </c>
      <c r="D35" s="3" t="s">
        <v>175</v>
      </c>
      <c r="E35" s="3" t="s">
        <v>145</v>
      </c>
      <c r="F35" s="3" t="s">
        <v>176</v>
      </c>
      <c r="G35" s="3" t="s">
        <v>177</v>
      </c>
      <c r="H35" s="3" t="s">
        <v>116</v>
      </c>
      <c r="I35" s="3" t="s">
        <v>148</v>
      </c>
      <c r="J35" s="3" t="s">
        <v>149</v>
      </c>
      <c r="K35" s="3" t="s">
        <v>33</v>
      </c>
      <c r="L35" s="3" t="s">
        <v>51</v>
      </c>
      <c r="M35" s="3" t="s">
        <v>178</v>
      </c>
      <c r="N35" s="3" t="s">
        <v>179</v>
      </c>
      <c r="O35" s="3" t="s">
        <v>96</v>
      </c>
      <c r="P35" s="3" t="s">
        <v>97</v>
      </c>
      <c r="Q35" s="3" t="s">
        <v>39</v>
      </c>
      <c r="R35" s="3" t="s">
        <v>40</v>
      </c>
      <c r="S35" s="55">
        <v>484074.8</v>
      </c>
      <c r="T35" s="55">
        <v>33040.164100000002</v>
      </c>
      <c r="U35" s="55">
        <v>33040.164100000002</v>
      </c>
      <c r="V35" s="55">
        <v>451034.63589999999</v>
      </c>
      <c r="W35" s="3">
        <v>7</v>
      </c>
    </row>
    <row r="36" spans="1:23" x14ac:dyDescent="0.35">
      <c r="A36" s="3" t="s">
        <v>23</v>
      </c>
      <c r="B36" s="3" t="s">
        <v>24</v>
      </c>
      <c r="C36" s="3" t="s">
        <v>180</v>
      </c>
      <c r="D36" s="3" t="s">
        <v>175</v>
      </c>
      <c r="E36" s="3" t="s">
        <v>145</v>
      </c>
      <c r="F36" s="3" t="s">
        <v>176</v>
      </c>
      <c r="G36" s="3" t="s">
        <v>177</v>
      </c>
      <c r="H36" s="3" t="s">
        <v>116</v>
      </c>
      <c r="I36" s="3" t="s">
        <v>148</v>
      </c>
      <c r="J36" s="3" t="s">
        <v>149</v>
      </c>
      <c r="K36" s="3" t="s">
        <v>33</v>
      </c>
      <c r="L36" s="3" t="s">
        <v>51</v>
      </c>
      <c r="M36" s="3" t="s">
        <v>178</v>
      </c>
      <c r="N36" s="3" t="s">
        <v>179</v>
      </c>
      <c r="O36" s="3" t="s">
        <v>99</v>
      </c>
      <c r="P36" s="3" t="s">
        <v>100</v>
      </c>
      <c r="Q36" s="3" t="s">
        <v>39</v>
      </c>
      <c r="R36" s="3" t="s">
        <v>40</v>
      </c>
      <c r="S36" s="55">
        <v>145129.20000000001</v>
      </c>
      <c r="T36" s="55">
        <v>9299.0895999999993</v>
      </c>
      <c r="U36" s="55">
        <v>9299.0895999999993</v>
      </c>
      <c r="V36" s="55">
        <v>135830.11040000001</v>
      </c>
      <c r="W36" s="3">
        <v>6</v>
      </c>
    </row>
    <row r="37" spans="1:23" x14ac:dyDescent="0.35">
      <c r="A37" s="3" t="s">
        <v>23</v>
      </c>
      <c r="B37" s="3" t="s">
        <v>24</v>
      </c>
      <c r="C37" s="3" t="s">
        <v>181</v>
      </c>
      <c r="D37" s="3" t="s">
        <v>175</v>
      </c>
      <c r="E37" s="3" t="s">
        <v>145</v>
      </c>
      <c r="F37" s="3" t="s">
        <v>176</v>
      </c>
      <c r="G37" s="3" t="s">
        <v>177</v>
      </c>
      <c r="H37" s="3" t="s">
        <v>116</v>
      </c>
      <c r="I37" s="3" t="s">
        <v>148</v>
      </c>
      <c r="J37" s="3" t="s">
        <v>149</v>
      </c>
      <c r="K37" s="3" t="s">
        <v>33</v>
      </c>
      <c r="L37" s="3" t="s">
        <v>51</v>
      </c>
      <c r="M37" s="3" t="s">
        <v>178</v>
      </c>
      <c r="N37" s="3" t="s">
        <v>179</v>
      </c>
      <c r="O37" s="3" t="s">
        <v>37</v>
      </c>
      <c r="P37" s="3" t="s">
        <v>38</v>
      </c>
      <c r="Q37" s="3" t="s">
        <v>39</v>
      </c>
      <c r="R37" s="3" t="s">
        <v>40</v>
      </c>
      <c r="S37" s="55">
        <v>106296.5</v>
      </c>
      <c r="T37" s="55">
        <v>15.8407</v>
      </c>
      <c r="U37" s="55">
        <v>15.8407</v>
      </c>
      <c r="V37" s="55">
        <v>106280.6593</v>
      </c>
      <c r="W37" s="3">
        <v>0</v>
      </c>
    </row>
    <row r="38" spans="1:23" x14ac:dyDescent="0.35">
      <c r="A38" s="3" t="s">
        <v>23</v>
      </c>
      <c r="B38" s="3" t="s">
        <v>24</v>
      </c>
      <c r="C38" s="3" t="s">
        <v>182</v>
      </c>
      <c r="D38" s="3" t="s">
        <v>175</v>
      </c>
      <c r="E38" s="3" t="s">
        <v>145</v>
      </c>
      <c r="F38" s="3" t="s">
        <v>176</v>
      </c>
      <c r="G38" s="3" t="s">
        <v>177</v>
      </c>
      <c r="H38" s="3" t="s">
        <v>116</v>
      </c>
      <c r="I38" s="3" t="s">
        <v>148</v>
      </c>
      <c r="J38" s="3" t="s">
        <v>149</v>
      </c>
      <c r="K38" s="3" t="s">
        <v>33</v>
      </c>
      <c r="L38" s="3" t="s">
        <v>51</v>
      </c>
      <c r="M38" s="3" t="s">
        <v>178</v>
      </c>
      <c r="N38" s="3" t="s">
        <v>179</v>
      </c>
      <c r="O38" s="3" t="s">
        <v>42</v>
      </c>
      <c r="P38" s="3" t="s">
        <v>43</v>
      </c>
      <c r="Q38" s="3" t="s">
        <v>39</v>
      </c>
      <c r="R38" s="3" t="s">
        <v>40</v>
      </c>
      <c r="S38" s="55">
        <v>5728.8</v>
      </c>
      <c r="T38" s="55">
        <v>0</v>
      </c>
      <c r="U38" s="55">
        <v>0</v>
      </c>
      <c r="V38" s="55">
        <v>5728.8</v>
      </c>
      <c r="W38" s="3">
        <v>0</v>
      </c>
    </row>
    <row r="39" spans="1:23" x14ac:dyDescent="0.35">
      <c r="A39" s="3" t="s">
        <v>23</v>
      </c>
      <c r="B39" s="3" t="s">
        <v>24</v>
      </c>
      <c r="C39" s="3" t="s">
        <v>183</v>
      </c>
      <c r="D39" s="3" t="s">
        <v>175</v>
      </c>
      <c r="E39" s="3" t="s">
        <v>145</v>
      </c>
      <c r="F39" s="3" t="s">
        <v>176</v>
      </c>
      <c r="G39" s="3" t="s">
        <v>177</v>
      </c>
      <c r="H39" s="3" t="s">
        <v>116</v>
      </c>
      <c r="I39" s="3" t="s">
        <v>148</v>
      </c>
      <c r="J39" s="3" t="s">
        <v>149</v>
      </c>
      <c r="K39" s="3" t="s">
        <v>33</v>
      </c>
      <c r="L39" s="3" t="s">
        <v>51</v>
      </c>
      <c r="M39" s="3" t="s">
        <v>178</v>
      </c>
      <c r="N39" s="3" t="s">
        <v>179</v>
      </c>
      <c r="O39" s="3" t="s">
        <v>122</v>
      </c>
      <c r="P39" s="3" t="s">
        <v>123</v>
      </c>
      <c r="Q39" s="3" t="s">
        <v>39</v>
      </c>
      <c r="R39" s="3" t="s">
        <v>40</v>
      </c>
      <c r="S39" s="55">
        <v>1454.5</v>
      </c>
      <c r="T39" s="55">
        <v>0</v>
      </c>
      <c r="U39" s="55">
        <v>0</v>
      </c>
      <c r="V39" s="55">
        <v>1454.5</v>
      </c>
      <c r="W39" s="3">
        <v>0</v>
      </c>
    </row>
    <row r="40" spans="1:23" x14ac:dyDescent="0.35">
      <c r="A40" s="3" t="s">
        <v>23</v>
      </c>
      <c r="B40" s="3" t="s">
        <v>24</v>
      </c>
      <c r="C40" s="3" t="s">
        <v>184</v>
      </c>
      <c r="D40" s="3" t="s">
        <v>175</v>
      </c>
      <c r="E40" s="3" t="s">
        <v>145</v>
      </c>
      <c r="F40" s="3" t="s">
        <v>176</v>
      </c>
      <c r="G40" s="3" t="s">
        <v>177</v>
      </c>
      <c r="H40" s="3" t="s">
        <v>116</v>
      </c>
      <c r="I40" s="3" t="s">
        <v>148</v>
      </c>
      <c r="J40" s="3" t="s">
        <v>149</v>
      </c>
      <c r="K40" s="3" t="s">
        <v>33</v>
      </c>
      <c r="L40" s="3" t="s">
        <v>51</v>
      </c>
      <c r="M40" s="3" t="s">
        <v>178</v>
      </c>
      <c r="N40" s="3" t="s">
        <v>179</v>
      </c>
      <c r="O40" s="3" t="s">
        <v>103</v>
      </c>
      <c r="P40" s="3" t="s">
        <v>104</v>
      </c>
      <c r="Q40" s="3" t="s">
        <v>39</v>
      </c>
      <c r="R40" s="3" t="s">
        <v>40</v>
      </c>
      <c r="S40" s="55">
        <v>675.8</v>
      </c>
      <c r="T40" s="55">
        <v>8</v>
      </c>
      <c r="U40" s="55">
        <v>8</v>
      </c>
      <c r="V40" s="55">
        <v>667.8</v>
      </c>
      <c r="W40" s="3">
        <v>1</v>
      </c>
    </row>
    <row r="41" spans="1:23" x14ac:dyDescent="0.35">
      <c r="A41" s="3" t="s">
        <v>23</v>
      </c>
      <c r="B41" s="3" t="s">
        <v>24</v>
      </c>
      <c r="C41" s="3" t="s">
        <v>473</v>
      </c>
      <c r="D41" s="3" t="s">
        <v>175</v>
      </c>
      <c r="E41" s="3" t="s">
        <v>145</v>
      </c>
      <c r="F41" s="3" t="s">
        <v>176</v>
      </c>
      <c r="G41" s="3" t="s">
        <v>177</v>
      </c>
      <c r="H41" s="3" t="s">
        <v>116</v>
      </c>
      <c r="I41" s="3" t="s">
        <v>148</v>
      </c>
      <c r="J41" s="3" t="s">
        <v>149</v>
      </c>
      <c r="K41" s="3" t="s">
        <v>33</v>
      </c>
      <c r="L41" s="3" t="s">
        <v>51</v>
      </c>
      <c r="M41" s="3" t="s">
        <v>474</v>
      </c>
      <c r="N41" s="3" t="s">
        <v>475</v>
      </c>
      <c r="O41" s="3" t="s">
        <v>37</v>
      </c>
      <c r="P41" s="3" t="s">
        <v>38</v>
      </c>
      <c r="Q41" s="3" t="s">
        <v>39</v>
      </c>
      <c r="R41" s="3" t="s">
        <v>40</v>
      </c>
      <c r="S41" s="55">
        <v>3157.5</v>
      </c>
      <c r="T41" s="55">
        <v>0</v>
      </c>
      <c r="U41" s="55">
        <v>0</v>
      </c>
      <c r="V41" s="55">
        <v>3157.5</v>
      </c>
      <c r="W41" s="3">
        <v>0</v>
      </c>
    </row>
    <row r="42" spans="1:23" x14ac:dyDescent="0.35">
      <c r="A42" s="3" t="s">
        <v>23</v>
      </c>
      <c r="B42" s="3" t="s">
        <v>24</v>
      </c>
      <c r="C42" s="3" t="s">
        <v>185</v>
      </c>
      <c r="D42" s="3" t="s">
        <v>186</v>
      </c>
      <c r="E42" s="3" t="s">
        <v>187</v>
      </c>
      <c r="F42" s="3" t="s">
        <v>146</v>
      </c>
      <c r="G42" s="3" t="s">
        <v>188</v>
      </c>
      <c r="H42" s="3" t="s">
        <v>189</v>
      </c>
      <c r="I42" s="3" t="s">
        <v>190</v>
      </c>
      <c r="J42" s="3" t="s">
        <v>191</v>
      </c>
      <c r="K42" s="3" t="s">
        <v>33</v>
      </c>
      <c r="L42" s="3" t="s">
        <v>51</v>
      </c>
      <c r="M42" s="3" t="s">
        <v>192</v>
      </c>
      <c r="N42" s="3" t="s">
        <v>193</v>
      </c>
      <c r="O42" s="3" t="s">
        <v>108</v>
      </c>
      <c r="P42" s="3" t="s">
        <v>109</v>
      </c>
      <c r="Q42" s="3" t="s">
        <v>39</v>
      </c>
      <c r="R42" s="3" t="s">
        <v>40</v>
      </c>
      <c r="S42" s="55">
        <v>4988386</v>
      </c>
      <c r="T42" s="55">
        <v>281992.88370000001</v>
      </c>
      <c r="U42" s="55">
        <v>281992.88370000001</v>
      </c>
      <c r="V42" s="55">
        <v>4706393.1162999999</v>
      </c>
      <c r="W42" s="3">
        <v>6</v>
      </c>
    </row>
    <row r="43" spans="1:23" x14ac:dyDescent="0.35">
      <c r="A43" s="3" t="s">
        <v>23</v>
      </c>
      <c r="B43" s="3" t="s">
        <v>24</v>
      </c>
      <c r="C43" s="3" t="s">
        <v>508</v>
      </c>
      <c r="D43" s="3" t="s">
        <v>186</v>
      </c>
      <c r="E43" s="3" t="s">
        <v>187</v>
      </c>
      <c r="F43" s="3" t="s">
        <v>146</v>
      </c>
      <c r="G43" s="3" t="s">
        <v>188</v>
      </c>
      <c r="H43" s="3" t="s">
        <v>189</v>
      </c>
      <c r="I43" s="3" t="s">
        <v>190</v>
      </c>
      <c r="J43" s="3" t="s">
        <v>191</v>
      </c>
      <c r="K43" s="3" t="s">
        <v>33</v>
      </c>
      <c r="L43" s="3" t="s">
        <v>51</v>
      </c>
      <c r="M43" s="3" t="s">
        <v>227</v>
      </c>
      <c r="N43" s="3" t="s">
        <v>228</v>
      </c>
      <c r="O43" s="3" t="s">
        <v>197</v>
      </c>
      <c r="P43" s="3" t="s">
        <v>198</v>
      </c>
      <c r="Q43" s="3" t="s">
        <v>39</v>
      </c>
      <c r="R43" s="3" t="s">
        <v>40</v>
      </c>
      <c r="S43" s="55">
        <v>29473.1</v>
      </c>
      <c r="T43" s="55">
        <v>0</v>
      </c>
      <c r="U43" s="55">
        <v>0</v>
      </c>
      <c r="V43" s="55">
        <v>29473.1</v>
      </c>
      <c r="W43" s="3">
        <v>0</v>
      </c>
    </row>
    <row r="44" spans="1:23" x14ac:dyDescent="0.35">
      <c r="A44" s="3" t="s">
        <v>23</v>
      </c>
      <c r="B44" s="3" t="s">
        <v>24</v>
      </c>
      <c r="C44" s="3" t="s">
        <v>194</v>
      </c>
      <c r="D44" s="3" t="s">
        <v>186</v>
      </c>
      <c r="E44" s="3" t="s">
        <v>187</v>
      </c>
      <c r="F44" s="3" t="s">
        <v>146</v>
      </c>
      <c r="G44" s="3" t="s">
        <v>188</v>
      </c>
      <c r="H44" s="3" t="s">
        <v>189</v>
      </c>
      <c r="I44" s="3" t="s">
        <v>190</v>
      </c>
      <c r="J44" s="3" t="s">
        <v>191</v>
      </c>
      <c r="K44" s="3" t="s">
        <v>33</v>
      </c>
      <c r="L44" s="3" t="s">
        <v>51</v>
      </c>
      <c r="M44" s="3" t="s">
        <v>195</v>
      </c>
      <c r="N44" s="3" t="s">
        <v>509</v>
      </c>
      <c r="O44" s="3" t="s">
        <v>197</v>
      </c>
      <c r="P44" s="3" t="s">
        <v>198</v>
      </c>
      <c r="Q44" s="3" t="s">
        <v>39</v>
      </c>
      <c r="R44" s="3" t="s">
        <v>40</v>
      </c>
      <c r="S44" s="55">
        <v>34664.6</v>
      </c>
      <c r="T44" s="55">
        <v>0</v>
      </c>
      <c r="U44" s="55">
        <v>0</v>
      </c>
      <c r="V44" s="55">
        <v>34664.6</v>
      </c>
      <c r="W44" s="3">
        <v>0</v>
      </c>
    </row>
    <row r="45" spans="1:23" x14ac:dyDescent="0.35">
      <c r="A45" s="3" t="s">
        <v>23</v>
      </c>
      <c r="B45" s="3" t="s">
        <v>24</v>
      </c>
      <c r="C45" s="3" t="s">
        <v>510</v>
      </c>
      <c r="D45" s="3" t="s">
        <v>200</v>
      </c>
      <c r="E45" s="3" t="s">
        <v>187</v>
      </c>
      <c r="F45" s="3" t="s">
        <v>189</v>
      </c>
      <c r="G45" s="3" t="s">
        <v>201</v>
      </c>
      <c r="H45" s="3" t="s">
        <v>189</v>
      </c>
      <c r="I45" s="3" t="s">
        <v>190</v>
      </c>
      <c r="J45" s="3" t="s">
        <v>202</v>
      </c>
      <c r="K45" s="3" t="s">
        <v>23</v>
      </c>
      <c r="L45" s="3" t="s">
        <v>203</v>
      </c>
      <c r="M45" s="3" t="s">
        <v>511</v>
      </c>
      <c r="N45" s="3" t="s">
        <v>205</v>
      </c>
      <c r="O45" s="3" t="s">
        <v>197</v>
      </c>
      <c r="P45" s="3" t="s">
        <v>198</v>
      </c>
      <c r="Q45" s="3" t="s">
        <v>39</v>
      </c>
      <c r="R45" s="3" t="s">
        <v>40</v>
      </c>
      <c r="S45" s="55">
        <v>21148</v>
      </c>
      <c r="T45" s="55">
        <v>0</v>
      </c>
      <c r="U45" s="55">
        <v>0</v>
      </c>
      <c r="V45" s="55">
        <v>21148</v>
      </c>
      <c r="W45" s="3">
        <v>0</v>
      </c>
    </row>
    <row r="46" spans="1:23" x14ac:dyDescent="0.35">
      <c r="A46" s="3" t="s">
        <v>23</v>
      </c>
      <c r="B46" s="3" t="s">
        <v>24</v>
      </c>
      <c r="C46" s="3" t="s">
        <v>512</v>
      </c>
      <c r="D46" s="3" t="s">
        <v>200</v>
      </c>
      <c r="E46" s="3" t="s">
        <v>187</v>
      </c>
      <c r="F46" s="3" t="s">
        <v>189</v>
      </c>
      <c r="G46" s="3" t="s">
        <v>201</v>
      </c>
      <c r="H46" s="3" t="s">
        <v>189</v>
      </c>
      <c r="I46" s="3" t="s">
        <v>190</v>
      </c>
      <c r="J46" s="3" t="s">
        <v>202</v>
      </c>
      <c r="K46" s="3" t="s">
        <v>23</v>
      </c>
      <c r="L46" s="3" t="s">
        <v>203</v>
      </c>
      <c r="M46" s="3" t="s">
        <v>513</v>
      </c>
      <c r="N46" s="3" t="s">
        <v>514</v>
      </c>
      <c r="O46" s="3" t="s">
        <v>197</v>
      </c>
      <c r="P46" s="3" t="s">
        <v>198</v>
      </c>
      <c r="Q46" s="3" t="s">
        <v>39</v>
      </c>
      <c r="R46" s="3" t="s">
        <v>40</v>
      </c>
      <c r="S46" s="55">
        <v>1977.2</v>
      </c>
      <c r="T46" s="55">
        <v>0</v>
      </c>
      <c r="U46" s="55">
        <v>0</v>
      </c>
      <c r="V46" s="55">
        <v>1977.2</v>
      </c>
      <c r="W46" s="3">
        <v>0</v>
      </c>
    </row>
    <row r="47" spans="1:23" x14ac:dyDescent="0.35">
      <c r="A47" s="3" t="s">
        <v>23</v>
      </c>
      <c r="B47" s="3" t="s">
        <v>24</v>
      </c>
      <c r="C47" s="3" t="s">
        <v>209</v>
      </c>
      <c r="D47" s="3" t="s">
        <v>200</v>
      </c>
      <c r="E47" s="3" t="s">
        <v>187</v>
      </c>
      <c r="F47" s="3" t="s">
        <v>189</v>
      </c>
      <c r="G47" s="3" t="s">
        <v>201</v>
      </c>
      <c r="H47" s="3" t="s">
        <v>189</v>
      </c>
      <c r="I47" s="3" t="s">
        <v>190</v>
      </c>
      <c r="J47" s="3" t="s">
        <v>191</v>
      </c>
      <c r="K47" s="3" t="s">
        <v>33</v>
      </c>
      <c r="L47" s="3" t="s">
        <v>51</v>
      </c>
      <c r="M47" s="3" t="s">
        <v>210</v>
      </c>
      <c r="N47" s="3" t="s">
        <v>211</v>
      </c>
      <c r="O47" s="3" t="s">
        <v>108</v>
      </c>
      <c r="P47" s="3" t="s">
        <v>109</v>
      </c>
      <c r="Q47" s="3" t="s">
        <v>39</v>
      </c>
      <c r="R47" s="3" t="s">
        <v>40</v>
      </c>
      <c r="S47" s="55">
        <v>4853107.2</v>
      </c>
      <c r="T47" s="55">
        <v>310156.61070000002</v>
      </c>
      <c r="U47" s="55">
        <v>310156.61070000002</v>
      </c>
      <c r="V47" s="55">
        <v>4542950.5893000001</v>
      </c>
      <c r="W47" s="3">
        <v>6</v>
      </c>
    </row>
    <row r="48" spans="1:23" x14ac:dyDescent="0.35">
      <c r="A48" s="3" t="s">
        <v>23</v>
      </c>
      <c r="B48" s="3" t="s">
        <v>24</v>
      </c>
      <c r="C48" s="3" t="s">
        <v>212</v>
      </c>
      <c r="D48" s="3" t="s">
        <v>200</v>
      </c>
      <c r="E48" s="3" t="s">
        <v>187</v>
      </c>
      <c r="F48" s="3" t="s">
        <v>189</v>
      </c>
      <c r="G48" s="3" t="s">
        <v>201</v>
      </c>
      <c r="H48" s="3" t="s">
        <v>189</v>
      </c>
      <c r="I48" s="3" t="s">
        <v>190</v>
      </c>
      <c r="J48" s="3" t="s">
        <v>191</v>
      </c>
      <c r="K48" s="3" t="s">
        <v>33</v>
      </c>
      <c r="L48" s="3" t="s">
        <v>51</v>
      </c>
      <c r="M48" s="3" t="s">
        <v>213</v>
      </c>
      <c r="N48" s="3" t="s">
        <v>214</v>
      </c>
      <c r="O48" s="3" t="s">
        <v>108</v>
      </c>
      <c r="P48" s="3" t="s">
        <v>109</v>
      </c>
      <c r="Q48" s="3" t="s">
        <v>39</v>
      </c>
      <c r="R48" s="3" t="s">
        <v>40</v>
      </c>
      <c r="S48" s="55">
        <v>168859</v>
      </c>
      <c r="T48" s="55">
        <v>5598.9251000000004</v>
      </c>
      <c r="U48" s="55">
        <v>5598.9251000000004</v>
      </c>
      <c r="V48" s="55">
        <v>163260.07490000001</v>
      </c>
      <c r="W48" s="3">
        <v>3</v>
      </c>
    </row>
    <row r="49" spans="1:23" x14ac:dyDescent="0.35">
      <c r="A49" s="3" t="s">
        <v>23</v>
      </c>
      <c r="B49" s="3" t="s">
        <v>24</v>
      </c>
      <c r="C49" s="3" t="s">
        <v>215</v>
      </c>
      <c r="D49" s="3" t="s">
        <v>200</v>
      </c>
      <c r="E49" s="3" t="s">
        <v>187</v>
      </c>
      <c r="F49" s="3" t="s">
        <v>189</v>
      </c>
      <c r="G49" s="3" t="s">
        <v>201</v>
      </c>
      <c r="H49" s="3" t="s">
        <v>189</v>
      </c>
      <c r="I49" s="3" t="s">
        <v>190</v>
      </c>
      <c r="J49" s="3" t="s">
        <v>191</v>
      </c>
      <c r="K49" s="3" t="s">
        <v>33</v>
      </c>
      <c r="L49" s="3" t="s">
        <v>51</v>
      </c>
      <c r="M49" s="3" t="s">
        <v>216</v>
      </c>
      <c r="N49" s="3" t="s">
        <v>217</v>
      </c>
      <c r="O49" s="3" t="s">
        <v>108</v>
      </c>
      <c r="P49" s="3" t="s">
        <v>109</v>
      </c>
      <c r="Q49" s="3" t="s">
        <v>39</v>
      </c>
      <c r="R49" s="3" t="s">
        <v>40</v>
      </c>
      <c r="S49" s="55">
        <v>81930.899999999994</v>
      </c>
      <c r="T49" s="55">
        <v>5216.8594000000003</v>
      </c>
      <c r="U49" s="55">
        <v>5216.8594000000003</v>
      </c>
      <c r="V49" s="55">
        <v>76714.040599999993</v>
      </c>
      <c r="W49" s="3">
        <v>6</v>
      </c>
    </row>
    <row r="50" spans="1:23" x14ac:dyDescent="0.35">
      <c r="A50" s="3" t="s">
        <v>23</v>
      </c>
      <c r="B50" s="3" t="s">
        <v>24</v>
      </c>
      <c r="C50" s="3" t="s">
        <v>218</v>
      </c>
      <c r="D50" s="3" t="s">
        <v>200</v>
      </c>
      <c r="E50" s="3" t="s">
        <v>187</v>
      </c>
      <c r="F50" s="3" t="s">
        <v>189</v>
      </c>
      <c r="G50" s="3" t="s">
        <v>201</v>
      </c>
      <c r="H50" s="3" t="s">
        <v>189</v>
      </c>
      <c r="I50" s="3" t="s">
        <v>190</v>
      </c>
      <c r="J50" s="3" t="s">
        <v>191</v>
      </c>
      <c r="K50" s="3" t="s">
        <v>33</v>
      </c>
      <c r="L50" s="3" t="s">
        <v>51</v>
      </c>
      <c r="M50" s="3" t="s">
        <v>219</v>
      </c>
      <c r="N50" s="3" t="s">
        <v>220</v>
      </c>
      <c r="O50" s="3" t="s">
        <v>221</v>
      </c>
      <c r="P50" s="3" t="s">
        <v>222</v>
      </c>
      <c r="Q50" s="3" t="s">
        <v>39</v>
      </c>
      <c r="R50" s="3" t="s">
        <v>40</v>
      </c>
      <c r="S50" s="55">
        <v>1102.9000000000001</v>
      </c>
      <c r="T50" s="55">
        <v>0</v>
      </c>
      <c r="U50" s="55">
        <v>0</v>
      </c>
      <c r="V50" s="55">
        <v>1102.9000000000001</v>
      </c>
      <c r="W50" s="3">
        <v>0</v>
      </c>
    </row>
    <row r="51" spans="1:23" x14ac:dyDescent="0.35">
      <c r="A51" s="3" t="s">
        <v>23</v>
      </c>
      <c r="B51" s="3" t="s">
        <v>24</v>
      </c>
      <c r="C51" s="3" t="s">
        <v>515</v>
      </c>
      <c r="D51" s="3" t="s">
        <v>200</v>
      </c>
      <c r="E51" s="3" t="s">
        <v>187</v>
      </c>
      <c r="F51" s="3" t="s">
        <v>189</v>
      </c>
      <c r="G51" s="3" t="s">
        <v>201</v>
      </c>
      <c r="H51" s="3" t="s">
        <v>189</v>
      </c>
      <c r="I51" s="3" t="s">
        <v>190</v>
      </c>
      <c r="J51" s="3" t="s">
        <v>191</v>
      </c>
      <c r="K51" s="3" t="s">
        <v>33</v>
      </c>
      <c r="L51" s="3" t="s">
        <v>51</v>
      </c>
      <c r="M51" s="3" t="s">
        <v>516</v>
      </c>
      <c r="N51" s="3" t="s">
        <v>517</v>
      </c>
      <c r="O51" s="3" t="s">
        <v>197</v>
      </c>
      <c r="P51" s="3" t="s">
        <v>198</v>
      </c>
      <c r="Q51" s="3" t="s">
        <v>39</v>
      </c>
      <c r="R51" s="3" t="s">
        <v>40</v>
      </c>
      <c r="S51" s="55">
        <v>8490.7000000000007</v>
      </c>
      <c r="T51" s="55">
        <v>0</v>
      </c>
      <c r="U51" s="55">
        <v>0</v>
      </c>
      <c r="V51" s="55">
        <v>8490.7000000000007</v>
      </c>
      <c r="W51" s="3">
        <v>0</v>
      </c>
    </row>
    <row r="52" spans="1:23" x14ac:dyDescent="0.35">
      <c r="A52" s="3" t="s">
        <v>23</v>
      </c>
      <c r="B52" s="3" t="s">
        <v>24</v>
      </c>
      <c r="C52" s="3" t="s">
        <v>226</v>
      </c>
      <c r="D52" s="3" t="s">
        <v>200</v>
      </c>
      <c r="E52" s="3" t="s">
        <v>187</v>
      </c>
      <c r="F52" s="3" t="s">
        <v>189</v>
      </c>
      <c r="G52" s="3" t="s">
        <v>201</v>
      </c>
      <c r="H52" s="3" t="s">
        <v>189</v>
      </c>
      <c r="I52" s="3" t="s">
        <v>190</v>
      </c>
      <c r="J52" s="3" t="s">
        <v>191</v>
      </c>
      <c r="K52" s="3" t="s">
        <v>33</v>
      </c>
      <c r="L52" s="3" t="s">
        <v>51</v>
      </c>
      <c r="M52" s="3" t="s">
        <v>227</v>
      </c>
      <c r="N52" s="3" t="s">
        <v>228</v>
      </c>
      <c r="O52" s="3" t="s">
        <v>197</v>
      </c>
      <c r="P52" s="3" t="s">
        <v>198</v>
      </c>
      <c r="Q52" s="3" t="s">
        <v>39</v>
      </c>
      <c r="R52" s="3" t="s">
        <v>40</v>
      </c>
      <c r="S52" s="55">
        <v>127820.2</v>
      </c>
      <c r="T52" s="55">
        <v>0</v>
      </c>
      <c r="U52" s="55">
        <v>0</v>
      </c>
      <c r="V52" s="55">
        <v>127820.2</v>
      </c>
      <c r="W52" s="3">
        <v>0</v>
      </c>
    </row>
    <row r="53" spans="1:23" x14ac:dyDescent="0.35">
      <c r="A53" s="3" t="s">
        <v>23</v>
      </c>
      <c r="B53" s="3" t="s">
        <v>24</v>
      </c>
      <c r="C53" s="3" t="s">
        <v>229</v>
      </c>
      <c r="D53" s="3" t="s">
        <v>200</v>
      </c>
      <c r="E53" s="3" t="s">
        <v>187</v>
      </c>
      <c r="F53" s="3" t="s">
        <v>189</v>
      </c>
      <c r="G53" s="3" t="s">
        <v>201</v>
      </c>
      <c r="H53" s="3" t="s">
        <v>189</v>
      </c>
      <c r="I53" s="3" t="s">
        <v>190</v>
      </c>
      <c r="J53" s="3" t="s">
        <v>191</v>
      </c>
      <c r="K53" s="3" t="s">
        <v>33</v>
      </c>
      <c r="L53" s="3" t="s">
        <v>51</v>
      </c>
      <c r="M53" s="3" t="s">
        <v>195</v>
      </c>
      <c r="N53" s="3" t="s">
        <v>509</v>
      </c>
      <c r="O53" s="3" t="s">
        <v>197</v>
      </c>
      <c r="P53" s="3" t="s">
        <v>198</v>
      </c>
      <c r="Q53" s="3" t="s">
        <v>39</v>
      </c>
      <c r="R53" s="3" t="s">
        <v>40</v>
      </c>
      <c r="S53" s="55">
        <v>28422.3</v>
      </c>
      <c r="T53" s="55">
        <v>0</v>
      </c>
      <c r="U53" s="55">
        <v>0</v>
      </c>
      <c r="V53" s="55">
        <v>28422.3</v>
      </c>
      <c r="W53" s="3">
        <v>0</v>
      </c>
    </row>
    <row r="54" spans="1:23" x14ac:dyDescent="0.35">
      <c r="A54" s="3" t="s">
        <v>23</v>
      </c>
      <c r="B54" s="3" t="s">
        <v>24</v>
      </c>
      <c r="C54" s="3" t="s">
        <v>518</v>
      </c>
      <c r="D54" s="3" t="s">
        <v>200</v>
      </c>
      <c r="E54" s="3" t="s">
        <v>187</v>
      </c>
      <c r="F54" s="3" t="s">
        <v>189</v>
      </c>
      <c r="G54" s="3" t="s">
        <v>201</v>
      </c>
      <c r="H54" s="3" t="s">
        <v>189</v>
      </c>
      <c r="I54" s="3" t="s">
        <v>190</v>
      </c>
      <c r="J54" s="3" t="s">
        <v>191</v>
      </c>
      <c r="K54" s="3" t="s">
        <v>33</v>
      </c>
      <c r="L54" s="3" t="s">
        <v>51</v>
      </c>
      <c r="M54" s="3" t="s">
        <v>519</v>
      </c>
      <c r="N54" s="3" t="s">
        <v>208</v>
      </c>
      <c r="O54" s="3" t="s">
        <v>197</v>
      </c>
      <c r="P54" s="3" t="s">
        <v>198</v>
      </c>
      <c r="Q54" s="3" t="s">
        <v>39</v>
      </c>
      <c r="R54" s="3" t="s">
        <v>40</v>
      </c>
      <c r="S54" s="55">
        <v>104515.5</v>
      </c>
      <c r="T54" s="55">
        <v>0</v>
      </c>
      <c r="U54" s="55">
        <v>0</v>
      </c>
      <c r="V54" s="55">
        <v>104515.5</v>
      </c>
      <c r="W54" s="3">
        <v>0</v>
      </c>
    </row>
    <row r="55" spans="1:23" x14ac:dyDescent="0.35">
      <c r="A55" s="3" t="s">
        <v>23</v>
      </c>
      <c r="B55" s="3" t="s">
        <v>24</v>
      </c>
      <c r="C55" s="3" t="s">
        <v>230</v>
      </c>
      <c r="D55" s="3" t="s">
        <v>200</v>
      </c>
      <c r="E55" s="3" t="s">
        <v>187</v>
      </c>
      <c r="F55" s="3" t="s">
        <v>189</v>
      </c>
      <c r="G55" s="3" t="s">
        <v>201</v>
      </c>
      <c r="H55" s="3" t="s">
        <v>28</v>
      </c>
      <c r="I55" s="3" t="s">
        <v>231</v>
      </c>
      <c r="J55" s="3" t="s">
        <v>232</v>
      </c>
      <c r="K55" s="3" t="s">
        <v>33</v>
      </c>
      <c r="L55" s="3" t="s">
        <v>51</v>
      </c>
      <c r="M55" s="3" t="s">
        <v>233</v>
      </c>
      <c r="N55" s="3" t="s">
        <v>234</v>
      </c>
      <c r="O55" s="3" t="s">
        <v>197</v>
      </c>
      <c r="P55" s="3" t="s">
        <v>198</v>
      </c>
      <c r="Q55" s="3" t="s">
        <v>39</v>
      </c>
      <c r="R55" s="3" t="s">
        <v>40</v>
      </c>
      <c r="S55" s="55">
        <v>261384</v>
      </c>
      <c r="T55" s="55">
        <v>428.3374</v>
      </c>
      <c r="U55" s="55">
        <v>428.3374</v>
      </c>
      <c r="V55" s="55">
        <v>260955.66260000001</v>
      </c>
      <c r="W55" s="3">
        <v>0</v>
      </c>
    </row>
    <row r="56" spans="1:23" x14ac:dyDescent="0.35">
      <c r="A56" s="3" t="s">
        <v>23</v>
      </c>
      <c r="B56" s="3" t="s">
        <v>24</v>
      </c>
      <c r="C56" s="3" t="s">
        <v>235</v>
      </c>
      <c r="D56" s="3" t="s">
        <v>200</v>
      </c>
      <c r="E56" s="3" t="s">
        <v>187</v>
      </c>
      <c r="F56" s="3" t="s">
        <v>189</v>
      </c>
      <c r="G56" s="3" t="s">
        <v>201</v>
      </c>
      <c r="H56" s="3" t="s">
        <v>28</v>
      </c>
      <c r="I56" s="3" t="s">
        <v>231</v>
      </c>
      <c r="J56" s="3" t="s">
        <v>232</v>
      </c>
      <c r="K56" s="3" t="s">
        <v>33</v>
      </c>
      <c r="L56" s="3" t="s">
        <v>51</v>
      </c>
      <c r="M56" s="3" t="s">
        <v>236</v>
      </c>
      <c r="N56" s="3" t="s">
        <v>237</v>
      </c>
      <c r="O56" s="3" t="s">
        <v>197</v>
      </c>
      <c r="P56" s="3" t="s">
        <v>198</v>
      </c>
      <c r="Q56" s="3" t="s">
        <v>39</v>
      </c>
      <c r="R56" s="3" t="s">
        <v>40</v>
      </c>
      <c r="S56" s="55">
        <v>179288</v>
      </c>
      <c r="T56" s="55">
        <v>0</v>
      </c>
      <c r="U56" s="55">
        <v>0</v>
      </c>
      <c r="V56" s="55">
        <v>179288</v>
      </c>
      <c r="W56" s="3">
        <v>0</v>
      </c>
    </row>
    <row r="57" spans="1:23" x14ac:dyDescent="0.35">
      <c r="A57" s="3" t="s">
        <v>23</v>
      </c>
      <c r="B57" s="3" t="s">
        <v>24</v>
      </c>
      <c r="C57" s="3" t="s">
        <v>238</v>
      </c>
      <c r="D57" s="3" t="s">
        <v>239</v>
      </c>
      <c r="E57" s="3" t="s">
        <v>187</v>
      </c>
      <c r="F57" s="3" t="s">
        <v>28</v>
      </c>
      <c r="G57" s="3" t="s">
        <v>240</v>
      </c>
      <c r="H57" s="3" t="s">
        <v>189</v>
      </c>
      <c r="I57" s="3" t="s">
        <v>190</v>
      </c>
      <c r="J57" s="3" t="s">
        <v>191</v>
      </c>
      <c r="K57" s="3" t="s">
        <v>33</v>
      </c>
      <c r="L57" s="3" t="s">
        <v>51</v>
      </c>
      <c r="M57" s="3" t="s">
        <v>241</v>
      </c>
      <c r="N57" s="3" t="s">
        <v>242</v>
      </c>
      <c r="O57" s="3" t="s">
        <v>108</v>
      </c>
      <c r="P57" s="3" t="s">
        <v>109</v>
      </c>
      <c r="Q57" s="3" t="s">
        <v>39</v>
      </c>
      <c r="R57" s="3" t="s">
        <v>40</v>
      </c>
      <c r="S57" s="55">
        <v>253526.6</v>
      </c>
      <c r="T57" s="55">
        <v>16619.287400000001</v>
      </c>
      <c r="U57" s="55">
        <v>16619.287400000001</v>
      </c>
      <c r="V57" s="55">
        <v>236907.3126</v>
      </c>
      <c r="W57" s="3">
        <v>7</v>
      </c>
    </row>
    <row r="58" spans="1:23" x14ac:dyDescent="0.35">
      <c r="A58" s="3" t="s">
        <v>23</v>
      </c>
      <c r="B58" s="3" t="s">
        <v>24</v>
      </c>
      <c r="C58" s="3" t="s">
        <v>520</v>
      </c>
      <c r="D58" s="3" t="s">
        <v>239</v>
      </c>
      <c r="E58" s="3" t="s">
        <v>187</v>
      </c>
      <c r="F58" s="3" t="s">
        <v>28</v>
      </c>
      <c r="G58" s="3" t="s">
        <v>240</v>
      </c>
      <c r="H58" s="3" t="s">
        <v>189</v>
      </c>
      <c r="I58" s="3" t="s">
        <v>190</v>
      </c>
      <c r="J58" s="3" t="s">
        <v>191</v>
      </c>
      <c r="K58" s="3" t="s">
        <v>33</v>
      </c>
      <c r="L58" s="3" t="s">
        <v>51</v>
      </c>
      <c r="M58" s="3" t="s">
        <v>521</v>
      </c>
      <c r="N58" s="3" t="s">
        <v>522</v>
      </c>
      <c r="O58" s="3" t="s">
        <v>523</v>
      </c>
      <c r="P58" s="3" t="s">
        <v>524</v>
      </c>
      <c r="Q58" s="3" t="s">
        <v>39</v>
      </c>
      <c r="R58" s="3" t="s">
        <v>40</v>
      </c>
      <c r="S58" s="55">
        <v>100</v>
      </c>
      <c r="T58" s="55">
        <v>0</v>
      </c>
      <c r="U58" s="55">
        <v>0</v>
      </c>
      <c r="V58" s="55">
        <v>100</v>
      </c>
      <c r="W58" s="3">
        <v>0</v>
      </c>
    </row>
    <row r="59" spans="1:23" x14ac:dyDescent="0.35">
      <c r="A59" s="3" t="s">
        <v>23</v>
      </c>
      <c r="B59" s="3" t="s">
        <v>24</v>
      </c>
      <c r="C59" s="3" t="s">
        <v>525</v>
      </c>
      <c r="D59" s="3" t="s">
        <v>526</v>
      </c>
      <c r="E59" s="3" t="s">
        <v>187</v>
      </c>
      <c r="F59" s="3" t="s">
        <v>176</v>
      </c>
      <c r="G59" s="3" t="s">
        <v>527</v>
      </c>
      <c r="H59" s="3" t="s">
        <v>189</v>
      </c>
      <c r="I59" s="3" t="s">
        <v>190</v>
      </c>
      <c r="J59" s="3" t="s">
        <v>191</v>
      </c>
      <c r="K59" s="3" t="s">
        <v>33</v>
      </c>
      <c r="L59" s="3" t="s">
        <v>51</v>
      </c>
      <c r="M59" s="3" t="s">
        <v>528</v>
      </c>
      <c r="N59" s="3" t="s">
        <v>529</v>
      </c>
      <c r="O59" s="3" t="s">
        <v>197</v>
      </c>
      <c r="P59" s="3" t="s">
        <v>198</v>
      </c>
      <c r="Q59" s="3" t="s">
        <v>39</v>
      </c>
      <c r="R59" s="3" t="s">
        <v>40</v>
      </c>
      <c r="S59" s="55">
        <v>1003.3</v>
      </c>
      <c r="T59" s="55">
        <v>0</v>
      </c>
      <c r="U59" s="55">
        <v>0</v>
      </c>
      <c r="V59" s="55">
        <v>1003.3</v>
      </c>
      <c r="W59" s="3">
        <v>0</v>
      </c>
    </row>
    <row r="60" spans="1:23" x14ac:dyDescent="0.35">
      <c r="A60" s="3" t="s">
        <v>23</v>
      </c>
      <c r="B60" s="3" t="s">
        <v>24</v>
      </c>
      <c r="C60" s="3" t="s">
        <v>243</v>
      </c>
      <c r="D60" s="3" t="s">
        <v>244</v>
      </c>
      <c r="E60" s="3" t="s">
        <v>187</v>
      </c>
      <c r="F60" s="3" t="s">
        <v>245</v>
      </c>
      <c r="G60" s="3" t="s">
        <v>246</v>
      </c>
      <c r="H60" s="3" t="s">
        <v>66</v>
      </c>
      <c r="I60" s="3" t="s">
        <v>67</v>
      </c>
      <c r="J60" s="3" t="s">
        <v>68</v>
      </c>
      <c r="K60" s="3" t="s">
        <v>33</v>
      </c>
      <c r="L60" s="3" t="s">
        <v>51</v>
      </c>
      <c r="M60" s="3" t="s">
        <v>247</v>
      </c>
      <c r="N60" s="3" t="s">
        <v>248</v>
      </c>
      <c r="O60" s="3" t="s">
        <v>108</v>
      </c>
      <c r="P60" s="3" t="s">
        <v>109</v>
      </c>
      <c r="Q60" s="3" t="s">
        <v>39</v>
      </c>
      <c r="R60" s="3" t="s">
        <v>40</v>
      </c>
      <c r="S60" s="55">
        <v>224582.9</v>
      </c>
      <c r="T60" s="55">
        <v>4308.8928999999998</v>
      </c>
      <c r="U60" s="55">
        <v>4308.8928999999998</v>
      </c>
      <c r="V60" s="55">
        <v>220274.00709999999</v>
      </c>
      <c r="W60" s="3">
        <v>2</v>
      </c>
    </row>
    <row r="61" spans="1:23" x14ac:dyDescent="0.35">
      <c r="A61" s="3" t="s">
        <v>23</v>
      </c>
      <c r="B61" s="3" t="s">
        <v>24</v>
      </c>
      <c r="C61" s="3" t="s">
        <v>249</v>
      </c>
      <c r="D61" s="3" t="s">
        <v>244</v>
      </c>
      <c r="E61" s="3" t="s">
        <v>187</v>
      </c>
      <c r="F61" s="3" t="s">
        <v>245</v>
      </c>
      <c r="G61" s="3" t="s">
        <v>246</v>
      </c>
      <c r="H61" s="3" t="s">
        <v>66</v>
      </c>
      <c r="I61" s="3" t="s">
        <v>67</v>
      </c>
      <c r="J61" s="3" t="s">
        <v>68</v>
      </c>
      <c r="K61" s="3" t="s">
        <v>33</v>
      </c>
      <c r="L61" s="3" t="s">
        <v>51</v>
      </c>
      <c r="M61" s="3" t="s">
        <v>250</v>
      </c>
      <c r="N61" s="3" t="s">
        <v>251</v>
      </c>
      <c r="O61" s="3" t="s">
        <v>197</v>
      </c>
      <c r="P61" s="3" t="s">
        <v>198</v>
      </c>
      <c r="Q61" s="3" t="s">
        <v>39</v>
      </c>
      <c r="R61" s="3" t="s">
        <v>40</v>
      </c>
      <c r="S61" s="55">
        <v>9320.5</v>
      </c>
      <c r="T61" s="55">
        <v>0</v>
      </c>
      <c r="U61" s="55">
        <v>0</v>
      </c>
      <c r="V61" s="55">
        <v>9320.5</v>
      </c>
      <c r="W61" s="3">
        <v>0</v>
      </c>
    </row>
    <row r="62" spans="1:23" x14ac:dyDescent="0.35">
      <c r="A62" s="3" t="s">
        <v>23</v>
      </c>
      <c r="B62" s="3" t="s">
        <v>24</v>
      </c>
      <c r="C62" s="3" t="s">
        <v>252</v>
      </c>
      <c r="D62" s="3" t="s">
        <v>244</v>
      </c>
      <c r="E62" s="3" t="s">
        <v>187</v>
      </c>
      <c r="F62" s="3" t="s">
        <v>245</v>
      </c>
      <c r="G62" s="3" t="s">
        <v>246</v>
      </c>
      <c r="H62" s="3" t="s">
        <v>66</v>
      </c>
      <c r="I62" s="3" t="s">
        <v>67</v>
      </c>
      <c r="J62" s="3" t="s">
        <v>68</v>
      </c>
      <c r="K62" s="3" t="s">
        <v>33</v>
      </c>
      <c r="L62" s="3" t="s">
        <v>51</v>
      </c>
      <c r="M62" s="3" t="s">
        <v>253</v>
      </c>
      <c r="N62" s="3" t="s">
        <v>254</v>
      </c>
      <c r="O62" s="3" t="s">
        <v>197</v>
      </c>
      <c r="P62" s="3" t="s">
        <v>198</v>
      </c>
      <c r="Q62" s="3" t="s">
        <v>39</v>
      </c>
      <c r="R62" s="3" t="s">
        <v>40</v>
      </c>
      <c r="S62" s="55">
        <v>1648.3</v>
      </c>
      <c r="T62" s="55">
        <v>0</v>
      </c>
      <c r="U62" s="55">
        <v>0</v>
      </c>
      <c r="V62" s="55">
        <v>1648.3</v>
      </c>
      <c r="W62" s="3">
        <v>0</v>
      </c>
    </row>
    <row r="63" spans="1:23" x14ac:dyDescent="0.35">
      <c r="A63" s="3" t="s">
        <v>23</v>
      </c>
      <c r="B63" s="3" t="s">
        <v>24</v>
      </c>
      <c r="C63" s="3" t="s">
        <v>255</v>
      </c>
      <c r="D63" s="3" t="s">
        <v>244</v>
      </c>
      <c r="E63" s="3" t="s">
        <v>187</v>
      </c>
      <c r="F63" s="3" t="s">
        <v>245</v>
      </c>
      <c r="G63" s="3" t="s">
        <v>246</v>
      </c>
      <c r="H63" s="3" t="s">
        <v>66</v>
      </c>
      <c r="I63" s="3" t="s">
        <v>67</v>
      </c>
      <c r="J63" s="3" t="s">
        <v>68</v>
      </c>
      <c r="K63" s="3" t="s">
        <v>33</v>
      </c>
      <c r="L63" s="3" t="s">
        <v>51</v>
      </c>
      <c r="M63" s="3" t="s">
        <v>256</v>
      </c>
      <c r="N63" s="3" t="s">
        <v>257</v>
      </c>
      <c r="O63" s="3" t="s">
        <v>197</v>
      </c>
      <c r="P63" s="3" t="s">
        <v>198</v>
      </c>
      <c r="Q63" s="3" t="s">
        <v>39</v>
      </c>
      <c r="R63" s="3" t="s">
        <v>40</v>
      </c>
      <c r="S63" s="55">
        <v>12658.4</v>
      </c>
      <c r="T63" s="55">
        <v>0</v>
      </c>
      <c r="U63" s="55">
        <v>0</v>
      </c>
      <c r="V63" s="55">
        <v>12658.4</v>
      </c>
      <c r="W63" s="3">
        <v>0</v>
      </c>
    </row>
    <row r="64" spans="1:23" x14ac:dyDescent="0.35">
      <c r="A64" s="3" t="s">
        <v>23</v>
      </c>
      <c r="B64" s="3" t="s">
        <v>24</v>
      </c>
      <c r="C64" s="3" t="s">
        <v>263</v>
      </c>
      <c r="D64" s="3" t="s">
        <v>259</v>
      </c>
      <c r="E64" s="3" t="s">
        <v>187</v>
      </c>
      <c r="F64" s="3" t="s">
        <v>116</v>
      </c>
      <c r="G64" s="3" t="s">
        <v>260</v>
      </c>
      <c r="H64" s="3" t="s">
        <v>189</v>
      </c>
      <c r="I64" s="3" t="s">
        <v>190</v>
      </c>
      <c r="J64" s="3" t="s">
        <v>191</v>
      </c>
      <c r="K64" s="3" t="s">
        <v>33</v>
      </c>
      <c r="L64" s="3" t="s">
        <v>51</v>
      </c>
      <c r="M64" s="3" t="s">
        <v>264</v>
      </c>
      <c r="N64" s="3" t="s">
        <v>265</v>
      </c>
      <c r="O64" s="3" t="s">
        <v>197</v>
      </c>
      <c r="P64" s="3" t="s">
        <v>198</v>
      </c>
      <c r="Q64" s="3" t="s">
        <v>39</v>
      </c>
      <c r="R64" s="3" t="s">
        <v>40</v>
      </c>
      <c r="S64" s="55">
        <v>1642.6</v>
      </c>
      <c r="T64" s="55">
        <v>0</v>
      </c>
      <c r="U64" s="55">
        <v>0</v>
      </c>
      <c r="V64" s="55">
        <v>1642.6</v>
      </c>
      <c r="W64" s="3">
        <v>0</v>
      </c>
    </row>
    <row r="65" spans="1:23" x14ac:dyDescent="0.35">
      <c r="A65" s="3" t="s">
        <v>23</v>
      </c>
      <c r="B65" s="3" t="s">
        <v>24</v>
      </c>
      <c r="C65" s="3" t="s">
        <v>266</v>
      </c>
      <c r="D65" s="3" t="s">
        <v>259</v>
      </c>
      <c r="E65" s="3" t="s">
        <v>187</v>
      </c>
      <c r="F65" s="3" t="s">
        <v>116</v>
      </c>
      <c r="G65" s="3" t="s">
        <v>260</v>
      </c>
      <c r="H65" s="3" t="s">
        <v>189</v>
      </c>
      <c r="I65" s="3" t="s">
        <v>190</v>
      </c>
      <c r="J65" s="3" t="s">
        <v>191</v>
      </c>
      <c r="K65" s="3" t="s">
        <v>33</v>
      </c>
      <c r="L65" s="3" t="s">
        <v>51</v>
      </c>
      <c r="M65" s="3" t="s">
        <v>267</v>
      </c>
      <c r="N65" s="3" t="s">
        <v>268</v>
      </c>
      <c r="O65" s="3" t="s">
        <v>37</v>
      </c>
      <c r="P65" s="3" t="s">
        <v>38</v>
      </c>
      <c r="Q65" s="3" t="s">
        <v>39</v>
      </c>
      <c r="R65" s="3" t="s">
        <v>40</v>
      </c>
      <c r="S65" s="55">
        <v>92351.4</v>
      </c>
      <c r="T65" s="55">
        <v>0</v>
      </c>
      <c r="U65" s="55">
        <v>0</v>
      </c>
      <c r="V65" s="55">
        <v>92351.4</v>
      </c>
      <c r="W65" s="3">
        <v>0</v>
      </c>
    </row>
    <row r="66" spans="1:23" x14ac:dyDescent="0.35">
      <c r="A66" s="3" t="s">
        <v>23</v>
      </c>
      <c r="B66" s="3" t="s">
        <v>24</v>
      </c>
      <c r="C66" s="3" t="s">
        <v>269</v>
      </c>
      <c r="D66" s="3" t="s">
        <v>259</v>
      </c>
      <c r="E66" s="3" t="s">
        <v>187</v>
      </c>
      <c r="F66" s="3" t="s">
        <v>116</v>
      </c>
      <c r="G66" s="3" t="s">
        <v>260</v>
      </c>
      <c r="H66" s="3" t="s">
        <v>189</v>
      </c>
      <c r="I66" s="3" t="s">
        <v>190</v>
      </c>
      <c r="J66" s="3" t="s">
        <v>191</v>
      </c>
      <c r="K66" s="3" t="s">
        <v>33</v>
      </c>
      <c r="L66" s="3" t="s">
        <v>51</v>
      </c>
      <c r="M66" s="3" t="s">
        <v>267</v>
      </c>
      <c r="N66" s="3" t="s">
        <v>268</v>
      </c>
      <c r="O66" s="3" t="s">
        <v>197</v>
      </c>
      <c r="P66" s="3" t="s">
        <v>198</v>
      </c>
      <c r="Q66" s="3" t="s">
        <v>39</v>
      </c>
      <c r="R66" s="3" t="s">
        <v>40</v>
      </c>
      <c r="S66" s="55">
        <v>14681.8</v>
      </c>
      <c r="T66" s="55">
        <v>0</v>
      </c>
      <c r="U66" s="55">
        <v>0</v>
      </c>
      <c r="V66" s="55">
        <v>14681.8</v>
      </c>
      <c r="W66" s="3">
        <v>0</v>
      </c>
    </row>
    <row r="67" spans="1:23" x14ac:dyDescent="0.35">
      <c r="A67" s="3" t="s">
        <v>23</v>
      </c>
      <c r="B67" s="3" t="s">
        <v>24</v>
      </c>
      <c r="C67" s="3" t="s">
        <v>270</v>
      </c>
      <c r="D67" s="3" t="s">
        <v>259</v>
      </c>
      <c r="E67" s="3" t="s">
        <v>187</v>
      </c>
      <c r="F67" s="3" t="s">
        <v>116</v>
      </c>
      <c r="G67" s="3" t="s">
        <v>260</v>
      </c>
      <c r="H67" s="3" t="s">
        <v>189</v>
      </c>
      <c r="I67" s="3" t="s">
        <v>190</v>
      </c>
      <c r="J67" s="3" t="s">
        <v>191</v>
      </c>
      <c r="K67" s="3" t="s">
        <v>33</v>
      </c>
      <c r="L67" s="3" t="s">
        <v>51</v>
      </c>
      <c r="M67" s="3" t="s">
        <v>271</v>
      </c>
      <c r="N67" s="3" t="s">
        <v>272</v>
      </c>
      <c r="O67" s="3" t="s">
        <v>108</v>
      </c>
      <c r="P67" s="3" t="s">
        <v>109</v>
      </c>
      <c r="Q67" s="3" t="s">
        <v>39</v>
      </c>
      <c r="R67" s="3" t="s">
        <v>40</v>
      </c>
      <c r="S67" s="55">
        <v>43320.4</v>
      </c>
      <c r="T67" s="55">
        <v>2271.9958999999999</v>
      </c>
      <c r="U67" s="55">
        <v>2271.9958999999999</v>
      </c>
      <c r="V67" s="55">
        <v>41048.4041</v>
      </c>
      <c r="W67" s="3">
        <v>5</v>
      </c>
    </row>
    <row r="68" spans="1:23" x14ac:dyDescent="0.35">
      <c r="A68" s="3" t="s">
        <v>23</v>
      </c>
      <c r="B68" s="3" t="s">
        <v>24</v>
      </c>
      <c r="C68" s="3" t="s">
        <v>273</v>
      </c>
      <c r="D68" s="3" t="s">
        <v>259</v>
      </c>
      <c r="E68" s="3" t="s">
        <v>187</v>
      </c>
      <c r="F68" s="3" t="s">
        <v>116</v>
      </c>
      <c r="G68" s="3" t="s">
        <v>260</v>
      </c>
      <c r="H68" s="3" t="s">
        <v>189</v>
      </c>
      <c r="I68" s="3" t="s">
        <v>190</v>
      </c>
      <c r="J68" s="3" t="s">
        <v>191</v>
      </c>
      <c r="K68" s="3" t="s">
        <v>33</v>
      </c>
      <c r="L68" s="3" t="s">
        <v>51</v>
      </c>
      <c r="M68" s="3" t="s">
        <v>274</v>
      </c>
      <c r="N68" s="3" t="s">
        <v>275</v>
      </c>
      <c r="O68" s="3" t="s">
        <v>108</v>
      </c>
      <c r="P68" s="3" t="s">
        <v>109</v>
      </c>
      <c r="Q68" s="3" t="s">
        <v>39</v>
      </c>
      <c r="R68" s="3" t="s">
        <v>40</v>
      </c>
      <c r="S68" s="55">
        <v>59928.7</v>
      </c>
      <c r="T68" s="55">
        <v>3974.2087999999999</v>
      </c>
      <c r="U68" s="55">
        <v>3974.2087999999999</v>
      </c>
      <c r="V68" s="55">
        <v>55954.491199999997</v>
      </c>
      <c r="W68" s="3">
        <v>7</v>
      </c>
    </row>
    <row r="69" spans="1:23" x14ac:dyDescent="0.35">
      <c r="A69" s="3" t="s">
        <v>23</v>
      </c>
      <c r="B69" s="3" t="s">
        <v>24</v>
      </c>
      <c r="C69" s="3" t="s">
        <v>530</v>
      </c>
      <c r="D69" s="3" t="s">
        <v>259</v>
      </c>
      <c r="E69" s="3" t="s">
        <v>187</v>
      </c>
      <c r="F69" s="3" t="s">
        <v>116</v>
      </c>
      <c r="G69" s="3" t="s">
        <v>260</v>
      </c>
      <c r="H69" s="3" t="s">
        <v>189</v>
      </c>
      <c r="I69" s="3" t="s">
        <v>190</v>
      </c>
      <c r="J69" s="3" t="s">
        <v>191</v>
      </c>
      <c r="K69" s="3" t="s">
        <v>33</v>
      </c>
      <c r="L69" s="3" t="s">
        <v>51</v>
      </c>
      <c r="M69" s="3" t="s">
        <v>531</v>
      </c>
      <c r="N69" s="3" t="s">
        <v>532</v>
      </c>
      <c r="O69" s="3" t="s">
        <v>197</v>
      </c>
      <c r="P69" s="3" t="s">
        <v>198</v>
      </c>
      <c r="Q69" s="3" t="s">
        <v>39</v>
      </c>
      <c r="R69" s="3" t="s">
        <v>40</v>
      </c>
      <c r="S69" s="55">
        <v>7028.9</v>
      </c>
      <c r="T69" s="55">
        <v>0</v>
      </c>
      <c r="U69" s="55">
        <v>0</v>
      </c>
      <c r="V69" s="55">
        <v>7028.9</v>
      </c>
      <c r="W69" s="3">
        <v>0</v>
      </c>
    </row>
    <row r="70" spans="1:23" x14ac:dyDescent="0.35">
      <c r="A70" s="3" t="s">
        <v>23</v>
      </c>
      <c r="B70" s="3" t="s">
        <v>24</v>
      </c>
      <c r="C70" s="3" t="s">
        <v>276</v>
      </c>
      <c r="D70" s="3" t="s">
        <v>259</v>
      </c>
      <c r="E70" s="3" t="s">
        <v>187</v>
      </c>
      <c r="F70" s="3" t="s">
        <v>116</v>
      </c>
      <c r="G70" s="3" t="s">
        <v>260</v>
      </c>
      <c r="H70" s="3" t="s">
        <v>189</v>
      </c>
      <c r="I70" s="3" t="s">
        <v>190</v>
      </c>
      <c r="J70" s="3" t="s">
        <v>191</v>
      </c>
      <c r="K70" s="3" t="s">
        <v>33</v>
      </c>
      <c r="L70" s="3" t="s">
        <v>51</v>
      </c>
      <c r="M70" s="3" t="s">
        <v>277</v>
      </c>
      <c r="N70" s="3" t="s">
        <v>533</v>
      </c>
      <c r="O70" s="3" t="s">
        <v>197</v>
      </c>
      <c r="P70" s="3" t="s">
        <v>198</v>
      </c>
      <c r="Q70" s="3" t="s">
        <v>39</v>
      </c>
      <c r="R70" s="3" t="s">
        <v>40</v>
      </c>
      <c r="S70" s="55">
        <v>44012.1</v>
      </c>
      <c r="T70" s="55">
        <v>0</v>
      </c>
      <c r="U70" s="55">
        <v>0</v>
      </c>
      <c r="V70" s="55">
        <v>44012.1</v>
      </c>
      <c r="W70" s="3">
        <v>0</v>
      </c>
    </row>
    <row r="71" spans="1:23" x14ac:dyDescent="0.35">
      <c r="A71" s="3" t="s">
        <v>23</v>
      </c>
      <c r="B71" s="3" t="s">
        <v>24</v>
      </c>
      <c r="C71" s="3" t="s">
        <v>282</v>
      </c>
      <c r="D71" s="3" t="s">
        <v>259</v>
      </c>
      <c r="E71" s="3" t="s">
        <v>187</v>
      </c>
      <c r="F71" s="3" t="s">
        <v>116</v>
      </c>
      <c r="G71" s="3" t="s">
        <v>260</v>
      </c>
      <c r="H71" s="3" t="s">
        <v>66</v>
      </c>
      <c r="I71" s="3" t="s">
        <v>67</v>
      </c>
      <c r="J71" s="3" t="s">
        <v>68</v>
      </c>
      <c r="K71" s="3" t="s">
        <v>33</v>
      </c>
      <c r="L71" s="3" t="s">
        <v>51</v>
      </c>
      <c r="M71" s="3" t="s">
        <v>283</v>
      </c>
      <c r="N71" s="3" t="s">
        <v>284</v>
      </c>
      <c r="O71" s="3" t="s">
        <v>197</v>
      </c>
      <c r="P71" s="3" t="s">
        <v>198</v>
      </c>
      <c r="Q71" s="3" t="s">
        <v>39</v>
      </c>
      <c r="R71" s="3" t="s">
        <v>40</v>
      </c>
      <c r="S71" s="55">
        <v>500</v>
      </c>
      <c r="T71" s="55">
        <v>0</v>
      </c>
      <c r="U71" s="55">
        <v>0</v>
      </c>
      <c r="V71" s="55">
        <v>500</v>
      </c>
      <c r="W71" s="3">
        <v>0</v>
      </c>
    </row>
    <row r="72" spans="1:23" x14ac:dyDescent="0.35">
      <c r="A72" s="3" t="s">
        <v>23</v>
      </c>
      <c r="B72" s="3" t="s">
        <v>24</v>
      </c>
      <c r="C72" s="3" t="s">
        <v>289</v>
      </c>
      <c r="D72" s="3" t="s">
        <v>290</v>
      </c>
      <c r="E72" s="3" t="s">
        <v>291</v>
      </c>
      <c r="F72" s="3" t="s">
        <v>146</v>
      </c>
      <c r="G72" s="3" t="s">
        <v>534</v>
      </c>
      <c r="H72" s="3" t="s">
        <v>293</v>
      </c>
      <c r="I72" s="3" t="s">
        <v>294</v>
      </c>
      <c r="J72" s="3" t="s">
        <v>295</v>
      </c>
      <c r="K72" s="3" t="s">
        <v>33</v>
      </c>
      <c r="L72" s="3" t="s">
        <v>51</v>
      </c>
      <c r="M72" s="3" t="s">
        <v>296</v>
      </c>
      <c r="N72" s="3" t="s">
        <v>535</v>
      </c>
      <c r="O72" s="3" t="s">
        <v>108</v>
      </c>
      <c r="P72" s="3" t="s">
        <v>109</v>
      </c>
      <c r="Q72" s="3" t="s">
        <v>39</v>
      </c>
      <c r="R72" s="3" t="s">
        <v>40</v>
      </c>
      <c r="S72" s="55">
        <v>232056</v>
      </c>
      <c r="T72" s="55">
        <v>14035.1014</v>
      </c>
      <c r="U72" s="55">
        <v>14035.1014</v>
      </c>
      <c r="V72" s="55">
        <v>218020.89859999999</v>
      </c>
      <c r="W72" s="3">
        <v>6</v>
      </c>
    </row>
    <row r="73" spans="1:23" x14ac:dyDescent="0.35">
      <c r="A73" s="3" t="s">
        <v>23</v>
      </c>
      <c r="B73" s="3" t="s">
        <v>24</v>
      </c>
      <c r="C73" s="3" t="s">
        <v>298</v>
      </c>
      <c r="D73" s="3" t="s">
        <v>290</v>
      </c>
      <c r="E73" s="3" t="s">
        <v>291</v>
      </c>
      <c r="F73" s="3" t="s">
        <v>146</v>
      </c>
      <c r="G73" s="3" t="s">
        <v>534</v>
      </c>
      <c r="H73" s="3" t="s">
        <v>293</v>
      </c>
      <c r="I73" s="3" t="s">
        <v>294</v>
      </c>
      <c r="J73" s="3" t="s">
        <v>295</v>
      </c>
      <c r="K73" s="3" t="s">
        <v>33</v>
      </c>
      <c r="L73" s="3" t="s">
        <v>51</v>
      </c>
      <c r="M73" s="3" t="s">
        <v>299</v>
      </c>
      <c r="N73" s="3" t="s">
        <v>536</v>
      </c>
      <c r="O73" s="3" t="s">
        <v>108</v>
      </c>
      <c r="P73" s="3" t="s">
        <v>109</v>
      </c>
      <c r="Q73" s="3" t="s">
        <v>39</v>
      </c>
      <c r="R73" s="3" t="s">
        <v>40</v>
      </c>
      <c r="S73" s="55">
        <v>86322.7</v>
      </c>
      <c r="T73" s="55">
        <v>2615.4566</v>
      </c>
      <c r="U73" s="55">
        <v>2615.4566</v>
      </c>
      <c r="V73" s="55">
        <v>83707.243400000007</v>
      </c>
      <c r="W73" s="3">
        <v>3</v>
      </c>
    </row>
    <row r="74" spans="1:23" x14ac:dyDescent="0.35">
      <c r="A74" s="3" t="s">
        <v>23</v>
      </c>
      <c r="B74" s="3" t="s">
        <v>24</v>
      </c>
      <c r="C74" s="3" t="s">
        <v>301</v>
      </c>
      <c r="D74" s="3" t="s">
        <v>290</v>
      </c>
      <c r="E74" s="3" t="s">
        <v>291</v>
      </c>
      <c r="F74" s="3" t="s">
        <v>146</v>
      </c>
      <c r="G74" s="3" t="s">
        <v>534</v>
      </c>
      <c r="H74" s="3" t="s">
        <v>293</v>
      </c>
      <c r="I74" s="3" t="s">
        <v>294</v>
      </c>
      <c r="J74" s="3" t="s">
        <v>295</v>
      </c>
      <c r="K74" s="3" t="s">
        <v>33</v>
      </c>
      <c r="L74" s="3" t="s">
        <v>51</v>
      </c>
      <c r="M74" s="3" t="s">
        <v>302</v>
      </c>
      <c r="N74" s="3" t="s">
        <v>537</v>
      </c>
      <c r="O74" s="3" t="s">
        <v>108</v>
      </c>
      <c r="P74" s="3" t="s">
        <v>109</v>
      </c>
      <c r="Q74" s="3" t="s">
        <v>39</v>
      </c>
      <c r="R74" s="3" t="s">
        <v>40</v>
      </c>
      <c r="S74" s="55">
        <v>192328.9</v>
      </c>
      <c r="T74" s="55">
        <v>9413.7749000000003</v>
      </c>
      <c r="U74" s="55">
        <v>9413.7749000000003</v>
      </c>
      <c r="V74" s="55">
        <v>182915.1251</v>
      </c>
      <c r="W74" s="3">
        <v>5</v>
      </c>
    </row>
    <row r="75" spans="1:23" x14ac:dyDescent="0.35">
      <c r="A75" s="3" t="s">
        <v>23</v>
      </c>
      <c r="B75" s="3" t="s">
        <v>24</v>
      </c>
      <c r="C75" s="3" t="s">
        <v>304</v>
      </c>
      <c r="D75" s="3" t="s">
        <v>290</v>
      </c>
      <c r="E75" s="3" t="s">
        <v>291</v>
      </c>
      <c r="F75" s="3" t="s">
        <v>146</v>
      </c>
      <c r="G75" s="3" t="s">
        <v>534</v>
      </c>
      <c r="H75" s="3" t="s">
        <v>293</v>
      </c>
      <c r="I75" s="3" t="s">
        <v>294</v>
      </c>
      <c r="J75" s="3" t="s">
        <v>295</v>
      </c>
      <c r="K75" s="3" t="s">
        <v>33</v>
      </c>
      <c r="L75" s="3" t="s">
        <v>51</v>
      </c>
      <c r="M75" s="3" t="s">
        <v>305</v>
      </c>
      <c r="N75" s="3" t="s">
        <v>538</v>
      </c>
      <c r="O75" s="3" t="s">
        <v>108</v>
      </c>
      <c r="P75" s="3" t="s">
        <v>109</v>
      </c>
      <c r="Q75" s="3" t="s">
        <v>39</v>
      </c>
      <c r="R75" s="3" t="s">
        <v>40</v>
      </c>
      <c r="S75" s="55">
        <v>73563</v>
      </c>
      <c r="T75" s="55">
        <v>3380.136</v>
      </c>
      <c r="U75" s="55">
        <v>3380.136</v>
      </c>
      <c r="V75" s="55">
        <v>70182.864000000001</v>
      </c>
      <c r="W75" s="3">
        <v>5</v>
      </c>
    </row>
    <row r="76" spans="1:23" x14ac:dyDescent="0.35">
      <c r="A76" s="3" t="s">
        <v>23</v>
      </c>
      <c r="B76" s="3" t="s">
        <v>24</v>
      </c>
      <c r="C76" s="3" t="s">
        <v>307</v>
      </c>
      <c r="D76" s="3" t="s">
        <v>290</v>
      </c>
      <c r="E76" s="3" t="s">
        <v>291</v>
      </c>
      <c r="F76" s="3" t="s">
        <v>146</v>
      </c>
      <c r="G76" s="3" t="s">
        <v>534</v>
      </c>
      <c r="H76" s="3" t="s">
        <v>293</v>
      </c>
      <c r="I76" s="3" t="s">
        <v>294</v>
      </c>
      <c r="J76" s="3" t="s">
        <v>295</v>
      </c>
      <c r="K76" s="3" t="s">
        <v>33</v>
      </c>
      <c r="L76" s="3" t="s">
        <v>51</v>
      </c>
      <c r="M76" s="3" t="s">
        <v>308</v>
      </c>
      <c r="N76" s="3" t="s">
        <v>309</v>
      </c>
      <c r="O76" s="3" t="s">
        <v>37</v>
      </c>
      <c r="P76" s="3" t="s">
        <v>38</v>
      </c>
      <c r="Q76" s="3" t="s">
        <v>39</v>
      </c>
      <c r="R76" s="3" t="s">
        <v>40</v>
      </c>
      <c r="S76" s="55">
        <v>11510.7</v>
      </c>
      <c r="T76" s="55">
        <v>0</v>
      </c>
      <c r="U76" s="55">
        <v>0</v>
      </c>
      <c r="V76" s="55">
        <v>11510.7</v>
      </c>
      <c r="W76" s="3">
        <v>0</v>
      </c>
    </row>
    <row r="77" spans="1:23" x14ac:dyDescent="0.35">
      <c r="A77" s="3" t="s">
        <v>23</v>
      </c>
      <c r="B77" s="3" t="s">
        <v>24</v>
      </c>
      <c r="C77" s="3" t="s">
        <v>310</v>
      </c>
      <c r="D77" s="3" t="s">
        <v>290</v>
      </c>
      <c r="E77" s="3" t="s">
        <v>291</v>
      </c>
      <c r="F77" s="3" t="s">
        <v>146</v>
      </c>
      <c r="G77" s="3" t="s">
        <v>534</v>
      </c>
      <c r="H77" s="3" t="s">
        <v>293</v>
      </c>
      <c r="I77" s="3" t="s">
        <v>294</v>
      </c>
      <c r="J77" s="3" t="s">
        <v>295</v>
      </c>
      <c r="K77" s="3" t="s">
        <v>33</v>
      </c>
      <c r="L77" s="3" t="s">
        <v>51</v>
      </c>
      <c r="M77" s="3" t="s">
        <v>311</v>
      </c>
      <c r="N77" s="3" t="s">
        <v>312</v>
      </c>
      <c r="O77" s="3" t="s">
        <v>197</v>
      </c>
      <c r="P77" s="3" t="s">
        <v>198</v>
      </c>
      <c r="Q77" s="3" t="s">
        <v>39</v>
      </c>
      <c r="R77" s="3" t="s">
        <v>40</v>
      </c>
      <c r="S77" s="55">
        <v>40101.9</v>
      </c>
      <c r="T77" s="55">
        <v>0</v>
      </c>
      <c r="U77" s="55">
        <v>0</v>
      </c>
      <c r="V77" s="55">
        <v>40101.9</v>
      </c>
      <c r="W77" s="3">
        <v>0</v>
      </c>
    </row>
    <row r="78" spans="1:23" x14ac:dyDescent="0.35">
      <c r="A78" s="3" t="s">
        <v>23</v>
      </c>
      <c r="B78" s="3" t="s">
        <v>24</v>
      </c>
      <c r="C78" s="3" t="s">
        <v>313</v>
      </c>
      <c r="D78" s="3" t="s">
        <v>290</v>
      </c>
      <c r="E78" s="3" t="s">
        <v>291</v>
      </c>
      <c r="F78" s="3" t="s">
        <v>146</v>
      </c>
      <c r="G78" s="3" t="s">
        <v>534</v>
      </c>
      <c r="H78" s="3" t="s">
        <v>293</v>
      </c>
      <c r="I78" s="3" t="s">
        <v>294</v>
      </c>
      <c r="J78" s="3" t="s">
        <v>295</v>
      </c>
      <c r="K78" s="3" t="s">
        <v>33</v>
      </c>
      <c r="L78" s="3" t="s">
        <v>51</v>
      </c>
      <c r="M78" s="3" t="s">
        <v>314</v>
      </c>
      <c r="N78" s="3" t="s">
        <v>315</v>
      </c>
      <c r="O78" s="3" t="s">
        <v>197</v>
      </c>
      <c r="P78" s="3" t="s">
        <v>198</v>
      </c>
      <c r="Q78" s="3" t="s">
        <v>39</v>
      </c>
      <c r="R78" s="3" t="s">
        <v>40</v>
      </c>
      <c r="S78" s="55">
        <v>712.6</v>
      </c>
      <c r="T78" s="55">
        <v>0</v>
      </c>
      <c r="U78" s="55">
        <v>0</v>
      </c>
      <c r="V78" s="55">
        <v>712.6</v>
      </c>
      <c r="W78" s="3">
        <v>0</v>
      </c>
    </row>
    <row r="79" spans="1:23" x14ac:dyDescent="0.35">
      <c r="A79" s="3" t="s">
        <v>23</v>
      </c>
      <c r="B79" s="3" t="s">
        <v>24</v>
      </c>
      <c r="C79" s="3" t="s">
        <v>539</v>
      </c>
      <c r="D79" s="3" t="s">
        <v>290</v>
      </c>
      <c r="E79" s="3" t="s">
        <v>291</v>
      </c>
      <c r="F79" s="3" t="s">
        <v>146</v>
      </c>
      <c r="G79" s="3" t="s">
        <v>534</v>
      </c>
      <c r="H79" s="3" t="s">
        <v>293</v>
      </c>
      <c r="I79" s="3" t="s">
        <v>294</v>
      </c>
      <c r="J79" s="3" t="s">
        <v>295</v>
      </c>
      <c r="K79" s="3" t="s">
        <v>33</v>
      </c>
      <c r="L79" s="3" t="s">
        <v>51</v>
      </c>
      <c r="M79" s="3" t="s">
        <v>540</v>
      </c>
      <c r="N79" s="3" t="s">
        <v>541</v>
      </c>
      <c r="O79" s="3" t="s">
        <v>197</v>
      </c>
      <c r="P79" s="3" t="s">
        <v>198</v>
      </c>
      <c r="Q79" s="3" t="s">
        <v>39</v>
      </c>
      <c r="R79" s="3" t="s">
        <v>40</v>
      </c>
      <c r="S79" s="55">
        <v>30745.7</v>
      </c>
      <c r="T79" s="55">
        <v>0</v>
      </c>
      <c r="U79" s="55">
        <v>0</v>
      </c>
      <c r="V79" s="55">
        <v>30745.7</v>
      </c>
      <c r="W79" s="3">
        <v>0</v>
      </c>
    </row>
    <row r="80" spans="1:23" x14ac:dyDescent="0.35">
      <c r="A80" s="3" t="s">
        <v>23</v>
      </c>
      <c r="B80" s="3" t="s">
        <v>24</v>
      </c>
      <c r="C80" s="3" t="s">
        <v>322</v>
      </c>
      <c r="D80" s="3" t="s">
        <v>317</v>
      </c>
      <c r="E80" s="3" t="s">
        <v>291</v>
      </c>
      <c r="F80" s="3" t="s">
        <v>318</v>
      </c>
      <c r="G80" s="3" t="s">
        <v>319</v>
      </c>
      <c r="H80" s="3" t="s">
        <v>293</v>
      </c>
      <c r="I80" s="3" t="s">
        <v>294</v>
      </c>
      <c r="J80" s="3" t="s">
        <v>295</v>
      </c>
      <c r="K80" s="3" t="s">
        <v>33</v>
      </c>
      <c r="L80" s="3" t="s">
        <v>51</v>
      </c>
      <c r="M80" s="3" t="s">
        <v>323</v>
      </c>
      <c r="N80" s="3" t="s">
        <v>324</v>
      </c>
      <c r="O80" s="3" t="s">
        <v>197</v>
      </c>
      <c r="P80" s="3" t="s">
        <v>198</v>
      </c>
      <c r="Q80" s="3" t="s">
        <v>39</v>
      </c>
      <c r="R80" s="3" t="s">
        <v>40</v>
      </c>
      <c r="S80" s="55">
        <v>12448.4</v>
      </c>
      <c r="T80" s="55">
        <v>0</v>
      </c>
      <c r="U80" s="55">
        <v>0</v>
      </c>
      <c r="V80" s="55">
        <v>12448.4</v>
      </c>
      <c r="W80" s="3">
        <v>0</v>
      </c>
    </row>
    <row r="81" spans="1:23" x14ac:dyDescent="0.35">
      <c r="A81" s="3" t="s">
        <v>23</v>
      </c>
      <c r="B81" s="3" t="s">
        <v>24</v>
      </c>
      <c r="C81" s="3" t="s">
        <v>325</v>
      </c>
      <c r="D81" s="3" t="s">
        <v>326</v>
      </c>
      <c r="E81" s="3" t="s">
        <v>327</v>
      </c>
      <c r="F81" s="3" t="s">
        <v>189</v>
      </c>
      <c r="G81" s="3" t="s">
        <v>328</v>
      </c>
      <c r="H81" s="3" t="s">
        <v>146</v>
      </c>
      <c r="I81" s="3" t="s">
        <v>329</v>
      </c>
      <c r="J81" s="3" t="s">
        <v>330</v>
      </c>
      <c r="K81" s="3" t="s">
        <v>33</v>
      </c>
      <c r="L81" s="3" t="s">
        <v>51</v>
      </c>
      <c r="M81" s="3" t="s">
        <v>331</v>
      </c>
      <c r="N81" s="3" t="s">
        <v>332</v>
      </c>
      <c r="O81" s="3" t="s">
        <v>108</v>
      </c>
      <c r="P81" s="3" t="s">
        <v>109</v>
      </c>
      <c r="Q81" s="3" t="s">
        <v>39</v>
      </c>
      <c r="R81" s="3" t="s">
        <v>40</v>
      </c>
      <c r="S81" s="55">
        <v>607335</v>
      </c>
      <c r="T81" s="55">
        <v>14496.9344</v>
      </c>
      <c r="U81" s="55">
        <v>14496.9344</v>
      </c>
      <c r="V81" s="55">
        <v>592838.06559999997</v>
      </c>
      <c r="W81" s="3">
        <v>2</v>
      </c>
    </row>
    <row r="82" spans="1:23" x14ac:dyDescent="0.35">
      <c r="A82" s="3" t="s">
        <v>23</v>
      </c>
      <c r="B82" s="3" t="s">
        <v>24</v>
      </c>
      <c r="C82" s="3" t="s">
        <v>333</v>
      </c>
      <c r="D82" s="3" t="s">
        <v>326</v>
      </c>
      <c r="E82" s="3" t="s">
        <v>327</v>
      </c>
      <c r="F82" s="3" t="s">
        <v>189</v>
      </c>
      <c r="G82" s="3" t="s">
        <v>328</v>
      </c>
      <c r="H82" s="3" t="s">
        <v>146</v>
      </c>
      <c r="I82" s="3" t="s">
        <v>329</v>
      </c>
      <c r="J82" s="3" t="s">
        <v>330</v>
      </c>
      <c r="K82" s="3" t="s">
        <v>33</v>
      </c>
      <c r="L82" s="3" t="s">
        <v>51</v>
      </c>
      <c r="M82" s="3" t="s">
        <v>331</v>
      </c>
      <c r="N82" s="3" t="s">
        <v>332</v>
      </c>
      <c r="O82" s="3" t="s">
        <v>334</v>
      </c>
      <c r="P82" s="3" t="s">
        <v>335</v>
      </c>
      <c r="Q82" s="3" t="s">
        <v>39</v>
      </c>
      <c r="R82" s="3" t="s">
        <v>40</v>
      </c>
      <c r="S82" s="55">
        <v>5154.6000000000004</v>
      </c>
      <c r="T82" s="55">
        <v>71.046499999999995</v>
      </c>
      <c r="U82" s="55">
        <v>71.046499999999995</v>
      </c>
      <c r="V82" s="55">
        <v>5083.5535</v>
      </c>
      <c r="W82" s="3">
        <v>1</v>
      </c>
    </row>
    <row r="83" spans="1:23" x14ac:dyDescent="0.35">
      <c r="A83" s="3" t="s">
        <v>23</v>
      </c>
      <c r="B83" s="3" t="s">
        <v>24</v>
      </c>
      <c r="C83" s="3" t="s">
        <v>542</v>
      </c>
      <c r="D83" s="3" t="s">
        <v>337</v>
      </c>
      <c r="E83" s="3" t="s">
        <v>327</v>
      </c>
      <c r="F83" s="3" t="s">
        <v>116</v>
      </c>
      <c r="G83" s="3" t="s">
        <v>338</v>
      </c>
      <c r="H83" s="3" t="s">
        <v>146</v>
      </c>
      <c r="I83" s="3" t="s">
        <v>329</v>
      </c>
      <c r="J83" s="3" t="s">
        <v>339</v>
      </c>
      <c r="K83" s="3" t="s">
        <v>23</v>
      </c>
      <c r="L83" s="3" t="s">
        <v>203</v>
      </c>
      <c r="M83" s="3" t="s">
        <v>543</v>
      </c>
      <c r="N83" s="3" t="s">
        <v>341</v>
      </c>
      <c r="O83" s="3" t="s">
        <v>197</v>
      </c>
      <c r="P83" s="3" t="s">
        <v>198</v>
      </c>
      <c r="Q83" s="3" t="s">
        <v>39</v>
      </c>
      <c r="R83" s="3" t="s">
        <v>40</v>
      </c>
      <c r="S83" s="55">
        <v>79182.8</v>
      </c>
      <c r="T83" s="55">
        <v>0</v>
      </c>
      <c r="U83" s="55">
        <v>0</v>
      </c>
      <c r="V83" s="55">
        <v>79182.8</v>
      </c>
      <c r="W83" s="3">
        <v>0</v>
      </c>
    </row>
    <row r="84" spans="1:23" x14ac:dyDescent="0.35">
      <c r="A84" s="3" t="s">
        <v>23</v>
      </c>
      <c r="B84" s="3" t="s">
        <v>24</v>
      </c>
      <c r="C84" s="3" t="s">
        <v>544</v>
      </c>
      <c r="D84" s="3" t="s">
        <v>337</v>
      </c>
      <c r="E84" s="3" t="s">
        <v>327</v>
      </c>
      <c r="F84" s="3" t="s">
        <v>116</v>
      </c>
      <c r="G84" s="3" t="s">
        <v>338</v>
      </c>
      <c r="H84" s="3" t="s">
        <v>146</v>
      </c>
      <c r="I84" s="3" t="s">
        <v>329</v>
      </c>
      <c r="J84" s="3" t="s">
        <v>339</v>
      </c>
      <c r="K84" s="3" t="s">
        <v>23</v>
      </c>
      <c r="L84" s="3" t="s">
        <v>203</v>
      </c>
      <c r="M84" s="3" t="s">
        <v>545</v>
      </c>
      <c r="N84" s="3" t="s">
        <v>359</v>
      </c>
      <c r="O84" s="3" t="s">
        <v>197</v>
      </c>
      <c r="P84" s="3" t="s">
        <v>198</v>
      </c>
      <c r="Q84" s="3" t="s">
        <v>39</v>
      </c>
      <c r="R84" s="3" t="s">
        <v>40</v>
      </c>
      <c r="S84" s="55">
        <v>50.1</v>
      </c>
      <c r="T84" s="55">
        <v>0</v>
      </c>
      <c r="U84" s="55">
        <v>0</v>
      </c>
      <c r="V84" s="55">
        <v>50.1</v>
      </c>
      <c r="W84" s="3">
        <v>0</v>
      </c>
    </row>
    <row r="85" spans="1:23" x14ac:dyDescent="0.35">
      <c r="A85" s="3" t="s">
        <v>23</v>
      </c>
      <c r="B85" s="3" t="s">
        <v>24</v>
      </c>
      <c r="C85" s="3" t="s">
        <v>437</v>
      </c>
      <c r="D85" s="3" t="s">
        <v>337</v>
      </c>
      <c r="E85" s="3" t="s">
        <v>327</v>
      </c>
      <c r="F85" s="3" t="s">
        <v>116</v>
      </c>
      <c r="G85" s="3" t="s">
        <v>338</v>
      </c>
      <c r="H85" s="3" t="s">
        <v>146</v>
      </c>
      <c r="I85" s="3" t="s">
        <v>329</v>
      </c>
      <c r="J85" s="3" t="s">
        <v>330</v>
      </c>
      <c r="K85" s="3" t="s">
        <v>33</v>
      </c>
      <c r="L85" s="3" t="s">
        <v>51</v>
      </c>
      <c r="M85" s="3" t="s">
        <v>438</v>
      </c>
      <c r="N85" s="3" t="s">
        <v>439</v>
      </c>
      <c r="O85" s="3" t="s">
        <v>197</v>
      </c>
      <c r="P85" s="3" t="s">
        <v>198</v>
      </c>
      <c r="Q85" s="3" t="s">
        <v>39</v>
      </c>
      <c r="R85" s="3" t="s">
        <v>40</v>
      </c>
      <c r="S85" s="55">
        <v>35585.699999999997</v>
      </c>
      <c r="T85" s="55">
        <v>0</v>
      </c>
      <c r="U85" s="55">
        <v>0</v>
      </c>
      <c r="V85" s="55">
        <v>35585.699999999997</v>
      </c>
      <c r="W85" s="3">
        <v>0</v>
      </c>
    </row>
    <row r="86" spans="1:23" x14ac:dyDescent="0.35">
      <c r="A86" s="3" t="s">
        <v>23</v>
      </c>
      <c r="B86" s="3" t="s">
        <v>24</v>
      </c>
      <c r="C86" s="3" t="s">
        <v>342</v>
      </c>
      <c r="D86" s="3" t="s">
        <v>337</v>
      </c>
      <c r="E86" s="3" t="s">
        <v>327</v>
      </c>
      <c r="F86" s="3" t="s">
        <v>116</v>
      </c>
      <c r="G86" s="3" t="s">
        <v>338</v>
      </c>
      <c r="H86" s="3" t="s">
        <v>146</v>
      </c>
      <c r="I86" s="3" t="s">
        <v>329</v>
      </c>
      <c r="J86" s="3" t="s">
        <v>330</v>
      </c>
      <c r="K86" s="3" t="s">
        <v>33</v>
      </c>
      <c r="L86" s="3" t="s">
        <v>51</v>
      </c>
      <c r="M86" s="3" t="s">
        <v>343</v>
      </c>
      <c r="N86" s="3" t="s">
        <v>344</v>
      </c>
      <c r="O86" s="3" t="s">
        <v>37</v>
      </c>
      <c r="P86" s="3" t="s">
        <v>38</v>
      </c>
      <c r="Q86" s="3" t="s">
        <v>39</v>
      </c>
      <c r="R86" s="3" t="s">
        <v>40</v>
      </c>
      <c r="S86" s="55">
        <v>46.1</v>
      </c>
      <c r="T86" s="55">
        <v>0</v>
      </c>
      <c r="U86" s="55">
        <v>0</v>
      </c>
      <c r="V86" s="55">
        <v>46.1</v>
      </c>
      <c r="W86" s="3">
        <v>0</v>
      </c>
    </row>
    <row r="87" spans="1:23" x14ac:dyDescent="0.35">
      <c r="A87" s="3" t="s">
        <v>23</v>
      </c>
      <c r="B87" s="3" t="s">
        <v>24</v>
      </c>
      <c r="C87" s="3" t="s">
        <v>345</v>
      </c>
      <c r="D87" s="3" t="s">
        <v>337</v>
      </c>
      <c r="E87" s="3" t="s">
        <v>327</v>
      </c>
      <c r="F87" s="3" t="s">
        <v>116</v>
      </c>
      <c r="G87" s="3" t="s">
        <v>338</v>
      </c>
      <c r="H87" s="3" t="s">
        <v>146</v>
      </c>
      <c r="I87" s="3" t="s">
        <v>329</v>
      </c>
      <c r="J87" s="3" t="s">
        <v>330</v>
      </c>
      <c r="K87" s="3" t="s">
        <v>33</v>
      </c>
      <c r="L87" s="3" t="s">
        <v>51</v>
      </c>
      <c r="M87" s="3" t="s">
        <v>346</v>
      </c>
      <c r="N87" s="3" t="s">
        <v>347</v>
      </c>
      <c r="O87" s="3" t="s">
        <v>197</v>
      </c>
      <c r="P87" s="3" t="s">
        <v>198</v>
      </c>
      <c r="Q87" s="3" t="s">
        <v>39</v>
      </c>
      <c r="R87" s="3" t="s">
        <v>40</v>
      </c>
      <c r="S87" s="55">
        <v>98282.8</v>
      </c>
      <c r="T87" s="55">
        <v>0</v>
      </c>
      <c r="U87" s="55">
        <v>0</v>
      </c>
      <c r="V87" s="55">
        <v>98282.8</v>
      </c>
      <c r="W87" s="3">
        <v>0</v>
      </c>
    </row>
    <row r="88" spans="1:23" x14ac:dyDescent="0.35">
      <c r="A88" s="3" t="s">
        <v>23</v>
      </c>
      <c r="B88" s="3" t="s">
        <v>24</v>
      </c>
      <c r="C88" s="3" t="s">
        <v>348</v>
      </c>
      <c r="D88" s="3" t="s">
        <v>337</v>
      </c>
      <c r="E88" s="3" t="s">
        <v>327</v>
      </c>
      <c r="F88" s="3" t="s">
        <v>116</v>
      </c>
      <c r="G88" s="3" t="s">
        <v>338</v>
      </c>
      <c r="H88" s="3" t="s">
        <v>146</v>
      </c>
      <c r="I88" s="3" t="s">
        <v>329</v>
      </c>
      <c r="J88" s="3" t="s">
        <v>330</v>
      </c>
      <c r="K88" s="3" t="s">
        <v>33</v>
      </c>
      <c r="L88" s="3" t="s">
        <v>51</v>
      </c>
      <c r="M88" s="3" t="s">
        <v>349</v>
      </c>
      <c r="N88" s="3" t="s">
        <v>350</v>
      </c>
      <c r="O88" s="3" t="s">
        <v>197</v>
      </c>
      <c r="P88" s="3" t="s">
        <v>198</v>
      </c>
      <c r="Q88" s="3" t="s">
        <v>39</v>
      </c>
      <c r="R88" s="3" t="s">
        <v>40</v>
      </c>
      <c r="S88" s="55">
        <v>100</v>
      </c>
      <c r="T88" s="55">
        <v>0</v>
      </c>
      <c r="U88" s="55">
        <v>0</v>
      </c>
      <c r="V88" s="55">
        <v>100</v>
      </c>
      <c r="W88" s="3">
        <v>0</v>
      </c>
    </row>
    <row r="89" spans="1:23" x14ac:dyDescent="0.35">
      <c r="A89" s="3" t="s">
        <v>23</v>
      </c>
      <c r="B89" s="3" t="s">
        <v>24</v>
      </c>
      <c r="C89" s="3" t="s">
        <v>546</v>
      </c>
      <c r="D89" s="3" t="s">
        <v>337</v>
      </c>
      <c r="E89" s="3" t="s">
        <v>327</v>
      </c>
      <c r="F89" s="3" t="s">
        <v>116</v>
      </c>
      <c r="G89" s="3" t="s">
        <v>338</v>
      </c>
      <c r="H89" s="3" t="s">
        <v>146</v>
      </c>
      <c r="I89" s="3" t="s">
        <v>329</v>
      </c>
      <c r="J89" s="3" t="s">
        <v>330</v>
      </c>
      <c r="K89" s="3" t="s">
        <v>33</v>
      </c>
      <c r="L89" s="3" t="s">
        <v>51</v>
      </c>
      <c r="M89" s="3" t="s">
        <v>547</v>
      </c>
      <c r="N89" s="3" t="s">
        <v>548</v>
      </c>
      <c r="O89" s="3" t="s">
        <v>197</v>
      </c>
      <c r="P89" s="3" t="s">
        <v>198</v>
      </c>
      <c r="Q89" s="3" t="s">
        <v>39</v>
      </c>
      <c r="R89" s="3" t="s">
        <v>40</v>
      </c>
      <c r="S89" s="55">
        <v>15384.9</v>
      </c>
      <c r="T89" s="55">
        <v>0</v>
      </c>
      <c r="U89" s="55">
        <v>0</v>
      </c>
      <c r="V89" s="55">
        <v>15384.9</v>
      </c>
      <c r="W89" s="3">
        <v>0</v>
      </c>
    </row>
    <row r="90" spans="1:23" x14ac:dyDescent="0.35">
      <c r="A90" s="3" t="s">
        <v>23</v>
      </c>
      <c r="B90" s="3" t="s">
        <v>24</v>
      </c>
      <c r="C90" s="3" t="s">
        <v>354</v>
      </c>
      <c r="D90" s="3" t="s">
        <v>337</v>
      </c>
      <c r="E90" s="3" t="s">
        <v>327</v>
      </c>
      <c r="F90" s="3" t="s">
        <v>116</v>
      </c>
      <c r="G90" s="3" t="s">
        <v>338</v>
      </c>
      <c r="H90" s="3" t="s">
        <v>146</v>
      </c>
      <c r="I90" s="3" t="s">
        <v>329</v>
      </c>
      <c r="J90" s="3" t="s">
        <v>330</v>
      </c>
      <c r="K90" s="3" t="s">
        <v>33</v>
      </c>
      <c r="L90" s="3" t="s">
        <v>51</v>
      </c>
      <c r="M90" s="3" t="s">
        <v>355</v>
      </c>
      <c r="N90" s="3" t="s">
        <v>356</v>
      </c>
      <c r="O90" s="3" t="s">
        <v>197</v>
      </c>
      <c r="P90" s="3" t="s">
        <v>198</v>
      </c>
      <c r="Q90" s="3" t="s">
        <v>39</v>
      </c>
      <c r="R90" s="3" t="s">
        <v>40</v>
      </c>
      <c r="S90" s="55">
        <v>34143.9</v>
      </c>
      <c r="T90" s="55">
        <v>0</v>
      </c>
      <c r="U90" s="55">
        <v>0</v>
      </c>
      <c r="V90" s="55">
        <v>34143.9</v>
      </c>
      <c r="W90" s="3">
        <v>0</v>
      </c>
    </row>
    <row r="91" spans="1:23" x14ac:dyDescent="0.35">
      <c r="A91" s="3" t="s">
        <v>23</v>
      </c>
      <c r="B91" s="3" t="s">
        <v>24</v>
      </c>
      <c r="C91" s="3" t="s">
        <v>363</v>
      </c>
      <c r="D91" s="3" t="s">
        <v>364</v>
      </c>
      <c r="E91" s="3" t="s">
        <v>365</v>
      </c>
      <c r="F91" s="3" t="s">
        <v>189</v>
      </c>
      <c r="G91" s="3" t="s">
        <v>366</v>
      </c>
      <c r="H91" s="3" t="s">
        <v>28</v>
      </c>
      <c r="I91" s="3" t="s">
        <v>231</v>
      </c>
      <c r="J91" s="3" t="s">
        <v>232</v>
      </c>
      <c r="K91" s="3" t="s">
        <v>33</v>
      </c>
      <c r="L91" s="3" t="s">
        <v>51</v>
      </c>
      <c r="M91" s="3" t="s">
        <v>367</v>
      </c>
      <c r="N91" s="3" t="s">
        <v>368</v>
      </c>
      <c r="O91" s="3" t="s">
        <v>108</v>
      </c>
      <c r="P91" s="3" t="s">
        <v>109</v>
      </c>
      <c r="Q91" s="3" t="s">
        <v>39</v>
      </c>
      <c r="R91" s="3" t="s">
        <v>40</v>
      </c>
      <c r="S91" s="55">
        <v>181890.3</v>
      </c>
      <c r="T91" s="55">
        <v>12674.825000000001</v>
      </c>
      <c r="U91" s="55">
        <v>12674.825000000001</v>
      </c>
      <c r="V91" s="55">
        <v>169215.47500000001</v>
      </c>
      <c r="W91" s="3">
        <v>7</v>
      </c>
    </row>
    <row r="92" spans="1:23" x14ac:dyDescent="0.35">
      <c r="A92" s="3" t="s">
        <v>23</v>
      </c>
      <c r="B92" s="3" t="s">
        <v>24</v>
      </c>
      <c r="C92" s="3" t="s">
        <v>369</v>
      </c>
      <c r="D92" s="3" t="s">
        <v>364</v>
      </c>
      <c r="E92" s="3" t="s">
        <v>365</v>
      </c>
      <c r="F92" s="3" t="s">
        <v>189</v>
      </c>
      <c r="G92" s="3" t="s">
        <v>366</v>
      </c>
      <c r="H92" s="3" t="s">
        <v>28</v>
      </c>
      <c r="I92" s="3" t="s">
        <v>231</v>
      </c>
      <c r="J92" s="3" t="s">
        <v>232</v>
      </c>
      <c r="K92" s="3" t="s">
        <v>33</v>
      </c>
      <c r="L92" s="3" t="s">
        <v>51</v>
      </c>
      <c r="M92" s="3" t="s">
        <v>367</v>
      </c>
      <c r="N92" s="3" t="s">
        <v>368</v>
      </c>
      <c r="O92" s="3" t="s">
        <v>334</v>
      </c>
      <c r="P92" s="3" t="s">
        <v>335</v>
      </c>
      <c r="Q92" s="3" t="s">
        <v>39</v>
      </c>
      <c r="R92" s="3" t="s">
        <v>40</v>
      </c>
      <c r="S92" s="55">
        <v>18356.2</v>
      </c>
      <c r="T92" s="55">
        <v>946.47500000000002</v>
      </c>
      <c r="U92" s="55">
        <v>946.47500000000002</v>
      </c>
      <c r="V92" s="55">
        <v>17409.724999999999</v>
      </c>
      <c r="W92" s="3">
        <v>5</v>
      </c>
    </row>
    <row r="93" spans="1:23" x14ac:dyDescent="0.35">
      <c r="A93" s="3" t="s">
        <v>23</v>
      </c>
      <c r="B93" s="3" t="s">
        <v>24</v>
      </c>
      <c r="C93" s="3" t="s">
        <v>373</v>
      </c>
      <c r="D93" s="3" t="s">
        <v>364</v>
      </c>
      <c r="E93" s="3" t="s">
        <v>365</v>
      </c>
      <c r="F93" s="3" t="s">
        <v>189</v>
      </c>
      <c r="G93" s="3" t="s">
        <v>366</v>
      </c>
      <c r="H93" s="3" t="s">
        <v>28</v>
      </c>
      <c r="I93" s="3" t="s">
        <v>231</v>
      </c>
      <c r="J93" s="3" t="s">
        <v>232</v>
      </c>
      <c r="K93" s="3" t="s">
        <v>33</v>
      </c>
      <c r="L93" s="3" t="s">
        <v>51</v>
      </c>
      <c r="M93" s="3" t="s">
        <v>371</v>
      </c>
      <c r="N93" s="3" t="s">
        <v>372</v>
      </c>
      <c r="O93" s="3" t="s">
        <v>334</v>
      </c>
      <c r="P93" s="3" t="s">
        <v>335</v>
      </c>
      <c r="Q93" s="3" t="s">
        <v>39</v>
      </c>
      <c r="R93" s="3" t="s">
        <v>40</v>
      </c>
      <c r="S93" s="55">
        <v>109296.5</v>
      </c>
      <c r="T93" s="55">
        <v>7740.7542999999996</v>
      </c>
      <c r="U93" s="55">
        <v>7740.7542999999996</v>
      </c>
      <c r="V93" s="55">
        <v>101555.7457</v>
      </c>
      <c r="W93" s="3">
        <v>7</v>
      </c>
    </row>
    <row r="94" spans="1:23" x14ac:dyDescent="0.35">
      <c r="A94" s="3" t="s">
        <v>23</v>
      </c>
      <c r="B94" s="3" t="s">
        <v>24</v>
      </c>
      <c r="C94" s="3" t="s">
        <v>374</v>
      </c>
      <c r="D94" s="3" t="s">
        <v>364</v>
      </c>
      <c r="E94" s="3" t="s">
        <v>365</v>
      </c>
      <c r="F94" s="3" t="s">
        <v>189</v>
      </c>
      <c r="G94" s="3" t="s">
        <v>366</v>
      </c>
      <c r="H94" s="3" t="s">
        <v>28</v>
      </c>
      <c r="I94" s="3" t="s">
        <v>231</v>
      </c>
      <c r="J94" s="3" t="s">
        <v>232</v>
      </c>
      <c r="K94" s="3" t="s">
        <v>33</v>
      </c>
      <c r="L94" s="3" t="s">
        <v>51</v>
      </c>
      <c r="M94" s="3" t="s">
        <v>375</v>
      </c>
      <c r="N94" s="3" t="s">
        <v>376</v>
      </c>
      <c r="O94" s="3" t="s">
        <v>197</v>
      </c>
      <c r="P94" s="3" t="s">
        <v>198</v>
      </c>
      <c r="Q94" s="3" t="s">
        <v>39</v>
      </c>
      <c r="R94" s="3" t="s">
        <v>40</v>
      </c>
      <c r="S94" s="55">
        <v>10386</v>
      </c>
      <c r="T94" s="55">
        <v>0</v>
      </c>
      <c r="U94" s="55">
        <v>0</v>
      </c>
      <c r="V94" s="55">
        <v>10386</v>
      </c>
      <c r="W94" s="3">
        <v>0</v>
      </c>
    </row>
    <row r="95" spans="1:23" x14ac:dyDescent="0.35">
      <c r="A95" s="3" t="s">
        <v>23</v>
      </c>
      <c r="B95" s="3" t="s">
        <v>24</v>
      </c>
      <c r="C95" s="3" t="s">
        <v>377</v>
      </c>
      <c r="D95" s="3" t="s">
        <v>364</v>
      </c>
      <c r="E95" s="3" t="s">
        <v>365</v>
      </c>
      <c r="F95" s="3" t="s">
        <v>189</v>
      </c>
      <c r="G95" s="3" t="s">
        <v>366</v>
      </c>
      <c r="H95" s="3" t="s">
        <v>28</v>
      </c>
      <c r="I95" s="3" t="s">
        <v>231</v>
      </c>
      <c r="J95" s="3" t="s">
        <v>232</v>
      </c>
      <c r="K95" s="3" t="s">
        <v>33</v>
      </c>
      <c r="L95" s="3" t="s">
        <v>51</v>
      </c>
      <c r="M95" s="3" t="s">
        <v>378</v>
      </c>
      <c r="N95" s="3" t="s">
        <v>549</v>
      </c>
      <c r="O95" s="3" t="s">
        <v>108</v>
      </c>
      <c r="P95" s="3" t="s">
        <v>109</v>
      </c>
      <c r="Q95" s="3" t="s">
        <v>39</v>
      </c>
      <c r="R95" s="3" t="s">
        <v>40</v>
      </c>
      <c r="S95" s="55">
        <v>12844.7</v>
      </c>
      <c r="T95" s="55">
        <v>842.39509999999996</v>
      </c>
      <c r="U95" s="55">
        <v>842.39509999999996</v>
      </c>
      <c r="V95" s="55">
        <v>12002.304899999999</v>
      </c>
      <c r="W95" s="3">
        <v>7</v>
      </c>
    </row>
    <row r="96" spans="1:23" x14ac:dyDescent="0.35">
      <c r="A96" s="3" t="s">
        <v>23</v>
      </c>
      <c r="B96" s="3" t="s">
        <v>24</v>
      </c>
      <c r="C96" s="3" t="s">
        <v>380</v>
      </c>
      <c r="D96" s="3" t="s">
        <v>364</v>
      </c>
      <c r="E96" s="3" t="s">
        <v>365</v>
      </c>
      <c r="F96" s="3" t="s">
        <v>189</v>
      </c>
      <c r="G96" s="3" t="s">
        <v>366</v>
      </c>
      <c r="H96" s="3" t="s">
        <v>28</v>
      </c>
      <c r="I96" s="3" t="s">
        <v>231</v>
      </c>
      <c r="J96" s="3" t="s">
        <v>232</v>
      </c>
      <c r="K96" s="3" t="s">
        <v>33</v>
      </c>
      <c r="L96" s="3" t="s">
        <v>51</v>
      </c>
      <c r="M96" s="3" t="s">
        <v>378</v>
      </c>
      <c r="N96" s="3" t="s">
        <v>549</v>
      </c>
      <c r="O96" s="3" t="s">
        <v>334</v>
      </c>
      <c r="P96" s="3" t="s">
        <v>335</v>
      </c>
      <c r="Q96" s="3" t="s">
        <v>39</v>
      </c>
      <c r="R96" s="3" t="s">
        <v>40</v>
      </c>
      <c r="S96" s="55">
        <v>443478.3</v>
      </c>
      <c r="T96" s="55">
        <v>37055.111599999997</v>
      </c>
      <c r="U96" s="55">
        <v>37055.111599999997</v>
      </c>
      <c r="V96" s="55">
        <v>406423.18839999998</v>
      </c>
      <c r="W96" s="3">
        <v>8</v>
      </c>
    </row>
    <row r="97" spans="1:23" x14ac:dyDescent="0.35">
      <c r="A97" s="3" t="s">
        <v>23</v>
      </c>
      <c r="B97" s="3" t="s">
        <v>24</v>
      </c>
      <c r="C97" s="3" t="s">
        <v>384</v>
      </c>
      <c r="D97" s="3" t="s">
        <v>364</v>
      </c>
      <c r="E97" s="3" t="s">
        <v>365</v>
      </c>
      <c r="F97" s="3" t="s">
        <v>189</v>
      </c>
      <c r="G97" s="3" t="s">
        <v>366</v>
      </c>
      <c r="H97" s="3" t="s">
        <v>28</v>
      </c>
      <c r="I97" s="3" t="s">
        <v>231</v>
      </c>
      <c r="J97" s="3" t="s">
        <v>232</v>
      </c>
      <c r="K97" s="3" t="s">
        <v>33</v>
      </c>
      <c r="L97" s="3" t="s">
        <v>51</v>
      </c>
      <c r="M97" s="3" t="s">
        <v>382</v>
      </c>
      <c r="N97" s="3" t="s">
        <v>383</v>
      </c>
      <c r="O97" s="3" t="s">
        <v>334</v>
      </c>
      <c r="P97" s="3" t="s">
        <v>335</v>
      </c>
      <c r="Q97" s="3" t="s">
        <v>39</v>
      </c>
      <c r="R97" s="3" t="s">
        <v>40</v>
      </c>
      <c r="S97" s="55">
        <v>51058.7</v>
      </c>
      <c r="T97" s="55">
        <v>4484.1278000000002</v>
      </c>
      <c r="U97" s="55">
        <v>4484.1278000000002</v>
      </c>
      <c r="V97" s="55">
        <v>46574.572200000002</v>
      </c>
      <c r="W97" s="3">
        <v>9</v>
      </c>
    </row>
    <row r="98" spans="1:23" x14ac:dyDescent="0.35">
      <c r="A98" s="3" t="s">
        <v>23</v>
      </c>
      <c r="B98" s="3" t="s">
        <v>24</v>
      </c>
      <c r="C98" s="3" t="s">
        <v>391</v>
      </c>
      <c r="D98" s="3" t="s">
        <v>392</v>
      </c>
      <c r="E98" s="3" t="s">
        <v>365</v>
      </c>
      <c r="F98" s="3" t="s">
        <v>28</v>
      </c>
      <c r="G98" s="3" t="s">
        <v>393</v>
      </c>
      <c r="H98" s="3" t="s">
        <v>28</v>
      </c>
      <c r="I98" s="3" t="s">
        <v>231</v>
      </c>
      <c r="J98" s="3" t="s">
        <v>232</v>
      </c>
      <c r="K98" s="3" t="s">
        <v>33</v>
      </c>
      <c r="L98" s="3" t="s">
        <v>51</v>
      </c>
      <c r="M98" s="3" t="s">
        <v>394</v>
      </c>
      <c r="N98" s="3" t="s">
        <v>395</v>
      </c>
      <c r="O98" s="3" t="s">
        <v>197</v>
      </c>
      <c r="P98" s="3" t="s">
        <v>198</v>
      </c>
      <c r="Q98" s="3" t="s">
        <v>39</v>
      </c>
      <c r="R98" s="3" t="s">
        <v>40</v>
      </c>
      <c r="S98" s="55">
        <v>48948.800000000003</v>
      </c>
      <c r="T98" s="55">
        <v>0</v>
      </c>
      <c r="U98" s="55">
        <v>0</v>
      </c>
      <c r="V98" s="55">
        <v>48948.800000000003</v>
      </c>
      <c r="W98" s="3">
        <v>0</v>
      </c>
    </row>
    <row r="99" spans="1:23" x14ac:dyDescent="0.35">
      <c r="A99" s="3" t="s">
        <v>23</v>
      </c>
      <c r="B99" s="3" t="s">
        <v>24</v>
      </c>
      <c r="C99" s="3" t="s">
        <v>550</v>
      </c>
      <c r="D99" s="3" t="s">
        <v>397</v>
      </c>
      <c r="E99" s="3" t="s">
        <v>365</v>
      </c>
      <c r="F99" s="3" t="s">
        <v>318</v>
      </c>
      <c r="G99" s="3" t="s">
        <v>398</v>
      </c>
      <c r="H99" s="3" t="s">
        <v>28</v>
      </c>
      <c r="I99" s="3" t="s">
        <v>231</v>
      </c>
      <c r="J99" s="3" t="s">
        <v>232</v>
      </c>
      <c r="K99" s="3" t="s">
        <v>33</v>
      </c>
      <c r="L99" s="3" t="s">
        <v>51</v>
      </c>
      <c r="M99" s="3" t="s">
        <v>551</v>
      </c>
      <c r="N99" s="3" t="s">
        <v>552</v>
      </c>
      <c r="O99" s="3" t="s">
        <v>108</v>
      </c>
      <c r="P99" s="3" t="s">
        <v>109</v>
      </c>
      <c r="Q99" s="3" t="s">
        <v>39</v>
      </c>
      <c r="R99" s="3" t="s">
        <v>40</v>
      </c>
      <c r="S99" s="55">
        <v>32359.3</v>
      </c>
      <c r="T99" s="55">
        <v>260</v>
      </c>
      <c r="U99" s="55">
        <v>260</v>
      </c>
      <c r="V99" s="55">
        <v>32099.3</v>
      </c>
      <c r="W99" s="3">
        <v>1</v>
      </c>
    </row>
    <row r="100" spans="1:23" x14ac:dyDescent="0.35">
      <c r="A100" s="3" t="s">
        <v>23</v>
      </c>
      <c r="B100" s="3" t="s">
        <v>24</v>
      </c>
      <c r="C100" s="3" t="s">
        <v>553</v>
      </c>
      <c r="D100" s="3" t="s">
        <v>404</v>
      </c>
      <c r="E100" s="3" t="s">
        <v>405</v>
      </c>
      <c r="F100" s="3" t="s">
        <v>146</v>
      </c>
      <c r="G100" s="3" t="s">
        <v>406</v>
      </c>
      <c r="H100" s="3" t="s">
        <v>318</v>
      </c>
      <c r="I100" s="3" t="s">
        <v>407</v>
      </c>
      <c r="J100" s="3" t="s">
        <v>554</v>
      </c>
      <c r="K100" s="3" t="s">
        <v>23</v>
      </c>
      <c r="L100" s="3" t="s">
        <v>203</v>
      </c>
      <c r="M100" s="3" t="s">
        <v>555</v>
      </c>
      <c r="N100" s="3" t="s">
        <v>442</v>
      </c>
      <c r="O100" s="3" t="s">
        <v>197</v>
      </c>
      <c r="P100" s="3" t="s">
        <v>198</v>
      </c>
      <c r="Q100" s="3" t="s">
        <v>39</v>
      </c>
      <c r="R100" s="3" t="s">
        <v>40</v>
      </c>
      <c r="S100" s="55">
        <v>9879.5</v>
      </c>
      <c r="T100" s="55">
        <v>0</v>
      </c>
      <c r="U100" s="55">
        <v>0</v>
      </c>
      <c r="V100" s="55">
        <v>9879.5</v>
      </c>
      <c r="W100" s="3">
        <v>0</v>
      </c>
    </row>
    <row r="101" spans="1:23" x14ac:dyDescent="0.35">
      <c r="A101" s="3" t="s">
        <v>23</v>
      </c>
      <c r="B101" s="3" t="s">
        <v>24</v>
      </c>
      <c r="C101" s="3" t="s">
        <v>403</v>
      </c>
      <c r="D101" s="3" t="s">
        <v>404</v>
      </c>
      <c r="E101" s="3" t="s">
        <v>405</v>
      </c>
      <c r="F101" s="3" t="s">
        <v>146</v>
      </c>
      <c r="G101" s="3" t="s">
        <v>406</v>
      </c>
      <c r="H101" s="3" t="s">
        <v>318</v>
      </c>
      <c r="I101" s="3" t="s">
        <v>407</v>
      </c>
      <c r="J101" s="3" t="s">
        <v>408</v>
      </c>
      <c r="K101" s="3" t="s">
        <v>33</v>
      </c>
      <c r="L101" s="3" t="s">
        <v>51</v>
      </c>
      <c r="M101" s="3" t="s">
        <v>409</v>
      </c>
      <c r="N101" s="3" t="s">
        <v>410</v>
      </c>
      <c r="O101" s="3" t="s">
        <v>108</v>
      </c>
      <c r="P101" s="3" t="s">
        <v>109</v>
      </c>
      <c r="Q101" s="3" t="s">
        <v>39</v>
      </c>
      <c r="R101" s="3" t="s">
        <v>40</v>
      </c>
      <c r="S101" s="55">
        <v>183125.7</v>
      </c>
      <c r="T101" s="55">
        <v>14700.0586</v>
      </c>
      <c r="U101" s="55">
        <v>14700.0586</v>
      </c>
      <c r="V101" s="55">
        <v>168425.64139999999</v>
      </c>
      <c r="W101" s="3">
        <v>8</v>
      </c>
    </row>
    <row r="102" spans="1:23" x14ac:dyDescent="0.35">
      <c r="A102" s="3" t="s">
        <v>23</v>
      </c>
      <c r="B102" s="3" t="s">
        <v>24</v>
      </c>
      <c r="C102" s="3" t="s">
        <v>556</v>
      </c>
      <c r="D102" s="3" t="s">
        <v>412</v>
      </c>
      <c r="E102" s="3" t="s">
        <v>405</v>
      </c>
      <c r="F102" s="3" t="s">
        <v>189</v>
      </c>
      <c r="G102" s="3" t="s">
        <v>413</v>
      </c>
      <c r="H102" s="3" t="s">
        <v>318</v>
      </c>
      <c r="I102" s="3" t="s">
        <v>407</v>
      </c>
      <c r="J102" s="3" t="s">
        <v>554</v>
      </c>
      <c r="K102" s="3" t="s">
        <v>23</v>
      </c>
      <c r="L102" s="3" t="s">
        <v>203</v>
      </c>
      <c r="M102" s="3" t="s">
        <v>557</v>
      </c>
      <c r="N102" s="3" t="s">
        <v>415</v>
      </c>
      <c r="O102" s="3" t="s">
        <v>197</v>
      </c>
      <c r="P102" s="3" t="s">
        <v>198</v>
      </c>
      <c r="Q102" s="3" t="s">
        <v>39</v>
      </c>
      <c r="R102" s="3" t="s">
        <v>40</v>
      </c>
      <c r="S102" s="55">
        <v>3545.6</v>
      </c>
      <c r="T102" s="55">
        <v>0</v>
      </c>
      <c r="U102" s="55">
        <v>0</v>
      </c>
      <c r="V102" s="55">
        <v>3545.6</v>
      </c>
      <c r="W102" s="3">
        <v>0</v>
      </c>
    </row>
    <row r="103" spans="1:23" x14ac:dyDescent="0.35">
      <c r="A103" s="3" t="s">
        <v>23</v>
      </c>
      <c r="B103" s="3" t="s">
        <v>24</v>
      </c>
      <c r="C103" s="3" t="s">
        <v>416</v>
      </c>
      <c r="D103" s="3" t="s">
        <v>417</v>
      </c>
      <c r="E103" s="3" t="s">
        <v>405</v>
      </c>
      <c r="F103" s="3" t="s">
        <v>28</v>
      </c>
      <c r="G103" s="3" t="s">
        <v>418</v>
      </c>
      <c r="H103" s="3" t="s">
        <v>318</v>
      </c>
      <c r="I103" s="3" t="s">
        <v>407</v>
      </c>
      <c r="J103" s="3" t="s">
        <v>408</v>
      </c>
      <c r="K103" s="3" t="s">
        <v>33</v>
      </c>
      <c r="L103" s="3" t="s">
        <v>51</v>
      </c>
      <c r="M103" s="3" t="s">
        <v>419</v>
      </c>
      <c r="N103" s="3" t="s">
        <v>420</v>
      </c>
      <c r="O103" s="3" t="s">
        <v>108</v>
      </c>
      <c r="P103" s="3" t="s">
        <v>109</v>
      </c>
      <c r="Q103" s="3" t="s">
        <v>39</v>
      </c>
      <c r="R103" s="3" t="s">
        <v>40</v>
      </c>
      <c r="S103" s="55">
        <v>325200.09999999998</v>
      </c>
      <c r="T103" s="55">
        <v>18065.104500000001</v>
      </c>
      <c r="U103" s="55">
        <v>18065.104500000001</v>
      </c>
      <c r="V103" s="55">
        <v>307134.99550000002</v>
      </c>
      <c r="W103" s="3">
        <v>6</v>
      </c>
    </row>
    <row r="104" spans="1:23" x14ac:dyDescent="0.35">
      <c r="A104" s="3" t="s">
        <v>139</v>
      </c>
      <c r="B104" s="3" t="s">
        <v>558</v>
      </c>
      <c r="C104" s="3" t="s">
        <v>25</v>
      </c>
      <c r="D104" s="3" t="s">
        <v>26</v>
      </c>
      <c r="E104" s="3" t="s">
        <v>27</v>
      </c>
      <c r="F104" s="3" t="s">
        <v>28</v>
      </c>
      <c r="G104" s="3" t="s">
        <v>29</v>
      </c>
      <c r="H104" s="3" t="s">
        <v>30</v>
      </c>
      <c r="I104" s="3" t="s">
        <v>31</v>
      </c>
      <c r="J104" s="3" t="s">
        <v>32</v>
      </c>
      <c r="K104" s="3" t="s">
        <v>33</v>
      </c>
      <c r="L104" s="3" t="s">
        <v>51</v>
      </c>
      <c r="M104" s="3" t="s">
        <v>35</v>
      </c>
      <c r="N104" s="3" t="s">
        <v>36</v>
      </c>
      <c r="O104" s="3" t="s">
        <v>37</v>
      </c>
      <c r="P104" s="3" t="s">
        <v>38</v>
      </c>
      <c r="Q104" s="3" t="s">
        <v>39</v>
      </c>
      <c r="R104" s="3" t="s">
        <v>40</v>
      </c>
      <c r="S104" s="55">
        <v>3772.6</v>
      </c>
      <c r="T104" s="55">
        <v>58.130800000000001</v>
      </c>
      <c r="U104" s="55">
        <v>8.1098999999999997</v>
      </c>
      <c r="V104" s="55">
        <v>3714.4692</v>
      </c>
      <c r="W104" s="3">
        <v>2</v>
      </c>
    </row>
    <row r="105" spans="1:23" x14ac:dyDescent="0.35">
      <c r="A105" s="3" t="s">
        <v>139</v>
      </c>
      <c r="B105" s="3" t="s">
        <v>558</v>
      </c>
      <c r="C105" s="3" t="s">
        <v>41</v>
      </c>
      <c r="D105" s="3" t="s">
        <v>26</v>
      </c>
      <c r="E105" s="3" t="s">
        <v>27</v>
      </c>
      <c r="F105" s="3" t="s">
        <v>28</v>
      </c>
      <c r="G105" s="3" t="s">
        <v>29</v>
      </c>
      <c r="H105" s="3" t="s">
        <v>30</v>
      </c>
      <c r="I105" s="3" t="s">
        <v>31</v>
      </c>
      <c r="J105" s="3" t="s">
        <v>32</v>
      </c>
      <c r="K105" s="3" t="s">
        <v>33</v>
      </c>
      <c r="L105" s="3" t="s">
        <v>51</v>
      </c>
      <c r="M105" s="3" t="s">
        <v>35</v>
      </c>
      <c r="N105" s="3" t="s">
        <v>36</v>
      </c>
      <c r="O105" s="3" t="s">
        <v>42</v>
      </c>
      <c r="P105" s="3" t="s">
        <v>43</v>
      </c>
      <c r="Q105" s="3" t="s">
        <v>39</v>
      </c>
      <c r="R105" s="3" t="s">
        <v>40</v>
      </c>
      <c r="S105" s="55">
        <v>8.3000000000000007</v>
      </c>
      <c r="T105" s="55">
        <v>0.92269999999999996</v>
      </c>
      <c r="U105" s="55">
        <v>0</v>
      </c>
      <c r="V105" s="55">
        <v>7.3773</v>
      </c>
      <c r="W105" s="3">
        <v>11</v>
      </c>
    </row>
    <row r="106" spans="1:23" x14ac:dyDescent="0.35">
      <c r="A106" s="3" t="s">
        <v>139</v>
      </c>
      <c r="B106" s="3" t="s">
        <v>558</v>
      </c>
      <c r="C106" s="3" t="s">
        <v>44</v>
      </c>
      <c r="D106" s="3" t="s">
        <v>45</v>
      </c>
      <c r="E106" s="3" t="s">
        <v>27</v>
      </c>
      <c r="F106" s="3" t="s">
        <v>46</v>
      </c>
      <c r="G106" s="3" t="s">
        <v>47</v>
      </c>
      <c r="H106" s="3" t="s">
        <v>48</v>
      </c>
      <c r="I106" s="3" t="s">
        <v>49</v>
      </c>
      <c r="J106" s="3" t="s">
        <v>50</v>
      </c>
      <c r="K106" s="3" t="s">
        <v>33</v>
      </c>
      <c r="L106" s="3" t="s">
        <v>51</v>
      </c>
      <c r="M106" s="3" t="s">
        <v>52</v>
      </c>
      <c r="N106" s="3" t="s">
        <v>53</v>
      </c>
      <c r="O106" s="3" t="s">
        <v>54</v>
      </c>
      <c r="P106" s="3" t="s">
        <v>55</v>
      </c>
      <c r="Q106" s="3" t="s">
        <v>39</v>
      </c>
      <c r="R106" s="3" t="s">
        <v>40</v>
      </c>
      <c r="S106" s="55">
        <v>64.400000000000006</v>
      </c>
      <c r="T106" s="55">
        <v>0</v>
      </c>
      <c r="U106" s="55">
        <v>0</v>
      </c>
      <c r="V106" s="55">
        <v>64.400000000000006</v>
      </c>
      <c r="W106" s="3">
        <v>0</v>
      </c>
    </row>
    <row r="107" spans="1:23" x14ac:dyDescent="0.35">
      <c r="A107" s="3" t="s">
        <v>139</v>
      </c>
      <c r="B107" s="3" t="s">
        <v>558</v>
      </c>
      <c r="C107" s="3" t="s">
        <v>59</v>
      </c>
      <c r="D107" s="3" t="s">
        <v>45</v>
      </c>
      <c r="E107" s="3" t="s">
        <v>27</v>
      </c>
      <c r="F107" s="3" t="s">
        <v>46</v>
      </c>
      <c r="G107" s="3" t="s">
        <v>47</v>
      </c>
      <c r="H107" s="3" t="s">
        <v>60</v>
      </c>
      <c r="I107" s="3" t="s">
        <v>61</v>
      </c>
      <c r="J107" s="3" t="s">
        <v>62</v>
      </c>
      <c r="K107" s="3" t="s">
        <v>33</v>
      </c>
      <c r="L107" s="3" t="s">
        <v>51</v>
      </c>
      <c r="M107" s="3" t="s">
        <v>63</v>
      </c>
      <c r="N107" s="3" t="s">
        <v>64</v>
      </c>
      <c r="O107" s="3" t="s">
        <v>37</v>
      </c>
      <c r="P107" s="3" t="s">
        <v>38</v>
      </c>
      <c r="Q107" s="3" t="s">
        <v>39</v>
      </c>
      <c r="R107" s="3" t="s">
        <v>40</v>
      </c>
      <c r="S107" s="55">
        <v>208.2</v>
      </c>
      <c r="T107" s="55">
        <v>95.19</v>
      </c>
      <c r="U107" s="55">
        <v>0</v>
      </c>
      <c r="V107" s="55">
        <v>113.01</v>
      </c>
      <c r="W107" s="3">
        <v>46</v>
      </c>
    </row>
    <row r="108" spans="1:23" x14ac:dyDescent="0.35">
      <c r="A108" s="3" t="s">
        <v>139</v>
      </c>
      <c r="B108" s="3" t="s">
        <v>558</v>
      </c>
      <c r="C108" s="3" t="s">
        <v>65</v>
      </c>
      <c r="D108" s="3" t="s">
        <v>45</v>
      </c>
      <c r="E108" s="3" t="s">
        <v>27</v>
      </c>
      <c r="F108" s="3" t="s">
        <v>46</v>
      </c>
      <c r="G108" s="3" t="s">
        <v>47</v>
      </c>
      <c r="H108" s="3" t="s">
        <v>66</v>
      </c>
      <c r="I108" s="3" t="s">
        <v>67</v>
      </c>
      <c r="J108" s="3" t="s">
        <v>68</v>
      </c>
      <c r="K108" s="3" t="s">
        <v>33</v>
      </c>
      <c r="L108" s="3" t="s">
        <v>51</v>
      </c>
      <c r="M108" s="3" t="s">
        <v>69</v>
      </c>
      <c r="N108" s="3" t="s">
        <v>70</v>
      </c>
      <c r="O108" s="3" t="s">
        <v>37</v>
      </c>
      <c r="P108" s="3" t="s">
        <v>38</v>
      </c>
      <c r="Q108" s="3" t="s">
        <v>39</v>
      </c>
      <c r="R108" s="3" t="s">
        <v>40</v>
      </c>
      <c r="S108" s="55">
        <v>567.9</v>
      </c>
      <c r="T108" s="55">
        <v>267.5752</v>
      </c>
      <c r="U108" s="55">
        <v>0</v>
      </c>
      <c r="V108" s="55">
        <v>300.32479999999998</v>
      </c>
      <c r="W108" s="3">
        <v>47</v>
      </c>
    </row>
    <row r="109" spans="1:23" x14ac:dyDescent="0.35">
      <c r="A109" s="3" t="s">
        <v>139</v>
      </c>
      <c r="B109" s="3" t="s">
        <v>558</v>
      </c>
      <c r="C109" s="3" t="s">
        <v>71</v>
      </c>
      <c r="D109" s="3" t="s">
        <v>45</v>
      </c>
      <c r="E109" s="3" t="s">
        <v>27</v>
      </c>
      <c r="F109" s="3" t="s">
        <v>46</v>
      </c>
      <c r="G109" s="3" t="s">
        <v>47</v>
      </c>
      <c r="H109" s="3" t="s">
        <v>30</v>
      </c>
      <c r="I109" s="3" t="s">
        <v>31</v>
      </c>
      <c r="J109" s="3" t="s">
        <v>32</v>
      </c>
      <c r="K109" s="3" t="s">
        <v>33</v>
      </c>
      <c r="L109" s="3" t="s">
        <v>51</v>
      </c>
      <c r="M109" s="3" t="s">
        <v>72</v>
      </c>
      <c r="N109" s="3" t="s">
        <v>73</v>
      </c>
      <c r="O109" s="3" t="s">
        <v>74</v>
      </c>
      <c r="P109" s="3" t="s">
        <v>75</v>
      </c>
      <c r="Q109" s="3" t="s">
        <v>39</v>
      </c>
      <c r="R109" s="3" t="s">
        <v>40</v>
      </c>
      <c r="S109" s="55">
        <v>246128.1</v>
      </c>
      <c r="T109" s="55">
        <v>201649.51920000001</v>
      </c>
      <c r="U109" s="55">
        <v>16215.5761</v>
      </c>
      <c r="V109" s="55">
        <v>44478.580800000003</v>
      </c>
      <c r="W109" s="3">
        <v>82</v>
      </c>
    </row>
    <row r="110" spans="1:23" x14ac:dyDescent="0.35">
      <c r="A110" s="3" t="s">
        <v>139</v>
      </c>
      <c r="B110" s="3" t="s">
        <v>558</v>
      </c>
      <c r="C110" s="3" t="s">
        <v>76</v>
      </c>
      <c r="D110" s="3" t="s">
        <v>45</v>
      </c>
      <c r="E110" s="3" t="s">
        <v>27</v>
      </c>
      <c r="F110" s="3" t="s">
        <v>46</v>
      </c>
      <c r="G110" s="3" t="s">
        <v>47</v>
      </c>
      <c r="H110" s="3" t="s">
        <v>30</v>
      </c>
      <c r="I110" s="3" t="s">
        <v>31</v>
      </c>
      <c r="J110" s="3" t="s">
        <v>32</v>
      </c>
      <c r="K110" s="3" t="s">
        <v>33</v>
      </c>
      <c r="L110" s="3" t="s">
        <v>51</v>
      </c>
      <c r="M110" s="3" t="s">
        <v>72</v>
      </c>
      <c r="N110" s="3" t="s">
        <v>73</v>
      </c>
      <c r="O110" s="3" t="s">
        <v>77</v>
      </c>
      <c r="P110" s="3" t="s">
        <v>78</v>
      </c>
      <c r="Q110" s="3" t="s">
        <v>39</v>
      </c>
      <c r="R110" s="3" t="s">
        <v>40</v>
      </c>
      <c r="S110" s="55">
        <v>140.5</v>
      </c>
      <c r="T110" s="55">
        <v>83.626000000000005</v>
      </c>
      <c r="U110" s="55">
        <v>3.19</v>
      </c>
      <c r="V110" s="55">
        <v>56.874000000000002</v>
      </c>
      <c r="W110" s="3">
        <v>60</v>
      </c>
    </row>
    <row r="111" spans="1:23" x14ac:dyDescent="0.35">
      <c r="A111" s="3" t="s">
        <v>139</v>
      </c>
      <c r="B111" s="3" t="s">
        <v>558</v>
      </c>
      <c r="C111" s="3" t="s">
        <v>79</v>
      </c>
      <c r="D111" s="3" t="s">
        <v>45</v>
      </c>
      <c r="E111" s="3" t="s">
        <v>27</v>
      </c>
      <c r="F111" s="3" t="s">
        <v>46</v>
      </c>
      <c r="G111" s="3" t="s">
        <v>47</v>
      </c>
      <c r="H111" s="3" t="s">
        <v>30</v>
      </c>
      <c r="I111" s="3" t="s">
        <v>31</v>
      </c>
      <c r="J111" s="3" t="s">
        <v>32</v>
      </c>
      <c r="K111" s="3" t="s">
        <v>33</v>
      </c>
      <c r="L111" s="3" t="s">
        <v>51</v>
      </c>
      <c r="M111" s="3" t="s">
        <v>72</v>
      </c>
      <c r="N111" s="3" t="s">
        <v>73</v>
      </c>
      <c r="O111" s="3" t="s">
        <v>80</v>
      </c>
      <c r="P111" s="3" t="s">
        <v>81</v>
      </c>
      <c r="Q111" s="3" t="s">
        <v>39</v>
      </c>
      <c r="R111" s="3" t="s">
        <v>40</v>
      </c>
      <c r="S111" s="55">
        <v>73726.399999999994</v>
      </c>
      <c r="T111" s="55">
        <v>61777.407500000001</v>
      </c>
      <c r="U111" s="55">
        <v>5798.4823999999999</v>
      </c>
      <c r="V111" s="55">
        <v>11948.9925</v>
      </c>
      <c r="W111" s="3">
        <v>84</v>
      </c>
    </row>
    <row r="112" spans="1:23" x14ac:dyDescent="0.35">
      <c r="A112" s="3" t="s">
        <v>139</v>
      </c>
      <c r="B112" s="3" t="s">
        <v>558</v>
      </c>
      <c r="C112" s="3" t="s">
        <v>82</v>
      </c>
      <c r="D112" s="3" t="s">
        <v>45</v>
      </c>
      <c r="E112" s="3" t="s">
        <v>27</v>
      </c>
      <c r="F112" s="3" t="s">
        <v>46</v>
      </c>
      <c r="G112" s="3" t="s">
        <v>47</v>
      </c>
      <c r="H112" s="3" t="s">
        <v>30</v>
      </c>
      <c r="I112" s="3" t="s">
        <v>31</v>
      </c>
      <c r="J112" s="3" t="s">
        <v>32</v>
      </c>
      <c r="K112" s="3" t="s">
        <v>33</v>
      </c>
      <c r="L112" s="3" t="s">
        <v>51</v>
      </c>
      <c r="M112" s="3" t="s">
        <v>72</v>
      </c>
      <c r="N112" s="3" t="s">
        <v>73</v>
      </c>
      <c r="O112" s="3" t="s">
        <v>83</v>
      </c>
      <c r="P112" s="3" t="s">
        <v>84</v>
      </c>
      <c r="Q112" s="3" t="s">
        <v>39</v>
      </c>
      <c r="R112" s="3" t="s">
        <v>40</v>
      </c>
      <c r="S112" s="55">
        <v>300</v>
      </c>
      <c r="T112" s="55">
        <v>152.02869999999999</v>
      </c>
      <c r="U112" s="55">
        <v>9.3596000000000004</v>
      </c>
      <c r="V112" s="55">
        <v>147.97130000000001</v>
      </c>
      <c r="W112" s="3">
        <v>51</v>
      </c>
    </row>
    <row r="113" spans="1:23" x14ac:dyDescent="0.35">
      <c r="A113" s="3" t="s">
        <v>139</v>
      </c>
      <c r="B113" s="3" t="s">
        <v>558</v>
      </c>
      <c r="C113" s="3" t="s">
        <v>85</v>
      </c>
      <c r="D113" s="3" t="s">
        <v>45</v>
      </c>
      <c r="E113" s="3" t="s">
        <v>27</v>
      </c>
      <c r="F113" s="3" t="s">
        <v>46</v>
      </c>
      <c r="G113" s="3" t="s">
        <v>47</v>
      </c>
      <c r="H113" s="3" t="s">
        <v>30</v>
      </c>
      <c r="I113" s="3" t="s">
        <v>31</v>
      </c>
      <c r="J113" s="3" t="s">
        <v>32</v>
      </c>
      <c r="K113" s="3" t="s">
        <v>33</v>
      </c>
      <c r="L113" s="3" t="s">
        <v>51</v>
      </c>
      <c r="M113" s="3" t="s">
        <v>72</v>
      </c>
      <c r="N113" s="3" t="s">
        <v>73</v>
      </c>
      <c r="O113" s="3" t="s">
        <v>86</v>
      </c>
      <c r="P113" s="3" t="s">
        <v>87</v>
      </c>
      <c r="Q113" s="3" t="s">
        <v>39</v>
      </c>
      <c r="R113" s="3" t="s">
        <v>40</v>
      </c>
      <c r="S113" s="55">
        <v>7833.8</v>
      </c>
      <c r="T113" s="55">
        <v>0</v>
      </c>
      <c r="U113" s="55">
        <v>0</v>
      </c>
      <c r="V113" s="55">
        <v>7833.8</v>
      </c>
      <c r="W113" s="3">
        <v>0</v>
      </c>
    </row>
    <row r="114" spans="1:23" x14ac:dyDescent="0.35">
      <c r="A114" s="3" t="s">
        <v>139</v>
      </c>
      <c r="B114" s="3" t="s">
        <v>558</v>
      </c>
      <c r="C114" s="3" t="s">
        <v>88</v>
      </c>
      <c r="D114" s="3" t="s">
        <v>45</v>
      </c>
      <c r="E114" s="3" t="s">
        <v>27</v>
      </c>
      <c r="F114" s="3" t="s">
        <v>46</v>
      </c>
      <c r="G114" s="3" t="s">
        <v>47</v>
      </c>
      <c r="H114" s="3" t="s">
        <v>30</v>
      </c>
      <c r="I114" s="3" t="s">
        <v>31</v>
      </c>
      <c r="J114" s="3" t="s">
        <v>32</v>
      </c>
      <c r="K114" s="3" t="s">
        <v>33</v>
      </c>
      <c r="L114" s="3" t="s">
        <v>51</v>
      </c>
      <c r="M114" s="3" t="s">
        <v>72</v>
      </c>
      <c r="N114" s="3" t="s">
        <v>73</v>
      </c>
      <c r="O114" s="3" t="s">
        <v>37</v>
      </c>
      <c r="P114" s="3" t="s">
        <v>38</v>
      </c>
      <c r="Q114" s="3" t="s">
        <v>39</v>
      </c>
      <c r="R114" s="3" t="s">
        <v>40</v>
      </c>
      <c r="S114" s="55">
        <v>99180.6</v>
      </c>
      <c r="T114" s="55">
        <v>47906.970200000003</v>
      </c>
      <c r="U114" s="55">
        <v>3304.6309999999999</v>
      </c>
      <c r="V114" s="55">
        <v>51273.629800000002</v>
      </c>
      <c r="W114" s="3">
        <v>48</v>
      </c>
    </row>
    <row r="115" spans="1:23" x14ac:dyDescent="0.35">
      <c r="A115" s="3" t="s">
        <v>139</v>
      </c>
      <c r="B115" s="3" t="s">
        <v>558</v>
      </c>
      <c r="C115" s="3" t="s">
        <v>89</v>
      </c>
      <c r="D115" s="3" t="s">
        <v>45</v>
      </c>
      <c r="E115" s="3" t="s">
        <v>27</v>
      </c>
      <c r="F115" s="3" t="s">
        <v>46</v>
      </c>
      <c r="G115" s="3" t="s">
        <v>47</v>
      </c>
      <c r="H115" s="3" t="s">
        <v>30</v>
      </c>
      <c r="I115" s="3" t="s">
        <v>31</v>
      </c>
      <c r="J115" s="3" t="s">
        <v>32</v>
      </c>
      <c r="K115" s="3" t="s">
        <v>33</v>
      </c>
      <c r="L115" s="3" t="s">
        <v>51</v>
      </c>
      <c r="M115" s="3" t="s">
        <v>72</v>
      </c>
      <c r="N115" s="3" t="s">
        <v>73</v>
      </c>
      <c r="O115" s="3" t="s">
        <v>42</v>
      </c>
      <c r="P115" s="3" t="s">
        <v>43</v>
      </c>
      <c r="Q115" s="3" t="s">
        <v>39</v>
      </c>
      <c r="R115" s="3" t="s">
        <v>40</v>
      </c>
      <c r="S115" s="55">
        <v>16160.9</v>
      </c>
      <c r="T115" s="55">
        <v>11663.629300000001</v>
      </c>
      <c r="U115" s="55">
        <v>554.37620000000004</v>
      </c>
      <c r="V115" s="55">
        <v>4497.2707</v>
      </c>
      <c r="W115" s="3">
        <v>72</v>
      </c>
    </row>
    <row r="116" spans="1:23" x14ac:dyDescent="0.35">
      <c r="A116" s="3" t="s">
        <v>139</v>
      </c>
      <c r="B116" s="3" t="s">
        <v>558</v>
      </c>
      <c r="C116" s="3" t="s">
        <v>90</v>
      </c>
      <c r="D116" s="3" t="s">
        <v>45</v>
      </c>
      <c r="E116" s="3" t="s">
        <v>27</v>
      </c>
      <c r="F116" s="3" t="s">
        <v>46</v>
      </c>
      <c r="G116" s="3" t="s">
        <v>47</v>
      </c>
      <c r="H116" s="3" t="s">
        <v>30</v>
      </c>
      <c r="I116" s="3" t="s">
        <v>31</v>
      </c>
      <c r="J116" s="3" t="s">
        <v>32</v>
      </c>
      <c r="K116" s="3" t="s">
        <v>33</v>
      </c>
      <c r="L116" s="3" t="s">
        <v>51</v>
      </c>
      <c r="M116" s="3" t="s">
        <v>72</v>
      </c>
      <c r="N116" s="3" t="s">
        <v>73</v>
      </c>
      <c r="O116" s="3" t="s">
        <v>91</v>
      </c>
      <c r="P116" s="3" t="s">
        <v>92</v>
      </c>
      <c r="Q116" s="3" t="s">
        <v>39</v>
      </c>
      <c r="R116" s="3" t="s">
        <v>40</v>
      </c>
      <c r="S116" s="55">
        <v>503.1</v>
      </c>
      <c r="T116" s="55">
        <v>502.91250000000002</v>
      </c>
      <c r="U116" s="55">
        <v>0</v>
      </c>
      <c r="V116" s="55">
        <v>0.1875</v>
      </c>
      <c r="W116" s="3">
        <v>100</v>
      </c>
    </row>
    <row r="117" spans="1:23" x14ac:dyDescent="0.35">
      <c r="A117" s="3" t="s">
        <v>139</v>
      </c>
      <c r="B117" s="3" t="s">
        <v>558</v>
      </c>
      <c r="C117" s="3" t="s">
        <v>559</v>
      </c>
      <c r="D117" s="3" t="s">
        <v>45</v>
      </c>
      <c r="E117" s="3" t="s">
        <v>27</v>
      </c>
      <c r="F117" s="3" t="s">
        <v>46</v>
      </c>
      <c r="G117" s="3" t="s">
        <v>47</v>
      </c>
      <c r="H117" s="3" t="s">
        <v>30</v>
      </c>
      <c r="I117" s="3" t="s">
        <v>31</v>
      </c>
      <c r="J117" s="3" t="s">
        <v>32</v>
      </c>
      <c r="K117" s="3" t="s">
        <v>33</v>
      </c>
      <c r="L117" s="3" t="s">
        <v>51</v>
      </c>
      <c r="M117" s="3" t="s">
        <v>72</v>
      </c>
      <c r="N117" s="3" t="s">
        <v>73</v>
      </c>
      <c r="O117" s="3" t="s">
        <v>125</v>
      </c>
      <c r="P117" s="3" t="s">
        <v>126</v>
      </c>
      <c r="Q117" s="3" t="s">
        <v>39</v>
      </c>
      <c r="R117" s="3" t="s">
        <v>40</v>
      </c>
      <c r="S117" s="55">
        <v>179.8</v>
      </c>
      <c r="T117" s="55">
        <v>179.71199999999999</v>
      </c>
      <c r="U117" s="55">
        <v>0</v>
      </c>
      <c r="V117" s="55">
        <v>8.7999999999999995E-2</v>
      </c>
      <c r="W117" s="3">
        <v>100</v>
      </c>
    </row>
    <row r="118" spans="1:23" x14ac:dyDescent="0.35">
      <c r="A118" s="3" t="s">
        <v>139</v>
      </c>
      <c r="B118" s="3" t="s">
        <v>558</v>
      </c>
      <c r="C118" s="3" t="s">
        <v>93</v>
      </c>
      <c r="D118" s="3" t="s">
        <v>45</v>
      </c>
      <c r="E118" s="3" t="s">
        <v>27</v>
      </c>
      <c r="F118" s="3" t="s">
        <v>46</v>
      </c>
      <c r="G118" s="3" t="s">
        <v>47</v>
      </c>
      <c r="H118" s="3" t="s">
        <v>30</v>
      </c>
      <c r="I118" s="3" t="s">
        <v>31</v>
      </c>
      <c r="J118" s="3" t="s">
        <v>32</v>
      </c>
      <c r="K118" s="3" t="s">
        <v>33</v>
      </c>
      <c r="L118" s="3" t="s">
        <v>51</v>
      </c>
      <c r="M118" s="3" t="s">
        <v>94</v>
      </c>
      <c r="N118" s="3" t="s">
        <v>95</v>
      </c>
      <c r="O118" s="3" t="s">
        <v>96</v>
      </c>
      <c r="P118" s="3" t="s">
        <v>97</v>
      </c>
      <c r="Q118" s="3" t="s">
        <v>39</v>
      </c>
      <c r="R118" s="3" t="s">
        <v>40</v>
      </c>
      <c r="S118" s="55">
        <v>181743.4</v>
      </c>
      <c r="T118" s="55">
        <v>148746.8885</v>
      </c>
      <c r="U118" s="55">
        <v>19607.505099999998</v>
      </c>
      <c r="V118" s="55">
        <v>32996.511500000001</v>
      </c>
      <c r="W118" s="3">
        <v>82</v>
      </c>
    </row>
    <row r="119" spans="1:23" x14ac:dyDescent="0.35">
      <c r="A119" s="3" t="s">
        <v>139</v>
      </c>
      <c r="B119" s="3" t="s">
        <v>558</v>
      </c>
      <c r="C119" s="3" t="s">
        <v>98</v>
      </c>
      <c r="D119" s="3" t="s">
        <v>45</v>
      </c>
      <c r="E119" s="3" t="s">
        <v>27</v>
      </c>
      <c r="F119" s="3" t="s">
        <v>46</v>
      </c>
      <c r="G119" s="3" t="s">
        <v>47</v>
      </c>
      <c r="H119" s="3" t="s">
        <v>30</v>
      </c>
      <c r="I119" s="3" t="s">
        <v>31</v>
      </c>
      <c r="J119" s="3" t="s">
        <v>32</v>
      </c>
      <c r="K119" s="3" t="s">
        <v>33</v>
      </c>
      <c r="L119" s="3" t="s">
        <v>51</v>
      </c>
      <c r="M119" s="3" t="s">
        <v>94</v>
      </c>
      <c r="N119" s="3" t="s">
        <v>95</v>
      </c>
      <c r="O119" s="3" t="s">
        <v>99</v>
      </c>
      <c r="P119" s="3" t="s">
        <v>100</v>
      </c>
      <c r="Q119" s="3" t="s">
        <v>39</v>
      </c>
      <c r="R119" s="3" t="s">
        <v>40</v>
      </c>
      <c r="S119" s="55">
        <v>54698.400000000001</v>
      </c>
      <c r="T119" s="55">
        <v>40832.341200000003</v>
      </c>
      <c r="U119" s="55">
        <v>2587.0684999999999</v>
      </c>
      <c r="V119" s="55">
        <v>13866.058800000001</v>
      </c>
      <c r="W119" s="3">
        <v>75</v>
      </c>
    </row>
    <row r="120" spans="1:23" x14ac:dyDescent="0.35">
      <c r="A120" s="3" t="s">
        <v>139</v>
      </c>
      <c r="B120" s="3" t="s">
        <v>558</v>
      </c>
      <c r="C120" s="3" t="s">
        <v>101</v>
      </c>
      <c r="D120" s="3" t="s">
        <v>45</v>
      </c>
      <c r="E120" s="3" t="s">
        <v>27</v>
      </c>
      <c r="F120" s="3" t="s">
        <v>46</v>
      </c>
      <c r="G120" s="3" t="s">
        <v>47</v>
      </c>
      <c r="H120" s="3" t="s">
        <v>30</v>
      </c>
      <c r="I120" s="3" t="s">
        <v>31</v>
      </c>
      <c r="J120" s="3" t="s">
        <v>32</v>
      </c>
      <c r="K120" s="3" t="s">
        <v>33</v>
      </c>
      <c r="L120" s="3" t="s">
        <v>51</v>
      </c>
      <c r="M120" s="3" t="s">
        <v>94</v>
      </c>
      <c r="N120" s="3" t="s">
        <v>95</v>
      </c>
      <c r="O120" s="3" t="s">
        <v>37</v>
      </c>
      <c r="P120" s="3" t="s">
        <v>38</v>
      </c>
      <c r="Q120" s="3" t="s">
        <v>39</v>
      </c>
      <c r="R120" s="3" t="s">
        <v>40</v>
      </c>
      <c r="S120" s="55">
        <v>2625.5</v>
      </c>
      <c r="T120" s="55">
        <v>2468.6484999999998</v>
      </c>
      <c r="U120" s="55">
        <v>49.910400000000003</v>
      </c>
      <c r="V120" s="55">
        <v>156.85149999999999</v>
      </c>
      <c r="W120" s="3">
        <v>94</v>
      </c>
    </row>
    <row r="121" spans="1:23" x14ac:dyDescent="0.35">
      <c r="A121" s="3" t="s">
        <v>139</v>
      </c>
      <c r="B121" s="3" t="s">
        <v>558</v>
      </c>
      <c r="C121" s="3" t="s">
        <v>467</v>
      </c>
      <c r="D121" s="3" t="s">
        <v>45</v>
      </c>
      <c r="E121" s="3" t="s">
        <v>27</v>
      </c>
      <c r="F121" s="3" t="s">
        <v>46</v>
      </c>
      <c r="G121" s="3" t="s">
        <v>47</v>
      </c>
      <c r="H121" s="3" t="s">
        <v>30</v>
      </c>
      <c r="I121" s="3" t="s">
        <v>31</v>
      </c>
      <c r="J121" s="3" t="s">
        <v>32</v>
      </c>
      <c r="K121" s="3" t="s">
        <v>33</v>
      </c>
      <c r="L121" s="3" t="s">
        <v>51</v>
      </c>
      <c r="M121" s="3" t="s">
        <v>94</v>
      </c>
      <c r="N121" s="3" t="s">
        <v>95</v>
      </c>
      <c r="O121" s="3" t="s">
        <v>468</v>
      </c>
      <c r="P121" s="3" t="s">
        <v>469</v>
      </c>
      <c r="Q121" s="3" t="s">
        <v>39</v>
      </c>
      <c r="R121" s="3" t="s">
        <v>40</v>
      </c>
      <c r="S121" s="55">
        <v>2</v>
      </c>
      <c r="T121" s="55">
        <v>1.9904999999999999</v>
      </c>
      <c r="U121" s="55">
        <v>0</v>
      </c>
      <c r="V121" s="55">
        <v>9.4999999999999998E-3</v>
      </c>
      <c r="W121" s="3">
        <v>100</v>
      </c>
    </row>
    <row r="122" spans="1:23" x14ac:dyDescent="0.35">
      <c r="A122" s="3" t="s">
        <v>139</v>
      </c>
      <c r="B122" s="3" t="s">
        <v>558</v>
      </c>
      <c r="C122" s="3" t="s">
        <v>102</v>
      </c>
      <c r="D122" s="3" t="s">
        <v>45</v>
      </c>
      <c r="E122" s="3" t="s">
        <v>27</v>
      </c>
      <c r="F122" s="3" t="s">
        <v>46</v>
      </c>
      <c r="G122" s="3" t="s">
        <v>47</v>
      </c>
      <c r="H122" s="3" t="s">
        <v>30</v>
      </c>
      <c r="I122" s="3" t="s">
        <v>31</v>
      </c>
      <c r="J122" s="3" t="s">
        <v>32</v>
      </c>
      <c r="K122" s="3" t="s">
        <v>33</v>
      </c>
      <c r="L122" s="3" t="s">
        <v>51</v>
      </c>
      <c r="M122" s="3" t="s">
        <v>94</v>
      </c>
      <c r="N122" s="3" t="s">
        <v>95</v>
      </c>
      <c r="O122" s="3" t="s">
        <v>103</v>
      </c>
      <c r="P122" s="3" t="s">
        <v>104</v>
      </c>
      <c r="Q122" s="3" t="s">
        <v>39</v>
      </c>
      <c r="R122" s="3" t="s">
        <v>40</v>
      </c>
      <c r="S122" s="55">
        <v>3.7</v>
      </c>
      <c r="T122" s="55">
        <v>3.2248999999999999</v>
      </c>
      <c r="U122" s="55">
        <v>0.91600000000000004</v>
      </c>
      <c r="V122" s="55">
        <v>0.47510000000000002</v>
      </c>
      <c r="W122" s="3">
        <v>87</v>
      </c>
    </row>
    <row r="123" spans="1:23" x14ac:dyDescent="0.35">
      <c r="A123" s="3" t="s">
        <v>139</v>
      </c>
      <c r="B123" s="3" t="s">
        <v>558</v>
      </c>
      <c r="C123" s="3" t="s">
        <v>105</v>
      </c>
      <c r="D123" s="3" t="s">
        <v>45</v>
      </c>
      <c r="E123" s="3" t="s">
        <v>27</v>
      </c>
      <c r="F123" s="3" t="s">
        <v>46</v>
      </c>
      <c r="G123" s="3" t="s">
        <v>47</v>
      </c>
      <c r="H123" s="3" t="s">
        <v>30</v>
      </c>
      <c r="I123" s="3" t="s">
        <v>31</v>
      </c>
      <c r="J123" s="3" t="s">
        <v>32</v>
      </c>
      <c r="K123" s="3" t="s">
        <v>33</v>
      </c>
      <c r="L123" s="3" t="s">
        <v>51</v>
      </c>
      <c r="M123" s="3" t="s">
        <v>106</v>
      </c>
      <c r="N123" s="3" t="s">
        <v>107</v>
      </c>
      <c r="O123" s="3" t="s">
        <v>108</v>
      </c>
      <c r="P123" s="3" t="s">
        <v>109</v>
      </c>
      <c r="Q123" s="3" t="s">
        <v>39</v>
      </c>
      <c r="R123" s="3" t="s">
        <v>40</v>
      </c>
      <c r="S123" s="55">
        <v>70925.600000000006</v>
      </c>
      <c r="T123" s="55">
        <v>56520.927900000002</v>
      </c>
      <c r="U123" s="55">
        <v>5958.2152999999998</v>
      </c>
      <c r="V123" s="55">
        <v>14404.6721</v>
      </c>
      <c r="W123" s="3">
        <v>80</v>
      </c>
    </row>
    <row r="124" spans="1:23" x14ac:dyDescent="0.35">
      <c r="A124" s="3" t="s">
        <v>139</v>
      </c>
      <c r="B124" s="3" t="s">
        <v>558</v>
      </c>
      <c r="C124" s="3" t="s">
        <v>110</v>
      </c>
      <c r="D124" s="3" t="s">
        <v>45</v>
      </c>
      <c r="E124" s="3" t="s">
        <v>27</v>
      </c>
      <c r="F124" s="3" t="s">
        <v>46</v>
      </c>
      <c r="G124" s="3" t="s">
        <v>47</v>
      </c>
      <c r="H124" s="3" t="s">
        <v>30</v>
      </c>
      <c r="I124" s="3" t="s">
        <v>31</v>
      </c>
      <c r="J124" s="3" t="s">
        <v>32</v>
      </c>
      <c r="K124" s="3" t="s">
        <v>33</v>
      </c>
      <c r="L124" s="3" t="s">
        <v>51</v>
      </c>
      <c r="M124" s="3" t="s">
        <v>111</v>
      </c>
      <c r="N124" s="3" t="s">
        <v>112</v>
      </c>
      <c r="O124" s="3" t="s">
        <v>37</v>
      </c>
      <c r="P124" s="3" t="s">
        <v>38</v>
      </c>
      <c r="Q124" s="3" t="s">
        <v>39</v>
      </c>
      <c r="R124" s="3" t="s">
        <v>40</v>
      </c>
      <c r="S124" s="55">
        <v>3849</v>
      </c>
      <c r="T124" s="55">
        <v>3038.3040000000001</v>
      </c>
      <c r="U124" s="55">
        <v>218.99420000000001</v>
      </c>
      <c r="V124" s="55">
        <v>810.69600000000003</v>
      </c>
      <c r="W124" s="3">
        <v>79</v>
      </c>
    </row>
    <row r="125" spans="1:23" x14ac:dyDescent="0.35">
      <c r="A125" s="3" t="s">
        <v>139</v>
      </c>
      <c r="B125" s="3" t="s">
        <v>558</v>
      </c>
      <c r="C125" s="3" t="s">
        <v>113</v>
      </c>
      <c r="D125" s="3" t="s">
        <v>114</v>
      </c>
      <c r="E125" s="3" t="s">
        <v>115</v>
      </c>
      <c r="F125" s="3" t="s">
        <v>116</v>
      </c>
      <c r="G125" s="3" t="s">
        <v>117</v>
      </c>
      <c r="H125" s="3" t="s">
        <v>48</v>
      </c>
      <c r="I125" s="3" t="s">
        <v>49</v>
      </c>
      <c r="J125" s="3" t="s">
        <v>50</v>
      </c>
      <c r="K125" s="3" t="s">
        <v>33</v>
      </c>
      <c r="L125" s="3" t="s">
        <v>51</v>
      </c>
      <c r="M125" s="3" t="s">
        <v>118</v>
      </c>
      <c r="N125" s="3" t="s">
        <v>119</v>
      </c>
      <c r="O125" s="3" t="s">
        <v>37</v>
      </c>
      <c r="P125" s="3" t="s">
        <v>38</v>
      </c>
      <c r="Q125" s="3" t="s">
        <v>39</v>
      </c>
      <c r="R125" s="3" t="s">
        <v>40</v>
      </c>
      <c r="S125" s="55">
        <v>4082.8</v>
      </c>
      <c r="T125" s="55">
        <v>3578.4357</v>
      </c>
      <c r="U125" s="55">
        <v>321.46620000000001</v>
      </c>
      <c r="V125" s="55">
        <v>504.36430000000001</v>
      </c>
      <c r="W125" s="3">
        <v>88</v>
      </c>
    </row>
    <row r="126" spans="1:23" x14ac:dyDescent="0.35">
      <c r="A126" s="3" t="s">
        <v>139</v>
      </c>
      <c r="B126" s="3" t="s">
        <v>558</v>
      </c>
      <c r="C126" s="3" t="s">
        <v>120</v>
      </c>
      <c r="D126" s="3" t="s">
        <v>114</v>
      </c>
      <c r="E126" s="3" t="s">
        <v>115</v>
      </c>
      <c r="F126" s="3" t="s">
        <v>116</v>
      </c>
      <c r="G126" s="3" t="s">
        <v>117</v>
      </c>
      <c r="H126" s="3" t="s">
        <v>48</v>
      </c>
      <c r="I126" s="3" t="s">
        <v>49</v>
      </c>
      <c r="J126" s="3" t="s">
        <v>50</v>
      </c>
      <c r="K126" s="3" t="s">
        <v>33</v>
      </c>
      <c r="L126" s="3" t="s">
        <v>51</v>
      </c>
      <c r="M126" s="3" t="s">
        <v>118</v>
      </c>
      <c r="N126" s="3" t="s">
        <v>119</v>
      </c>
      <c r="O126" s="3" t="s">
        <v>42</v>
      </c>
      <c r="P126" s="3" t="s">
        <v>43</v>
      </c>
      <c r="Q126" s="3" t="s">
        <v>39</v>
      </c>
      <c r="R126" s="3" t="s">
        <v>40</v>
      </c>
      <c r="S126" s="55">
        <v>8518.1</v>
      </c>
      <c r="T126" s="55">
        <v>513.08050000000003</v>
      </c>
      <c r="U126" s="55">
        <v>109.6823</v>
      </c>
      <c r="V126" s="55">
        <v>8005.0195000000003</v>
      </c>
      <c r="W126" s="3">
        <v>6</v>
      </c>
    </row>
    <row r="127" spans="1:23" x14ac:dyDescent="0.35">
      <c r="A127" s="3" t="s">
        <v>139</v>
      </c>
      <c r="B127" s="3" t="s">
        <v>558</v>
      </c>
      <c r="C127" s="3" t="s">
        <v>121</v>
      </c>
      <c r="D127" s="3" t="s">
        <v>114</v>
      </c>
      <c r="E127" s="3" t="s">
        <v>115</v>
      </c>
      <c r="F127" s="3" t="s">
        <v>116</v>
      </c>
      <c r="G127" s="3" t="s">
        <v>117</v>
      </c>
      <c r="H127" s="3" t="s">
        <v>48</v>
      </c>
      <c r="I127" s="3" t="s">
        <v>49</v>
      </c>
      <c r="J127" s="3" t="s">
        <v>50</v>
      </c>
      <c r="K127" s="3" t="s">
        <v>33</v>
      </c>
      <c r="L127" s="3" t="s">
        <v>51</v>
      </c>
      <c r="M127" s="3" t="s">
        <v>118</v>
      </c>
      <c r="N127" s="3" t="s">
        <v>119</v>
      </c>
      <c r="O127" s="3" t="s">
        <v>122</v>
      </c>
      <c r="P127" s="3" t="s">
        <v>123</v>
      </c>
      <c r="Q127" s="3" t="s">
        <v>39</v>
      </c>
      <c r="R127" s="3" t="s">
        <v>40</v>
      </c>
      <c r="S127" s="55">
        <v>7750.5</v>
      </c>
      <c r="T127" s="55">
        <v>6342.0691999999999</v>
      </c>
      <c r="U127" s="55">
        <v>1828.547</v>
      </c>
      <c r="V127" s="55">
        <v>1408.4308000000001</v>
      </c>
      <c r="W127" s="3">
        <v>82</v>
      </c>
    </row>
    <row r="128" spans="1:23" x14ac:dyDescent="0.35">
      <c r="A128" s="3" t="s">
        <v>139</v>
      </c>
      <c r="B128" s="3" t="s">
        <v>558</v>
      </c>
      <c r="C128" s="3" t="s">
        <v>124</v>
      </c>
      <c r="D128" s="3" t="s">
        <v>114</v>
      </c>
      <c r="E128" s="3" t="s">
        <v>115</v>
      </c>
      <c r="F128" s="3" t="s">
        <v>116</v>
      </c>
      <c r="G128" s="3" t="s">
        <v>117</v>
      </c>
      <c r="H128" s="3" t="s">
        <v>48</v>
      </c>
      <c r="I128" s="3" t="s">
        <v>49</v>
      </c>
      <c r="J128" s="3" t="s">
        <v>50</v>
      </c>
      <c r="K128" s="3" t="s">
        <v>33</v>
      </c>
      <c r="L128" s="3" t="s">
        <v>51</v>
      </c>
      <c r="M128" s="3" t="s">
        <v>118</v>
      </c>
      <c r="N128" s="3" t="s">
        <v>119</v>
      </c>
      <c r="O128" s="3" t="s">
        <v>125</v>
      </c>
      <c r="P128" s="3" t="s">
        <v>126</v>
      </c>
      <c r="Q128" s="3" t="s">
        <v>39</v>
      </c>
      <c r="R128" s="3" t="s">
        <v>40</v>
      </c>
      <c r="S128" s="55">
        <v>2554.3000000000002</v>
      </c>
      <c r="T128" s="55">
        <v>2068.2707</v>
      </c>
      <c r="U128" s="55">
        <v>0</v>
      </c>
      <c r="V128" s="55">
        <v>486.02929999999998</v>
      </c>
      <c r="W128" s="3">
        <v>81</v>
      </c>
    </row>
    <row r="129" spans="1:23" x14ac:dyDescent="0.35">
      <c r="A129" s="3" t="s">
        <v>139</v>
      </c>
      <c r="B129" s="3" t="s">
        <v>558</v>
      </c>
      <c r="C129" s="3" t="s">
        <v>130</v>
      </c>
      <c r="D129" s="3" t="s">
        <v>131</v>
      </c>
      <c r="E129" s="3" t="s">
        <v>115</v>
      </c>
      <c r="F129" s="3" t="s">
        <v>132</v>
      </c>
      <c r="G129" s="3" t="s">
        <v>133</v>
      </c>
      <c r="H129" s="3" t="s">
        <v>48</v>
      </c>
      <c r="I129" s="3" t="s">
        <v>49</v>
      </c>
      <c r="J129" s="3" t="s">
        <v>50</v>
      </c>
      <c r="K129" s="3" t="s">
        <v>33</v>
      </c>
      <c r="L129" s="3" t="s">
        <v>51</v>
      </c>
      <c r="M129" s="3" t="s">
        <v>134</v>
      </c>
      <c r="N129" s="3" t="s">
        <v>135</v>
      </c>
      <c r="O129" s="3" t="s">
        <v>37</v>
      </c>
      <c r="P129" s="3" t="s">
        <v>38</v>
      </c>
      <c r="Q129" s="3" t="s">
        <v>39</v>
      </c>
      <c r="R129" s="3" t="s">
        <v>40</v>
      </c>
      <c r="S129" s="55">
        <v>22.1</v>
      </c>
      <c r="T129" s="55">
        <v>11.1165</v>
      </c>
      <c r="U129" s="55">
        <v>0</v>
      </c>
      <c r="V129" s="55">
        <v>10.983499999999999</v>
      </c>
      <c r="W129" s="3">
        <v>50</v>
      </c>
    </row>
    <row r="130" spans="1:23" x14ac:dyDescent="0.35">
      <c r="A130" s="3" t="s">
        <v>139</v>
      </c>
      <c r="B130" s="3" t="s">
        <v>558</v>
      </c>
      <c r="C130" s="3" t="s">
        <v>448</v>
      </c>
      <c r="D130" s="3" t="s">
        <v>137</v>
      </c>
      <c r="E130" s="3" t="s">
        <v>138</v>
      </c>
      <c r="F130" s="3" t="s">
        <v>139</v>
      </c>
      <c r="G130" s="3" t="s">
        <v>140</v>
      </c>
      <c r="H130" s="3" t="s">
        <v>48</v>
      </c>
      <c r="I130" s="3" t="s">
        <v>49</v>
      </c>
      <c r="J130" s="3" t="s">
        <v>50</v>
      </c>
      <c r="K130" s="3" t="s">
        <v>33</v>
      </c>
      <c r="L130" s="3" t="s">
        <v>51</v>
      </c>
      <c r="M130" s="3" t="s">
        <v>446</v>
      </c>
      <c r="N130" s="3" t="s">
        <v>447</v>
      </c>
      <c r="O130" s="3" t="s">
        <v>197</v>
      </c>
      <c r="P130" s="3" t="s">
        <v>198</v>
      </c>
      <c r="Q130" s="3" t="s">
        <v>39</v>
      </c>
      <c r="R130" s="3" t="s">
        <v>40</v>
      </c>
      <c r="S130" s="55">
        <v>33219</v>
      </c>
      <c r="T130" s="55">
        <v>7965.9939999999997</v>
      </c>
      <c r="U130" s="55">
        <v>642.86580000000004</v>
      </c>
      <c r="V130" s="55">
        <v>25253.006000000001</v>
      </c>
      <c r="W130" s="3">
        <v>24</v>
      </c>
    </row>
    <row r="131" spans="1:23" x14ac:dyDescent="0.35">
      <c r="A131" s="3" t="s">
        <v>139</v>
      </c>
      <c r="B131" s="3" t="s">
        <v>558</v>
      </c>
      <c r="C131" s="3" t="s">
        <v>136</v>
      </c>
      <c r="D131" s="3" t="s">
        <v>137</v>
      </c>
      <c r="E131" s="3" t="s">
        <v>138</v>
      </c>
      <c r="F131" s="3" t="s">
        <v>139</v>
      </c>
      <c r="G131" s="3" t="s">
        <v>140</v>
      </c>
      <c r="H131" s="3" t="s">
        <v>30</v>
      </c>
      <c r="I131" s="3" t="s">
        <v>31</v>
      </c>
      <c r="J131" s="3" t="s">
        <v>32</v>
      </c>
      <c r="K131" s="3" t="s">
        <v>33</v>
      </c>
      <c r="L131" s="3" t="s">
        <v>51</v>
      </c>
      <c r="M131" s="3" t="s">
        <v>141</v>
      </c>
      <c r="N131" s="3" t="s">
        <v>142</v>
      </c>
      <c r="O131" s="3" t="s">
        <v>83</v>
      </c>
      <c r="P131" s="3" t="s">
        <v>84</v>
      </c>
      <c r="Q131" s="3" t="s">
        <v>39</v>
      </c>
      <c r="R131" s="3" t="s">
        <v>40</v>
      </c>
      <c r="S131" s="55">
        <v>5402.8</v>
      </c>
      <c r="T131" s="55">
        <v>3719.8539000000001</v>
      </c>
      <c r="U131" s="55">
        <v>0</v>
      </c>
      <c r="V131" s="55">
        <v>1682.9460999999999</v>
      </c>
      <c r="W131" s="3">
        <v>69</v>
      </c>
    </row>
    <row r="132" spans="1:23" x14ac:dyDescent="0.35">
      <c r="A132" s="3" t="s">
        <v>139</v>
      </c>
      <c r="B132" s="3" t="s">
        <v>558</v>
      </c>
      <c r="C132" s="3" t="s">
        <v>143</v>
      </c>
      <c r="D132" s="3" t="s">
        <v>144</v>
      </c>
      <c r="E132" s="3" t="s">
        <v>145</v>
      </c>
      <c r="F132" s="3" t="s">
        <v>146</v>
      </c>
      <c r="G132" s="3" t="s">
        <v>147</v>
      </c>
      <c r="H132" s="3" t="s">
        <v>116</v>
      </c>
      <c r="I132" s="3" t="s">
        <v>148</v>
      </c>
      <c r="J132" s="3" t="s">
        <v>149</v>
      </c>
      <c r="K132" s="3" t="s">
        <v>33</v>
      </c>
      <c r="L132" s="3" t="s">
        <v>51</v>
      </c>
      <c r="M132" s="3" t="s">
        <v>150</v>
      </c>
      <c r="N132" s="3" t="s">
        <v>151</v>
      </c>
      <c r="O132" s="3" t="s">
        <v>37</v>
      </c>
      <c r="P132" s="3" t="s">
        <v>38</v>
      </c>
      <c r="Q132" s="3" t="s">
        <v>39</v>
      </c>
      <c r="R132" s="3" t="s">
        <v>40</v>
      </c>
      <c r="S132" s="55">
        <v>5247.5</v>
      </c>
      <c r="T132" s="55">
        <v>5021.99</v>
      </c>
      <c r="U132" s="55">
        <v>0</v>
      </c>
      <c r="V132" s="55">
        <v>225.51</v>
      </c>
      <c r="W132" s="3">
        <v>96</v>
      </c>
    </row>
    <row r="133" spans="1:23" x14ac:dyDescent="0.35">
      <c r="A133" s="3" t="s">
        <v>139</v>
      </c>
      <c r="B133" s="3" t="s">
        <v>558</v>
      </c>
      <c r="C133" s="3" t="s">
        <v>152</v>
      </c>
      <c r="D133" s="3" t="s">
        <v>144</v>
      </c>
      <c r="E133" s="3" t="s">
        <v>145</v>
      </c>
      <c r="F133" s="3" t="s">
        <v>146</v>
      </c>
      <c r="G133" s="3" t="s">
        <v>147</v>
      </c>
      <c r="H133" s="3" t="s">
        <v>116</v>
      </c>
      <c r="I133" s="3" t="s">
        <v>148</v>
      </c>
      <c r="J133" s="3" t="s">
        <v>149</v>
      </c>
      <c r="K133" s="3" t="s">
        <v>33</v>
      </c>
      <c r="L133" s="3" t="s">
        <v>51</v>
      </c>
      <c r="M133" s="3" t="s">
        <v>153</v>
      </c>
      <c r="N133" s="3" t="s">
        <v>154</v>
      </c>
      <c r="O133" s="3" t="s">
        <v>37</v>
      </c>
      <c r="P133" s="3" t="s">
        <v>38</v>
      </c>
      <c r="Q133" s="3" t="s">
        <v>39</v>
      </c>
      <c r="R133" s="3" t="s">
        <v>40</v>
      </c>
      <c r="S133" s="55">
        <v>58390</v>
      </c>
      <c r="T133" s="55">
        <v>17052.107</v>
      </c>
      <c r="U133" s="55">
        <v>6790.9201999999996</v>
      </c>
      <c r="V133" s="55">
        <v>41337.892999999996</v>
      </c>
      <c r="W133" s="3">
        <v>29</v>
      </c>
    </row>
    <row r="134" spans="1:23" x14ac:dyDescent="0.35">
      <c r="A134" s="3" t="s">
        <v>139</v>
      </c>
      <c r="B134" s="3" t="s">
        <v>558</v>
      </c>
      <c r="C134" s="3" t="s">
        <v>155</v>
      </c>
      <c r="D134" s="3" t="s">
        <v>144</v>
      </c>
      <c r="E134" s="3" t="s">
        <v>145</v>
      </c>
      <c r="F134" s="3" t="s">
        <v>146</v>
      </c>
      <c r="G134" s="3" t="s">
        <v>147</v>
      </c>
      <c r="H134" s="3" t="s">
        <v>116</v>
      </c>
      <c r="I134" s="3" t="s">
        <v>148</v>
      </c>
      <c r="J134" s="3" t="s">
        <v>149</v>
      </c>
      <c r="K134" s="3" t="s">
        <v>33</v>
      </c>
      <c r="L134" s="3" t="s">
        <v>51</v>
      </c>
      <c r="M134" s="3" t="s">
        <v>156</v>
      </c>
      <c r="N134" s="3" t="s">
        <v>157</v>
      </c>
      <c r="O134" s="3" t="s">
        <v>37</v>
      </c>
      <c r="P134" s="3" t="s">
        <v>38</v>
      </c>
      <c r="Q134" s="3" t="s">
        <v>39</v>
      </c>
      <c r="R134" s="3" t="s">
        <v>40</v>
      </c>
      <c r="S134" s="55">
        <v>3467.9</v>
      </c>
      <c r="T134" s="55">
        <v>593.6721</v>
      </c>
      <c r="U134" s="55">
        <v>7.3337000000000003</v>
      </c>
      <c r="V134" s="55">
        <v>2874.2278999999999</v>
      </c>
      <c r="W134" s="3">
        <v>17</v>
      </c>
    </row>
    <row r="135" spans="1:23" x14ac:dyDescent="0.35">
      <c r="A135" s="3" t="s">
        <v>139</v>
      </c>
      <c r="B135" s="3" t="s">
        <v>558</v>
      </c>
      <c r="C135" s="3" t="s">
        <v>158</v>
      </c>
      <c r="D135" s="3" t="s">
        <v>144</v>
      </c>
      <c r="E135" s="3" t="s">
        <v>145</v>
      </c>
      <c r="F135" s="3" t="s">
        <v>146</v>
      </c>
      <c r="G135" s="3" t="s">
        <v>147</v>
      </c>
      <c r="H135" s="3" t="s">
        <v>116</v>
      </c>
      <c r="I135" s="3" t="s">
        <v>148</v>
      </c>
      <c r="J135" s="3" t="s">
        <v>149</v>
      </c>
      <c r="K135" s="3" t="s">
        <v>33</v>
      </c>
      <c r="L135" s="3" t="s">
        <v>51</v>
      </c>
      <c r="M135" s="3" t="s">
        <v>156</v>
      </c>
      <c r="N135" s="3" t="s">
        <v>157</v>
      </c>
      <c r="O135" s="3" t="s">
        <v>125</v>
      </c>
      <c r="P135" s="3" t="s">
        <v>126</v>
      </c>
      <c r="Q135" s="3" t="s">
        <v>39</v>
      </c>
      <c r="R135" s="3" t="s">
        <v>40</v>
      </c>
      <c r="S135" s="55">
        <v>104832.7</v>
      </c>
      <c r="T135" s="55">
        <v>78152.236999999994</v>
      </c>
      <c r="U135" s="55">
        <v>16.4819</v>
      </c>
      <c r="V135" s="55">
        <v>26680.463</v>
      </c>
      <c r="W135" s="3">
        <v>75</v>
      </c>
    </row>
    <row r="136" spans="1:23" x14ac:dyDescent="0.35">
      <c r="A136" s="3" t="s">
        <v>139</v>
      </c>
      <c r="B136" s="3" t="s">
        <v>558</v>
      </c>
      <c r="C136" s="3" t="s">
        <v>159</v>
      </c>
      <c r="D136" s="3" t="s">
        <v>144</v>
      </c>
      <c r="E136" s="3" t="s">
        <v>145</v>
      </c>
      <c r="F136" s="3" t="s">
        <v>146</v>
      </c>
      <c r="G136" s="3" t="s">
        <v>147</v>
      </c>
      <c r="H136" s="3" t="s">
        <v>116</v>
      </c>
      <c r="I136" s="3" t="s">
        <v>148</v>
      </c>
      <c r="J136" s="3" t="s">
        <v>149</v>
      </c>
      <c r="K136" s="3" t="s">
        <v>33</v>
      </c>
      <c r="L136" s="3" t="s">
        <v>51</v>
      </c>
      <c r="M136" s="3" t="s">
        <v>160</v>
      </c>
      <c r="N136" s="3" t="s">
        <v>161</v>
      </c>
      <c r="O136" s="3" t="s">
        <v>37</v>
      </c>
      <c r="P136" s="3" t="s">
        <v>38</v>
      </c>
      <c r="Q136" s="3" t="s">
        <v>39</v>
      </c>
      <c r="R136" s="3" t="s">
        <v>40</v>
      </c>
      <c r="S136" s="55">
        <v>16476.900000000001</v>
      </c>
      <c r="T136" s="55">
        <v>10754.849700000001</v>
      </c>
      <c r="U136" s="55">
        <v>673.61260000000004</v>
      </c>
      <c r="V136" s="55">
        <v>5722.0502999999999</v>
      </c>
      <c r="W136" s="3">
        <v>65</v>
      </c>
    </row>
    <row r="137" spans="1:23" x14ac:dyDescent="0.35">
      <c r="A137" s="3" t="s">
        <v>139</v>
      </c>
      <c r="B137" s="3" t="s">
        <v>558</v>
      </c>
      <c r="C137" s="3" t="s">
        <v>162</v>
      </c>
      <c r="D137" s="3" t="s">
        <v>144</v>
      </c>
      <c r="E137" s="3" t="s">
        <v>145</v>
      </c>
      <c r="F137" s="3" t="s">
        <v>146</v>
      </c>
      <c r="G137" s="3" t="s">
        <v>147</v>
      </c>
      <c r="H137" s="3" t="s">
        <v>116</v>
      </c>
      <c r="I137" s="3" t="s">
        <v>148</v>
      </c>
      <c r="J137" s="3" t="s">
        <v>149</v>
      </c>
      <c r="K137" s="3" t="s">
        <v>33</v>
      </c>
      <c r="L137" s="3" t="s">
        <v>51</v>
      </c>
      <c r="M137" s="3" t="s">
        <v>160</v>
      </c>
      <c r="N137" s="3" t="s">
        <v>161</v>
      </c>
      <c r="O137" s="3" t="s">
        <v>42</v>
      </c>
      <c r="P137" s="3" t="s">
        <v>43</v>
      </c>
      <c r="Q137" s="3" t="s">
        <v>39</v>
      </c>
      <c r="R137" s="3" t="s">
        <v>40</v>
      </c>
      <c r="S137" s="55">
        <v>8415.9</v>
      </c>
      <c r="T137" s="55">
        <v>4148.9507999999996</v>
      </c>
      <c r="U137" s="55">
        <v>3920.288</v>
      </c>
      <c r="V137" s="55">
        <v>4266.9492</v>
      </c>
      <c r="W137" s="3">
        <v>49</v>
      </c>
    </row>
    <row r="138" spans="1:23" x14ac:dyDescent="0.35">
      <c r="A138" s="3" t="s">
        <v>139</v>
      </c>
      <c r="B138" s="3" t="s">
        <v>558</v>
      </c>
      <c r="C138" s="3" t="s">
        <v>163</v>
      </c>
      <c r="D138" s="3" t="s">
        <v>144</v>
      </c>
      <c r="E138" s="3" t="s">
        <v>145</v>
      </c>
      <c r="F138" s="3" t="s">
        <v>146</v>
      </c>
      <c r="G138" s="3" t="s">
        <v>147</v>
      </c>
      <c r="H138" s="3" t="s">
        <v>116</v>
      </c>
      <c r="I138" s="3" t="s">
        <v>148</v>
      </c>
      <c r="J138" s="3" t="s">
        <v>149</v>
      </c>
      <c r="K138" s="3" t="s">
        <v>33</v>
      </c>
      <c r="L138" s="3" t="s">
        <v>51</v>
      </c>
      <c r="M138" s="3" t="s">
        <v>160</v>
      </c>
      <c r="N138" s="3" t="s">
        <v>161</v>
      </c>
      <c r="O138" s="3" t="s">
        <v>125</v>
      </c>
      <c r="P138" s="3" t="s">
        <v>126</v>
      </c>
      <c r="Q138" s="3" t="s">
        <v>39</v>
      </c>
      <c r="R138" s="3" t="s">
        <v>40</v>
      </c>
      <c r="S138" s="55">
        <v>4785.7</v>
      </c>
      <c r="T138" s="55">
        <v>3837.5237000000002</v>
      </c>
      <c r="U138" s="55">
        <v>0</v>
      </c>
      <c r="V138" s="55">
        <v>948.17629999999997</v>
      </c>
      <c r="W138" s="3">
        <v>80</v>
      </c>
    </row>
    <row r="139" spans="1:23" x14ac:dyDescent="0.35">
      <c r="A139" s="3" t="s">
        <v>139</v>
      </c>
      <c r="B139" s="3" t="s">
        <v>558</v>
      </c>
      <c r="C139" s="3" t="s">
        <v>423</v>
      </c>
      <c r="D139" s="3" t="s">
        <v>165</v>
      </c>
      <c r="E139" s="3" t="s">
        <v>145</v>
      </c>
      <c r="F139" s="3" t="s">
        <v>28</v>
      </c>
      <c r="G139" s="3" t="s">
        <v>166</v>
      </c>
      <c r="H139" s="3" t="s">
        <v>139</v>
      </c>
      <c r="I139" s="3" t="s">
        <v>167</v>
      </c>
      <c r="J139" s="3" t="s">
        <v>168</v>
      </c>
      <c r="K139" s="3" t="s">
        <v>33</v>
      </c>
      <c r="L139" s="3" t="s">
        <v>51</v>
      </c>
      <c r="M139" s="3" t="s">
        <v>424</v>
      </c>
      <c r="N139" s="3" t="s">
        <v>507</v>
      </c>
      <c r="O139" s="3" t="s">
        <v>37</v>
      </c>
      <c r="P139" s="3" t="s">
        <v>38</v>
      </c>
      <c r="Q139" s="3" t="s">
        <v>39</v>
      </c>
      <c r="R139" s="3" t="s">
        <v>40</v>
      </c>
      <c r="S139" s="55">
        <v>3229.3</v>
      </c>
      <c r="T139" s="55">
        <v>340</v>
      </c>
      <c r="U139" s="55">
        <v>0</v>
      </c>
      <c r="V139" s="55">
        <v>2889.3</v>
      </c>
      <c r="W139" s="3">
        <v>11</v>
      </c>
    </row>
    <row r="140" spans="1:23" x14ac:dyDescent="0.35">
      <c r="A140" s="3" t="s">
        <v>139</v>
      </c>
      <c r="B140" s="3" t="s">
        <v>558</v>
      </c>
      <c r="C140" s="3" t="s">
        <v>560</v>
      </c>
      <c r="D140" s="3" t="s">
        <v>165</v>
      </c>
      <c r="E140" s="3" t="s">
        <v>145</v>
      </c>
      <c r="F140" s="3" t="s">
        <v>28</v>
      </c>
      <c r="G140" s="3" t="s">
        <v>166</v>
      </c>
      <c r="H140" s="3" t="s">
        <v>139</v>
      </c>
      <c r="I140" s="3" t="s">
        <v>167</v>
      </c>
      <c r="J140" s="3" t="s">
        <v>168</v>
      </c>
      <c r="K140" s="3" t="s">
        <v>33</v>
      </c>
      <c r="L140" s="3" t="s">
        <v>51</v>
      </c>
      <c r="M140" s="3" t="s">
        <v>424</v>
      </c>
      <c r="N140" s="3" t="s">
        <v>507</v>
      </c>
      <c r="O140" s="3" t="s">
        <v>125</v>
      </c>
      <c r="P140" s="3" t="s">
        <v>126</v>
      </c>
      <c r="Q140" s="3" t="s">
        <v>39</v>
      </c>
      <c r="R140" s="3" t="s">
        <v>40</v>
      </c>
      <c r="S140" s="55">
        <v>250.7</v>
      </c>
      <c r="T140" s="55">
        <v>250.65</v>
      </c>
      <c r="U140" s="55">
        <v>0</v>
      </c>
      <c r="V140" s="55">
        <v>0.05</v>
      </c>
      <c r="W140" s="3">
        <v>100</v>
      </c>
    </row>
    <row r="141" spans="1:23" x14ac:dyDescent="0.35">
      <c r="A141" s="3" t="s">
        <v>139</v>
      </c>
      <c r="B141" s="3" t="s">
        <v>558</v>
      </c>
      <c r="C141" s="3" t="s">
        <v>164</v>
      </c>
      <c r="D141" s="3" t="s">
        <v>165</v>
      </c>
      <c r="E141" s="3" t="s">
        <v>145</v>
      </c>
      <c r="F141" s="3" t="s">
        <v>28</v>
      </c>
      <c r="G141" s="3" t="s">
        <v>166</v>
      </c>
      <c r="H141" s="3" t="s">
        <v>139</v>
      </c>
      <c r="I141" s="3" t="s">
        <v>167</v>
      </c>
      <c r="J141" s="3" t="s">
        <v>168</v>
      </c>
      <c r="K141" s="3" t="s">
        <v>33</v>
      </c>
      <c r="L141" s="3" t="s">
        <v>51</v>
      </c>
      <c r="M141" s="3" t="s">
        <v>169</v>
      </c>
      <c r="N141" s="3" t="s">
        <v>170</v>
      </c>
      <c r="O141" s="3" t="s">
        <v>37</v>
      </c>
      <c r="P141" s="3" t="s">
        <v>38</v>
      </c>
      <c r="Q141" s="3" t="s">
        <v>39</v>
      </c>
      <c r="R141" s="3" t="s">
        <v>40</v>
      </c>
      <c r="S141" s="55">
        <v>52212.9</v>
      </c>
      <c r="T141" s="55">
        <v>9332.2780000000002</v>
      </c>
      <c r="U141" s="55">
        <v>892.82989999999995</v>
      </c>
      <c r="V141" s="55">
        <v>42880.622000000003</v>
      </c>
      <c r="W141" s="3">
        <v>18</v>
      </c>
    </row>
    <row r="142" spans="1:23" x14ac:dyDescent="0.35">
      <c r="A142" s="3" t="s">
        <v>139</v>
      </c>
      <c r="B142" s="3" t="s">
        <v>558</v>
      </c>
      <c r="C142" s="3" t="s">
        <v>561</v>
      </c>
      <c r="D142" s="3" t="s">
        <v>165</v>
      </c>
      <c r="E142" s="3" t="s">
        <v>145</v>
      </c>
      <c r="F142" s="3" t="s">
        <v>28</v>
      </c>
      <c r="G142" s="3" t="s">
        <v>166</v>
      </c>
      <c r="H142" s="3" t="s">
        <v>139</v>
      </c>
      <c r="I142" s="3" t="s">
        <v>167</v>
      </c>
      <c r="J142" s="3" t="s">
        <v>168</v>
      </c>
      <c r="K142" s="3" t="s">
        <v>33</v>
      </c>
      <c r="L142" s="3" t="s">
        <v>51</v>
      </c>
      <c r="M142" s="3" t="s">
        <v>169</v>
      </c>
      <c r="N142" s="3" t="s">
        <v>170</v>
      </c>
      <c r="O142" s="3" t="s">
        <v>125</v>
      </c>
      <c r="P142" s="3" t="s">
        <v>126</v>
      </c>
      <c r="Q142" s="3" t="s">
        <v>39</v>
      </c>
      <c r="R142" s="3" t="s">
        <v>40</v>
      </c>
      <c r="S142" s="55">
        <v>406.8</v>
      </c>
      <c r="T142" s="55">
        <v>406.8</v>
      </c>
      <c r="U142" s="55">
        <v>0</v>
      </c>
      <c r="V142" s="55">
        <v>0</v>
      </c>
      <c r="W142" s="3">
        <v>100</v>
      </c>
    </row>
    <row r="143" spans="1:23" x14ac:dyDescent="0.35">
      <c r="A143" s="3" t="s">
        <v>139</v>
      </c>
      <c r="B143" s="3" t="s">
        <v>558</v>
      </c>
      <c r="C143" s="3" t="s">
        <v>171</v>
      </c>
      <c r="D143" s="3" t="s">
        <v>165</v>
      </c>
      <c r="E143" s="3" t="s">
        <v>145</v>
      </c>
      <c r="F143" s="3" t="s">
        <v>28</v>
      </c>
      <c r="G143" s="3" t="s">
        <v>166</v>
      </c>
      <c r="H143" s="3" t="s">
        <v>139</v>
      </c>
      <c r="I143" s="3" t="s">
        <v>167</v>
      </c>
      <c r="J143" s="3" t="s">
        <v>168</v>
      </c>
      <c r="K143" s="3" t="s">
        <v>33</v>
      </c>
      <c r="L143" s="3" t="s">
        <v>51</v>
      </c>
      <c r="M143" s="3" t="s">
        <v>172</v>
      </c>
      <c r="N143" s="3" t="s">
        <v>173</v>
      </c>
      <c r="O143" s="3" t="s">
        <v>37</v>
      </c>
      <c r="P143" s="3" t="s">
        <v>38</v>
      </c>
      <c r="Q143" s="3" t="s">
        <v>39</v>
      </c>
      <c r="R143" s="3" t="s">
        <v>40</v>
      </c>
      <c r="S143" s="55">
        <v>149818.5</v>
      </c>
      <c r="T143" s="55">
        <v>72912.054000000004</v>
      </c>
      <c r="U143" s="55">
        <v>27930.651900000001</v>
      </c>
      <c r="V143" s="55">
        <v>76906.445999999996</v>
      </c>
      <c r="W143" s="3">
        <v>49</v>
      </c>
    </row>
    <row r="144" spans="1:23" x14ac:dyDescent="0.35">
      <c r="A144" s="3" t="s">
        <v>139</v>
      </c>
      <c r="B144" s="3" t="s">
        <v>558</v>
      </c>
      <c r="C144" s="3" t="s">
        <v>562</v>
      </c>
      <c r="D144" s="3" t="s">
        <v>165</v>
      </c>
      <c r="E144" s="3" t="s">
        <v>145</v>
      </c>
      <c r="F144" s="3" t="s">
        <v>28</v>
      </c>
      <c r="G144" s="3" t="s">
        <v>166</v>
      </c>
      <c r="H144" s="3" t="s">
        <v>139</v>
      </c>
      <c r="I144" s="3" t="s">
        <v>167</v>
      </c>
      <c r="J144" s="3" t="s">
        <v>168</v>
      </c>
      <c r="K144" s="3" t="s">
        <v>33</v>
      </c>
      <c r="L144" s="3" t="s">
        <v>51</v>
      </c>
      <c r="M144" s="3" t="s">
        <v>172</v>
      </c>
      <c r="N144" s="3" t="s">
        <v>173</v>
      </c>
      <c r="O144" s="3" t="s">
        <v>125</v>
      </c>
      <c r="P144" s="3" t="s">
        <v>126</v>
      </c>
      <c r="Q144" s="3" t="s">
        <v>39</v>
      </c>
      <c r="R144" s="3" t="s">
        <v>40</v>
      </c>
      <c r="S144" s="55">
        <v>2086.8000000000002</v>
      </c>
      <c r="T144" s="55">
        <v>2086.8000000000002</v>
      </c>
      <c r="U144" s="55">
        <v>0</v>
      </c>
      <c r="V144" s="55">
        <v>0</v>
      </c>
      <c r="W144" s="3">
        <v>100</v>
      </c>
    </row>
    <row r="145" spans="1:23" x14ac:dyDescent="0.35">
      <c r="A145" s="3" t="s">
        <v>139</v>
      </c>
      <c r="B145" s="3" t="s">
        <v>558</v>
      </c>
      <c r="C145" s="3" t="s">
        <v>174</v>
      </c>
      <c r="D145" s="3" t="s">
        <v>175</v>
      </c>
      <c r="E145" s="3" t="s">
        <v>145</v>
      </c>
      <c r="F145" s="3" t="s">
        <v>176</v>
      </c>
      <c r="G145" s="3" t="s">
        <v>177</v>
      </c>
      <c r="H145" s="3" t="s">
        <v>116</v>
      </c>
      <c r="I145" s="3" t="s">
        <v>148</v>
      </c>
      <c r="J145" s="3" t="s">
        <v>149</v>
      </c>
      <c r="K145" s="3" t="s">
        <v>33</v>
      </c>
      <c r="L145" s="3" t="s">
        <v>51</v>
      </c>
      <c r="M145" s="3" t="s">
        <v>178</v>
      </c>
      <c r="N145" s="3" t="s">
        <v>179</v>
      </c>
      <c r="O145" s="3" t="s">
        <v>96</v>
      </c>
      <c r="P145" s="3" t="s">
        <v>97</v>
      </c>
      <c r="Q145" s="3" t="s">
        <v>39</v>
      </c>
      <c r="R145" s="3" t="s">
        <v>40</v>
      </c>
      <c r="S145" s="55">
        <v>459993.3</v>
      </c>
      <c r="T145" s="55">
        <v>356942.70990000002</v>
      </c>
      <c r="U145" s="55">
        <v>34781.425300000003</v>
      </c>
      <c r="V145" s="55">
        <v>103050.5901</v>
      </c>
      <c r="W145" s="3">
        <v>78</v>
      </c>
    </row>
    <row r="146" spans="1:23" x14ac:dyDescent="0.35">
      <c r="A146" s="3" t="s">
        <v>139</v>
      </c>
      <c r="B146" s="3" t="s">
        <v>558</v>
      </c>
      <c r="C146" s="3" t="s">
        <v>180</v>
      </c>
      <c r="D146" s="3" t="s">
        <v>175</v>
      </c>
      <c r="E146" s="3" t="s">
        <v>145</v>
      </c>
      <c r="F146" s="3" t="s">
        <v>176</v>
      </c>
      <c r="G146" s="3" t="s">
        <v>177</v>
      </c>
      <c r="H146" s="3" t="s">
        <v>116</v>
      </c>
      <c r="I146" s="3" t="s">
        <v>148</v>
      </c>
      <c r="J146" s="3" t="s">
        <v>149</v>
      </c>
      <c r="K146" s="3" t="s">
        <v>33</v>
      </c>
      <c r="L146" s="3" t="s">
        <v>51</v>
      </c>
      <c r="M146" s="3" t="s">
        <v>178</v>
      </c>
      <c r="N146" s="3" t="s">
        <v>179</v>
      </c>
      <c r="O146" s="3" t="s">
        <v>99</v>
      </c>
      <c r="P146" s="3" t="s">
        <v>100</v>
      </c>
      <c r="Q146" s="3" t="s">
        <v>39</v>
      </c>
      <c r="R146" s="3" t="s">
        <v>40</v>
      </c>
      <c r="S146" s="55">
        <v>137856.6</v>
      </c>
      <c r="T146" s="55">
        <v>109143.2108</v>
      </c>
      <c r="U146" s="55">
        <v>9847.1532000000007</v>
      </c>
      <c r="V146" s="55">
        <v>28713.389200000001</v>
      </c>
      <c r="W146" s="3">
        <v>79</v>
      </c>
    </row>
    <row r="147" spans="1:23" x14ac:dyDescent="0.35">
      <c r="A147" s="3" t="s">
        <v>139</v>
      </c>
      <c r="B147" s="3" t="s">
        <v>558</v>
      </c>
      <c r="C147" s="3" t="s">
        <v>181</v>
      </c>
      <c r="D147" s="3" t="s">
        <v>175</v>
      </c>
      <c r="E147" s="3" t="s">
        <v>145</v>
      </c>
      <c r="F147" s="3" t="s">
        <v>176</v>
      </c>
      <c r="G147" s="3" t="s">
        <v>177</v>
      </c>
      <c r="H147" s="3" t="s">
        <v>116</v>
      </c>
      <c r="I147" s="3" t="s">
        <v>148</v>
      </c>
      <c r="J147" s="3" t="s">
        <v>149</v>
      </c>
      <c r="K147" s="3" t="s">
        <v>33</v>
      </c>
      <c r="L147" s="3" t="s">
        <v>51</v>
      </c>
      <c r="M147" s="3" t="s">
        <v>178</v>
      </c>
      <c r="N147" s="3" t="s">
        <v>179</v>
      </c>
      <c r="O147" s="3" t="s">
        <v>37</v>
      </c>
      <c r="P147" s="3" t="s">
        <v>38</v>
      </c>
      <c r="Q147" s="3" t="s">
        <v>39</v>
      </c>
      <c r="R147" s="3" t="s">
        <v>40</v>
      </c>
      <c r="S147" s="55">
        <v>121017.3</v>
      </c>
      <c r="T147" s="55">
        <v>64955.890599999999</v>
      </c>
      <c r="U147" s="55">
        <v>13953.067499999999</v>
      </c>
      <c r="V147" s="55">
        <v>56061.409399999997</v>
      </c>
      <c r="W147" s="3">
        <v>54</v>
      </c>
    </row>
    <row r="148" spans="1:23" x14ac:dyDescent="0.35">
      <c r="A148" s="3" t="s">
        <v>139</v>
      </c>
      <c r="B148" s="3" t="s">
        <v>558</v>
      </c>
      <c r="C148" s="3" t="s">
        <v>182</v>
      </c>
      <c r="D148" s="3" t="s">
        <v>175</v>
      </c>
      <c r="E148" s="3" t="s">
        <v>145</v>
      </c>
      <c r="F148" s="3" t="s">
        <v>176</v>
      </c>
      <c r="G148" s="3" t="s">
        <v>177</v>
      </c>
      <c r="H148" s="3" t="s">
        <v>116</v>
      </c>
      <c r="I148" s="3" t="s">
        <v>148</v>
      </c>
      <c r="J148" s="3" t="s">
        <v>149</v>
      </c>
      <c r="K148" s="3" t="s">
        <v>33</v>
      </c>
      <c r="L148" s="3" t="s">
        <v>51</v>
      </c>
      <c r="M148" s="3" t="s">
        <v>178</v>
      </c>
      <c r="N148" s="3" t="s">
        <v>179</v>
      </c>
      <c r="O148" s="3" t="s">
        <v>42</v>
      </c>
      <c r="P148" s="3" t="s">
        <v>43</v>
      </c>
      <c r="Q148" s="3" t="s">
        <v>39</v>
      </c>
      <c r="R148" s="3" t="s">
        <v>40</v>
      </c>
      <c r="S148" s="55">
        <v>4461.7</v>
      </c>
      <c r="T148" s="55">
        <v>2400.6374999999998</v>
      </c>
      <c r="U148" s="55">
        <v>234.07169999999999</v>
      </c>
      <c r="V148" s="55">
        <v>2061.0625</v>
      </c>
      <c r="W148" s="3">
        <v>54</v>
      </c>
    </row>
    <row r="149" spans="1:23" x14ac:dyDescent="0.35">
      <c r="A149" s="3" t="s">
        <v>139</v>
      </c>
      <c r="B149" s="3" t="s">
        <v>558</v>
      </c>
      <c r="C149" s="3" t="s">
        <v>486</v>
      </c>
      <c r="D149" s="3" t="s">
        <v>175</v>
      </c>
      <c r="E149" s="3" t="s">
        <v>145</v>
      </c>
      <c r="F149" s="3" t="s">
        <v>176</v>
      </c>
      <c r="G149" s="3" t="s">
        <v>177</v>
      </c>
      <c r="H149" s="3" t="s">
        <v>116</v>
      </c>
      <c r="I149" s="3" t="s">
        <v>148</v>
      </c>
      <c r="J149" s="3" t="s">
        <v>149</v>
      </c>
      <c r="K149" s="3" t="s">
        <v>33</v>
      </c>
      <c r="L149" s="3" t="s">
        <v>51</v>
      </c>
      <c r="M149" s="3" t="s">
        <v>178</v>
      </c>
      <c r="N149" s="3" t="s">
        <v>179</v>
      </c>
      <c r="O149" s="3" t="s">
        <v>91</v>
      </c>
      <c r="P149" s="3" t="s">
        <v>92</v>
      </c>
      <c r="Q149" s="3" t="s">
        <v>39</v>
      </c>
      <c r="R149" s="3" t="s">
        <v>40</v>
      </c>
      <c r="S149" s="55">
        <v>284.7</v>
      </c>
      <c r="T149" s="55">
        <v>280.87279999999998</v>
      </c>
      <c r="U149" s="55">
        <v>0</v>
      </c>
      <c r="V149" s="55">
        <v>3.8271999999999999</v>
      </c>
      <c r="W149" s="3">
        <v>99</v>
      </c>
    </row>
    <row r="150" spans="1:23" x14ac:dyDescent="0.35">
      <c r="A150" s="3" t="s">
        <v>139</v>
      </c>
      <c r="B150" s="3" t="s">
        <v>558</v>
      </c>
      <c r="C150" s="3" t="s">
        <v>183</v>
      </c>
      <c r="D150" s="3" t="s">
        <v>175</v>
      </c>
      <c r="E150" s="3" t="s">
        <v>145</v>
      </c>
      <c r="F150" s="3" t="s">
        <v>176</v>
      </c>
      <c r="G150" s="3" t="s">
        <v>177</v>
      </c>
      <c r="H150" s="3" t="s">
        <v>116</v>
      </c>
      <c r="I150" s="3" t="s">
        <v>148</v>
      </c>
      <c r="J150" s="3" t="s">
        <v>149</v>
      </c>
      <c r="K150" s="3" t="s">
        <v>33</v>
      </c>
      <c r="L150" s="3" t="s">
        <v>51</v>
      </c>
      <c r="M150" s="3" t="s">
        <v>178</v>
      </c>
      <c r="N150" s="3" t="s">
        <v>179</v>
      </c>
      <c r="O150" s="3" t="s">
        <v>122</v>
      </c>
      <c r="P150" s="3" t="s">
        <v>123</v>
      </c>
      <c r="Q150" s="3" t="s">
        <v>39</v>
      </c>
      <c r="R150" s="3" t="s">
        <v>40</v>
      </c>
      <c r="S150" s="55">
        <v>183.2</v>
      </c>
      <c r="T150" s="55">
        <v>137.387</v>
      </c>
      <c r="U150" s="55">
        <v>45.646999999999998</v>
      </c>
      <c r="V150" s="55">
        <v>45.813000000000002</v>
      </c>
      <c r="W150" s="3">
        <v>75</v>
      </c>
    </row>
    <row r="151" spans="1:23" x14ac:dyDescent="0.35">
      <c r="A151" s="3" t="s">
        <v>139</v>
      </c>
      <c r="B151" s="3" t="s">
        <v>558</v>
      </c>
      <c r="C151" s="3" t="s">
        <v>184</v>
      </c>
      <c r="D151" s="3" t="s">
        <v>175</v>
      </c>
      <c r="E151" s="3" t="s">
        <v>145</v>
      </c>
      <c r="F151" s="3" t="s">
        <v>176</v>
      </c>
      <c r="G151" s="3" t="s">
        <v>177</v>
      </c>
      <c r="H151" s="3" t="s">
        <v>116</v>
      </c>
      <c r="I151" s="3" t="s">
        <v>148</v>
      </c>
      <c r="J151" s="3" t="s">
        <v>149</v>
      </c>
      <c r="K151" s="3" t="s">
        <v>33</v>
      </c>
      <c r="L151" s="3" t="s">
        <v>51</v>
      </c>
      <c r="M151" s="3" t="s">
        <v>178</v>
      </c>
      <c r="N151" s="3" t="s">
        <v>179</v>
      </c>
      <c r="O151" s="3" t="s">
        <v>103</v>
      </c>
      <c r="P151" s="3" t="s">
        <v>104</v>
      </c>
      <c r="Q151" s="3" t="s">
        <v>39</v>
      </c>
      <c r="R151" s="3" t="s">
        <v>40</v>
      </c>
      <c r="S151" s="55">
        <v>675.8</v>
      </c>
      <c r="T151" s="55">
        <v>537.55769999999995</v>
      </c>
      <c r="U151" s="55">
        <v>104.425</v>
      </c>
      <c r="V151" s="55">
        <v>138.2423</v>
      </c>
      <c r="W151" s="3">
        <v>80</v>
      </c>
    </row>
    <row r="152" spans="1:23" x14ac:dyDescent="0.35">
      <c r="A152" s="3" t="s">
        <v>139</v>
      </c>
      <c r="B152" s="3" t="s">
        <v>558</v>
      </c>
      <c r="C152" s="3" t="s">
        <v>563</v>
      </c>
      <c r="D152" s="3" t="s">
        <v>175</v>
      </c>
      <c r="E152" s="3" t="s">
        <v>145</v>
      </c>
      <c r="F152" s="3" t="s">
        <v>176</v>
      </c>
      <c r="G152" s="3" t="s">
        <v>177</v>
      </c>
      <c r="H152" s="3" t="s">
        <v>116</v>
      </c>
      <c r="I152" s="3" t="s">
        <v>148</v>
      </c>
      <c r="J152" s="3" t="s">
        <v>149</v>
      </c>
      <c r="K152" s="3" t="s">
        <v>33</v>
      </c>
      <c r="L152" s="3" t="s">
        <v>51</v>
      </c>
      <c r="M152" s="3" t="s">
        <v>178</v>
      </c>
      <c r="N152" s="3" t="s">
        <v>179</v>
      </c>
      <c r="O152" s="3" t="s">
        <v>125</v>
      </c>
      <c r="P152" s="3" t="s">
        <v>126</v>
      </c>
      <c r="Q152" s="3" t="s">
        <v>39</v>
      </c>
      <c r="R152" s="3" t="s">
        <v>40</v>
      </c>
      <c r="S152" s="55">
        <v>185</v>
      </c>
      <c r="T152" s="55">
        <v>185</v>
      </c>
      <c r="U152" s="55">
        <v>0</v>
      </c>
      <c r="V152" s="55">
        <v>0</v>
      </c>
      <c r="W152" s="3">
        <v>100</v>
      </c>
    </row>
    <row r="153" spans="1:23" x14ac:dyDescent="0.35">
      <c r="A153" s="3" t="s">
        <v>139</v>
      </c>
      <c r="B153" s="3" t="s">
        <v>558</v>
      </c>
      <c r="C153" s="3" t="s">
        <v>473</v>
      </c>
      <c r="D153" s="3" t="s">
        <v>175</v>
      </c>
      <c r="E153" s="3" t="s">
        <v>145</v>
      </c>
      <c r="F153" s="3" t="s">
        <v>176</v>
      </c>
      <c r="G153" s="3" t="s">
        <v>177</v>
      </c>
      <c r="H153" s="3" t="s">
        <v>116</v>
      </c>
      <c r="I153" s="3" t="s">
        <v>148</v>
      </c>
      <c r="J153" s="3" t="s">
        <v>149</v>
      </c>
      <c r="K153" s="3" t="s">
        <v>33</v>
      </c>
      <c r="L153" s="3" t="s">
        <v>51</v>
      </c>
      <c r="M153" s="3" t="s">
        <v>474</v>
      </c>
      <c r="N153" s="3" t="s">
        <v>475</v>
      </c>
      <c r="O153" s="3" t="s">
        <v>37</v>
      </c>
      <c r="P153" s="3" t="s">
        <v>38</v>
      </c>
      <c r="Q153" s="3" t="s">
        <v>39</v>
      </c>
      <c r="R153" s="3" t="s">
        <v>40</v>
      </c>
      <c r="S153" s="55">
        <v>3157.5</v>
      </c>
      <c r="T153" s="55">
        <v>2570.8843999999999</v>
      </c>
      <c r="U153" s="55">
        <v>2570.8843999999999</v>
      </c>
      <c r="V153" s="55">
        <v>586.61559999999997</v>
      </c>
      <c r="W153" s="3">
        <v>81</v>
      </c>
    </row>
    <row r="154" spans="1:23" x14ac:dyDescent="0.35">
      <c r="A154" s="3" t="s">
        <v>139</v>
      </c>
      <c r="B154" s="3" t="s">
        <v>558</v>
      </c>
      <c r="C154" s="3" t="s">
        <v>185</v>
      </c>
      <c r="D154" s="3" t="s">
        <v>186</v>
      </c>
      <c r="E154" s="3" t="s">
        <v>187</v>
      </c>
      <c r="F154" s="3" t="s">
        <v>146</v>
      </c>
      <c r="G154" s="3" t="s">
        <v>188</v>
      </c>
      <c r="H154" s="3" t="s">
        <v>189</v>
      </c>
      <c r="I154" s="3" t="s">
        <v>190</v>
      </c>
      <c r="J154" s="3" t="s">
        <v>191</v>
      </c>
      <c r="K154" s="3" t="s">
        <v>33</v>
      </c>
      <c r="L154" s="3" t="s">
        <v>51</v>
      </c>
      <c r="M154" s="3" t="s">
        <v>192</v>
      </c>
      <c r="N154" s="3" t="s">
        <v>193</v>
      </c>
      <c r="O154" s="3" t="s">
        <v>108</v>
      </c>
      <c r="P154" s="3" t="s">
        <v>109</v>
      </c>
      <c r="Q154" s="3" t="s">
        <v>39</v>
      </c>
      <c r="R154" s="3" t="s">
        <v>40</v>
      </c>
      <c r="S154" s="55">
        <v>4988386</v>
      </c>
      <c r="T154" s="55">
        <v>3891529.8708000001</v>
      </c>
      <c r="U154" s="55">
        <v>381988.71549999999</v>
      </c>
      <c r="V154" s="55">
        <v>1096856.1292000001</v>
      </c>
      <c r="W154" s="3">
        <v>78</v>
      </c>
    </row>
    <row r="155" spans="1:23" x14ac:dyDescent="0.35">
      <c r="A155" s="3" t="s">
        <v>139</v>
      </c>
      <c r="B155" s="3" t="s">
        <v>558</v>
      </c>
      <c r="C155" s="3" t="s">
        <v>508</v>
      </c>
      <c r="D155" s="3" t="s">
        <v>186</v>
      </c>
      <c r="E155" s="3" t="s">
        <v>187</v>
      </c>
      <c r="F155" s="3" t="s">
        <v>146</v>
      </c>
      <c r="G155" s="3" t="s">
        <v>188</v>
      </c>
      <c r="H155" s="3" t="s">
        <v>189</v>
      </c>
      <c r="I155" s="3" t="s">
        <v>190</v>
      </c>
      <c r="J155" s="3" t="s">
        <v>191</v>
      </c>
      <c r="K155" s="3" t="s">
        <v>33</v>
      </c>
      <c r="L155" s="3" t="s">
        <v>51</v>
      </c>
      <c r="M155" s="3" t="s">
        <v>227</v>
      </c>
      <c r="N155" s="3" t="s">
        <v>228</v>
      </c>
      <c r="O155" s="3" t="s">
        <v>197</v>
      </c>
      <c r="P155" s="3" t="s">
        <v>198</v>
      </c>
      <c r="Q155" s="3" t="s">
        <v>39</v>
      </c>
      <c r="R155" s="3" t="s">
        <v>40</v>
      </c>
      <c r="S155" s="55">
        <v>29473.1</v>
      </c>
      <c r="T155" s="55">
        <v>8176.0011999999997</v>
      </c>
      <c r="U155" s="55">
        <v>0</v>
      </c>
      <c r="V155" s="55">
        <v>21297.0988</v>
      </c>
      <c r="W155" s="3">
        <v>28</v>
      </c>
    </row>
    <row r="156" spans="1:23" x14ac:dyDescent="0.35">
      <c r="A156" s="3" t="s">
        <v>139</v>
      </c>
      <c r="B156" s="3" t="s">
        <v>558</v>
      </c>
      <c r="C156" s="3" t="s">
        <v>194</v>
      </c>
      <c r="D156" s="3" t="s">
        <v>186</v>
      </c>
      <c r="E156" s="3" t="s">
        <v>187</v>
      </c>
      <c r="F156" s="3" t="s">
        <v>146</v>
      </c>
      <c r="G156" s="3" t="s">
        <v>188</v>
      </c>
      <c r="H156" s="3" t="s">
        <v>189</v>
      </c>
      <c r="I156" s="3" t="s">
        <v>190</v>
      </c>
      <c r="J156" s="3" t="s">
        <v>191</v>
      </c>
      <c r="K156" s="3" t="s">
        <v>33</v>
      </c>
      <c r="L156" s="3" t="s">
        <v>51</v>
      </c>
      <c r="M156" s="3" t="s">
        <v>195</v>
      </c>
      <c r="N156" s="3" t="s">
        <v>509</v>
      </c>
      <c r="O156" s="3" t="s">
        <v>197</v>
      </c>
      <c r="P156" s="3" t="s">
        <v>198</v>
      </c>
      <c r="Q156" s="3" t="s">
        <v>39</v>
      </c>
      <c r="R156" s="3" t="s">
        <v>40</v>
      </c>
      <c r="S156" s="55">
        <v>32937.4</v>
      </c>
      <c r="T156" s="55">
        <v>31137.7019</v>
      </c>
      <c r="U156" s="55">
        <v>2929.9998999999998</v>
      </c>
      <c r="V156" s="55">
        <v>1799.6981000000001</v>
      </c>
      <c r="W156" s="3">
        <v>95</v>
      </c>
    </row>
    <row r="157" spans="1:23" x14ac:dyDescent="0.35">
      <c r="A157" s="3" t="s">
        <v>139</v>
      </c>
      <c r="B157" s="3" t="s">
        <v>558</v>
      </c>
      <c r="C157" s="3" t="s">
        <v>510</v>
      </c>
      <c r="D157" s="3" t="s">
        <v>200</v>
      </c>
      <c r="E157" s="3" t="s">
        <v>187</v>
      </c>
      <c r="F157" s="3" t="s">
        <v>189</v>
      </c>
      <c r="G157" s="3" t="s">
        <v>201</v>
      </c>
      <c r="H157" s="3" t="s">
        <v>189</v>
      </c>
      <c r="I157" s="3" t="s">
        <v>190</v>
      </c>
      <c r="J157" s="3" t="s">
        <v>202</v>
      </c>
      <c r="K157" s="3" t="s">
        <v>23</v>
      </c>
      <c r="L157" s="3" t="s">
        <v>203</v>
      </c>
      <c r="M157" s="3" t="s">
        <v>511</v>
      </c>
      <c r="N157" s="3" t="s">
        <v>205</v>
      </c>
      <c r="O157" s="3" t="s">
        <v>197</v>
      </c>
      <c r="P157" s="3" t="s">
        <v>198</v>
      </c>
      <c r="Q157" s="3" t="s">
        <v>39</v>
      </c>
      <c r="R157" s="3" t="s">
        <v>40</v>
      </c>
      <c r="S157" s="55">
        <v>21148</v>
      </c>
      <c r="T157" s="55">
        <v>17623.060000000001</v>
      </c>
      <c r="U157" s="55">
        <v>1762.2418</v>
      </c>
      <c r="V157" s="55">
        <v>3524.94</v>
      </c>
      <c r="W157" s="3">
        <v>83</v>
      </c>
    </row>
    <row r="158" spans="1:23" x14ac:dyDescent="0.35">
      <c r="A158" s="3" t="s">
        <v>139</v>
      </c>
      <c r="B158" s="3" t="s">
        <v>558</v>
      </c>
      <c r="C158" s="3" t="s">
        <v>512</v>
      </c>
      <c r="D158" s="3" t="s">
        <v>200</v>
      </c>
      <c r="E158" s="3" t="s">
        <v>187</v>
      </c>
      <c r="F158" s="3" t="s">
        <v>189</v>
      </c>
      <c r="G158" s="3" t="s">
        <v>201</v>
      </c>
      <c r="H158" s="3" t="s">
        <v>189</v>
      </c>
      <c r="I158" s="3" t="s">
        <v>190</v>
      </c>
      <c r="J158" s="3" t="s">
        <v>202</v>
      </c>
      <c r="K158" s="3" t="s">
        <v>23</v>
      </c>
      <c r="L158" s="3" t="s">
        <v>203</v>
      </c>
      <c r="M158" s="3" t="s">
        <v>513</v>
      </c>
      <c r="N158" s="3" t="s">
        <v>514</v>
      </c>
      <c r="O158" s="3" t="s">
        <v>197</v>
      </c>
      <c r="P158" s="3" t="s">
        <v>198</v>
      </c>
      <c r="Q158" s="3" t="s">
        <v>39</v>
      </c>
      <c r="R158" s="3" t="s">
        <v>40</v>
      </c>
      <c r="S158" s="55">
        <v>1977.2</v>
      </c>
      <c r="T158" s="55">
        <v>1975.2195999999999</v>
      </c>
      <c r="U158" s="55">
        <v>0</v>
      </c>
      <c r="V158" s="55">
        <v>1.9803999999999999</v>
      </c>
      <c r="W158" s="3">
        <v>100</v>
      </c>
    </row>
    <row r="159" spans="1:23" x14ac:dyDescent="0.35">
      <c r="A159" s="3" t="s">
        <v>139</v>
      </c>
      <c r="B159" s="3" t="s">
        <v>558</v>
      </c>
      <c r="C159" s="3" t="s">
        <v>209</v>
      </c>
      <c r="D159" s="3" t="s">
        <v>200</v>
      </c>
      <c r="E159" s="3" t="s">
        <v>187</v>
      </c>
      <c r="F159" s="3" t="s">
        <v>189</v>
      </c>
      <c r="G159" s="3" t="s">
        <v>201</v>
      </c>
      <c r="H159" s="3" t="s">
        <v>189</v>
      </c>
      <c r="I159" s="3" t="s">
        <v>190</v>
      </c>
      <c r="J159" s="3" t="s">
        <v>191</v>
      </c>
      <c r="K159" s="3" t="s">
        <v>33</v>
      </c>
      <c r="L159" s="3" t="s">
        <v>51</v>
      </c>
      <c r="M159" s="3" t="s">
        <v>210</v>
      </c>
      <c r="N159" s="3" t="s">
        <v>211</v>
      </c>
      <c r="O159" s="3" t="s">
        <v>108</v>
      </c>
      <c r="P159" s="3" t="s">
        <v>109</v>
      </c>
      <c r="Q159" s="3" t="s">
        <v>39</v>
      </c>
      <c r="R159" s="3" t="s">
        <v>40</v>
      </c>
      <c r="S159" s="55">
        <v>4853108.9000000004</v>
      </c>
      <c r="T159" s="55">
        <v>3866971.9057999998</v>
      </c>
      <c r="U159" s="55">
        <v>384673.02149999997</v>
      </c>
      <c r="V159" s="55">
        <v>986136.99419999996</v>
      </c>
      <c r="W159" s="3">
        <v>80</v>
      </c>
    </row>
    <row r="160" spans="1:23" x14ac:dyDescent="0.35">
      <c r="A160" s="3" t="s">
        <v>139</v>
      </c>
      <c r="B160" s="3" t="s">
        <v>558</v>
      </c>
      <c r="C160" s="3" t="s">
        <v>212</v>
      </c>
      <c r="D160" s="3" t="s">
        <v>200</v>
      </c>
      <c r="E160" s="3" t="s">
        <v>187</v>
      </c>
      <c r="F160" s="3" t="s">
        <v>189</v>
      </c>
      <c r="G160" s="3" t="s">
        <v>201</v>
      </c>
      <c r="H160" s="3" t="s">
        <v>189</v>
      </c>
      <c r="I160" s="3" t="s">
        <v>190</v>
      </c>
      <c r="J160" s="3" t="s">
        <v>191</v>
      </c>
      <c r="K160" s="3" t="s">
        <v>33</v>
      </c>
      <c r="L160" s="3" t="s">
        <v>51</v>
      </c>
      <c r="M160" s="3" t="s">
        <v>213</v>
      </c>
      <c r="N160" s="3" t="s">
        <v>214</v>
      </c>
      <c r="O160" s="3" t="s">
        <v>108</v>
      </c>
      <c r="P160" s="3" t="s">
        <v>109</v>
      </c>
      <c r="Q160" s="3" t="s">
        <v>39</v>
      </c>
      <c r="R160" s="3" t="s">
        <v>40</v>
      </c>
      <c r="S160" s="55">
        <v>168859</v>
      </c>
      <c r="T160" s="55">
        <v>118483.55190000001</v>
      </c>
      <c r="U160" s="55">
        <v>10453.5497</v>
      </c>
      <c r="V160" s="55">
        <v>50375.448100000001</v>
      </c>
      <c r="W160" s="3">
        <v>70</v>
      </c>
    </row>
    <row r="161" spans="1:23" x14ac:dyDescent="0.35">
      <c r="A161" s="3" t="s">
        <v>139</v>
      </c>
      <c r="B161" s="3" t="s">
        <v>558</v>
      </c>
      <c r="C161" s="3" t="s">
        <v>215</v>
      </c>
      <c r="D161" s="3" t="s">
        <v>200</v>
      </c>
      <c r="E161" s="3" t="s">
        <v>187</v>
      </c>
      <c r="F161" s="3" t="s">
        <v>189</v>
      </c>
      <c r="G161" s="3" t="s">
        <v>201</v>
      </c>
      <c r="H161" s="3" t="s">
        <v>189</v>
      </c>
      <c r="I161" s="3" t="s">
        <v>190</v>
      </c>
      <c r="J161" s="3" t="s">
        <v>191</v>
      </c>
      <c r="K161" s="3" t="s">
        <v>33</v>
      </c>
      <c r="L161" s="3" t="s">
        <v>51</v>
      </c>
      <c r="M161" s="3" t="s">
        <v>216</v>
      </c>
      <c r="N161" s="3" t="s">
        <v>217</v>
      </c>
      <c r="O161" s="3" t="s">
        <v>108</v>
      </c>
      <c r="P161" s="3" t="s">
        <v>109</v>
      </c>
      <c r="Q161" s="3" t="s">
        <v>39</v>
      </c>
      <c r="R161" s="3" t="s">
        <v>40</v>
      </c>
      <c r="S161" s="55">
        <v>81930.899999999994</v>
      </c>
      <c r="T161" s="55">
        <v>64404.627999999997</v>
      </c>
      <c r="U161" s="55">
        <v>6514.9404999999997</v>
      </c>
      <c r="V161" s="55">
        <v>17526.272000000001</v>
      </c>
      <c r="W161" s="3">
        <v>79</v>
      </c>
    </row>
    <row r="162" spans="1:23" x14ac:dyDescent="0.35">
      <c r="A162" s="3" t="s">
        <v>139</v>
      </c>
      <c r="B162" s="3" t="s">
        <v>558</v>
      </c>
      <c r="C162" s="3" t="s">
        <v>476</v>
      </c>
      <c r="D162" s="3" t="s">
        <v>200</v>
      </c>
      <c r="E162" s="3" t="s">
        <v>187</v>
      </c>
      <c r="F162" s="3" t="s">
        <v>189</v>
      </c>
      <c r="G162" s="3" t="s">
        <v>201</v>
      </c>
      <c r="H162" s="3" t="s">
        <v>189</v>
      </c>
      <c r="I162" s="3" t="s">
        <v>190</v>
      </c>
      <c r="J162" s="3" t="s">
        <v>191</v>
      </c>
      <c r="K162" s="3" t="s">
        <v>33</v>
      </c>
      <c r="L162" s="3" t="s">
        <v>51</v>
      </c>
      <c r="M162" s="3" t="s">
        <v>219</v>
      </c>
      <c r="N162" s="3" t="s">
        <v>220</v>
      </c>
      <c r="O162" s="3" t="s">
        <v>477</v>
      </c>
      <c r="P162" s="3" t="s">
        <v>478</v>
      </c>
      <c r="Q162" s="3" t="s">
        <v>39</v>
      </c>
      <c r="R162" s="3" t="s">
        <v>40</v>
      </c>
      <c r="S162" s="55">
        <v>1102.9000000000001</v>
      </c>
      <c r="T162" s="55">
        <v>827.17499999999995</v>
      </c>
      <c r="U162" s="55">
        <v>0</v>
      </c>
      <c r="V162" s="55">
        <v>275.72500000000002</v>
      </c>
      <c r="W162" s="3">
        <v>75</v>
      </c>
    </row>
    <row r="163" spans="1:23" x14ac:dyDescent="0.35">
      <c r="A163" s="3" t="s">
        <v>139</v>
      </c>
      <c r="B163" s="3" t="s">
        <v>558</v>
      </c>
      <c r="C163" s="3" t="s">
        <v>223</v>
      </c>
      <c r="D163" s="3" t="s">
        <v>200</v>
      </c>
      <c r="E163" s="3" t="s">
        <v>187</v>
      </c>
      <c r="F163" s="3" t="s">
        <v>189</v>
      </c>
      <c r="G163" s="3" t="s">
        <v>201</v>
      </c>
      <c r="H163" s="3" t="s">
        <v>189</v>
      </c>
      <c r="I163" s="3" t="s">
        <v>190</v>
      </c>
      <c r="J163" s="3" t="s">
        <v>191</v>
      </c>
      <c r="K163" s="3" t="s">
        <v>33</v>
      </c>
      <c r="L163" s="3" t="s">
        <v>51</v>
      </c>
      <c r="M163" s="3" t="s">
        <v>224</v>
      </c>
      <c r="N163" s="3" t="s">
        <v>564</v>
      </c>
      <c r="O163" s="3" t="s">
        <v>197</v>
      </c>
      <c r="P163" s="3" t="s">
        <v>198</v>
      </c>
      <c r="Q163" s="3" t="s">
        <v>39</v>
      </c>
      <c r="R163" s="3" t="s">
        <v>40</v>
      </c>
      <c r="S163" s="55">
        <v>107676.4</v>
      </c>
      <c r="T163" s="55">
        <v>105285.89</v>
      </c>
      <c r="U163" s="55">
        <v>25860.704900000001</v>
      </c>
      <c r="V163" s="55">
        <v>2390.5100000000002</v>
      </c>
      <c r="W163" s="3">
        <v>98</v>
      </c>
    </row>
    <row r="164" spans="1:23" x14ac:dyDescent="0.35">
      <c r="A164" s="3" t="s">
        <v>139</v>
      </c>
      <c r="B164" s="3" t="s">
        <v>558</v>
      </c>
      <c r="C164" s="3" t="s">
        <v>432</v>
      </c>
      <c r="D164" s="3" t="s">
        <v>200</v>
      </c>
      <c r="E164" s="3" t="s">
        <v>187</v>
      </c>
      <c r="F164" s="3" t="s">
        <v>189</v>
      </c>
      <c r="G164" s="3" t="s">
        <v>201</v>
      </c>
      <c r="H164" s="3" t="s">
        <v>189</v>
      </c>
      <c r="I164" s="3" t="s">
        <v>190</v>
      </c>
      <c r="J164" s="3" t="s">
        <v>191</v>
      </c>
      <c r="K164" s="3" t="s">
        <v>33</v>
      </c>
      <c r="L164" s="3" t="s">
        <v>51</v>
      </c>
      <c r="M164" s="3" t="s">
        <v>427</v>
      </c>
      <c r="N164" s="3" t="s">
        <v>565</v>
      </c>
      <c r="O164" s="3" t="s">
        <v>197</v>
      </c>
      <c r="P164" s="3" t="s">
        <v>198</v>
      </c>
      <c r="Q164" s="3" t="s">
        <v>39</v>
      </c>
      <c r="R164" s="3" t="s">
        <v>40</v>
      </c>
      <c r="S164" s="55">
        <v>20000</v>
      </c>
      <c r="T164" s="55">
        <v>19938.434000000001</v>
      </c>
      <c r="U164" s="55">
        <v>16.75</v>
      </c>
      <c r="V164" s="55">
        <v>61.566000000000003</v>
      </c>
      <c r="W164" s="3">
        <v>100</v>
      </c>
    </row>
    <row r="165" spans="1:23" x14ac:dyDescent="0.35">
      <c r="A165" s="3" t="s">
        <v>139</v>
      </c>
      <c r="B165" s="3" t="s">
        <v>558</v>
      </c>
      <c r="C165" s="3" t="s">
        <v>515</v>
      </c>
      <c r="D165" s="3" t="s">
        <v>200</v>
      </c>
      <c r="E165" s="3" t="s">
        <v>187</v>
      </c>
      <c r="F165" s="3" t="s">
        <v>189</v>
      </c>
      <c r="G165" s="3" t="s">
        <v>201</v>
      </c>
      <c r="H165" s="3" t="s">
        <v>189</v>
      </c>
      <c r="I165" s="3" t="s">
        <v>190</v>
      </c>
      <c r="J165" s="3" t="s">
        <v>191</v>
      </c>
      <c r="K165" s="3" t="s">
        <v>33</v>
      </c>
      <c r="L165" s="3" t="s">
        <v>51</v>
      </c>
      <c r="M165" s="3" t="s">
        <v>516</v>
      </c>
      <c r="N165" s="3" t="s">
        <v>517</v>
      </c>
      <c r="O165" s="3" t="s">
        <v>197</v>
      </c>
      <c r="P165" s="3" t="s">
        <v>198</v>
      </c>
      <c r="Q165" s="3" t="s">
        <v>39</v>
      </c>
      <c r="R165" s="3" t="s">
        <v>40</v>
      </c>
      <c r="S165" s="55">
        <v>8490.7000000000007</v>
      </c>
      <c r="T165" s="55">
        <v>0</v>
      </c>
      <c r="U165" s="55">
        <v>0</v>
      </c>
      <c r="V165" s="55">
        <v>8490.7000000000007</v>
      </c>
      <c r="W165" s="3">
        <v>0</v>
      </c>
    </row>
    <row r="166" spans="1:23" x14ac:dyDescent="0.35">
      <c r="A166" s="3" t="s">
        <v>139</v>
      </c>
      <c r="B166" s="3" t="s">
        <v>558</v>
      </c>
      <c r="C166" s="3" t="s">
        <v>226</v>
      </c>
      <c r="D166" s="3" t="s">
        <v>200</v>
      </c>
      <c r="E166" s="3" t="s">
        <v>187</v>
      </c>
      <c r="F166" s="3" t="s">
        <v>189</v>
      </c>
      <c r="G166" s="3" t="s">
        <v>201</v>
      </c>
      <c r="H166" s="3" t="s">
        <v>189</v>
      </c>
      <c r="I166" s="3" t="s">
        <v>190</v>
      </c>
      <c r="J166" s="3" t="s">
        <v>191</v>
      </c>
      <c r="K166" s="3" t="s">
        <v>33</v>
      </c>
      <c r="L166" s="3" t="s">
        <v>51</v>
      </c>
      <c r="M166" s="3" t="s">
        <v>227</v>
      </c>
      <c r="N166" s="3" t="s">
        <v>228</v>
      </c>
      <c r="O166" s="3" t="s">
        <v>197</v>
      </c>
      <c r="P166" s="3" t="s">
        <v>198</v>
      </c>
      <c r="Q166" s="3" t="s">
        <v>39</v>
      </c>
      <c r="R166" s="3" t="s">
        <v>40</v>
      </c>
      <c r="S166" s="55">
        <v>127820.2</v>
      </c>
      <c r="T166" s="55">
        <v>28912.169000000002</v>
      </c>
      <c r="U166" s="55">
        <v>13569.257600000001</v>
      </c>
      <c r="V166" s="55">
        <v>98908.031000000003</v>
      </c>
      <c r="W166" s="3">
        <v>23</v>
      </c>
    </row>
    <row r="167" spans="1:23" x14ac:dyDescent="0.35">
      <c r="A167" s="3" t="s">
        <v>139</v>
      </c>
      <c r="B167" s="3" t="s">
        <v>558</v>
      </c>
      <c r="C167" s="3" t="s">
        <v>229</v>
      </c>
      <c r="D167" s="3" t="s">
        <v>200</v>
      </c>
      <c r="E167" s="3" t="s">
        <v>187</v>
      </c>
      <c r="F167" s="3" t="s">
        <v>189</v>
      </c>
      <c r="G167" s="3" t="s">
        <v>201</v>
      </c>
      <c r="H167" s="3" t="s">
        <v>189</v>
      </c>
      <c r="I167" s="3" t="s">
        <v>190</v>
      </c>
      <c r="J167" s="3" t="s">
        <v>191</v>
      </c>
      <c r="K167" s="3" t="s">
        <v>33</v>
      </c>
      <c r="L167" s="3" t="s">
        <v>51</v>
      </c>
      <c r="M167" s="3" t="s">
        <v>195</v>
      </c>
      <c r="N167" s="3" t="s">
        <v>509</v>
      </c>
      <c r="O167" s="3" t="s">
        <v>197</v>
      </c>
      <c r="P167" s="3" t="s">
        <v>198</v>
      </c>
      <c r="Q167" s="3" t="s">
        <v>39</v>
      </c>
      <c r="R167" s="3" t="s">
        <v>40</v>
      </c>
      <c r="S167" s="55">
        <v>25956.9</v>
      </c>
      <c r="T167" s="55">
        <v>21174.7988</v>
      </c>
      <c r="U167" s="55">
        <v>2147.6758</v>
      </c>
      <c r="V167" s="55">
        <v>4782.1012000000001</v>
      </c>
      <c r="W167" s="3">
        <v>82</v>
      </c>
    </row>
    <row r="168" spans="1:23" x14ac:dyDescent="0.35">
      <c r="A168" s="3" t="s">
        <v>139</v>
      </c>
      <c r="B168" s="3" t="s">
        <v>558</v>
      </c>
      <c r="C168" s="3" t="s">
        <v>433</v>
      </c>
      <c r="D168" s="3" t="s">
        <v>200</v>
      </c>
      <c r="E168" s="3" t="s">
        <v>187</v>
      </c>
      <c r="F168" s="3" t="s">
        <v>189</v>
      </c>
      <c r="G168" s="3" t="s">
        <v>201</v>
      </c>
      <c r="H168" s="3" t="s">
        <v>189</v>
      </c>
      <c r="I168" s="3" t="s">
        <v>190</v>
      </c>
      <c r="J168" s="3" t="s">
        <v>191</v>
      </c>
      <c r="K168" s="3" t="s">
        <v>33</v>
      </c>
      <c r="L168" s="3" t="s">
        <v>51</v>
      </c>
      <c r="M168" s="3" t="s">
        <v>434</v>
      </c>
      <c r="N168" s="3" t="s">
        <v>435</v>
      </c>
      <c r="O168" s="3" t="s">
        <v>197</v>
      </c>
      <c r="P168" s="3" t="s">
        <v>198</v>
      </c>
      <c r="Q168" s="3" t="s">
        <v>39</v>
      </c>
      <c r="R168" s="3" t="s">
        <v>40</v>
      </c>
      <c r="S168" s="55">
        <v>2923.6</v>
      </c>
      <c r="T168" s="55">
        <v>2539.3236000000002</v>
      </c>
      <c r="U168" s="55">
        <v>580.79600000000005</v>
      </c>
      <c r="V168" s="55">
        <v>384.27640000000002</v>
      </c>
      <c r="W168" s="3">
        <v>87</v>
      </c>
    </row>
    <row r="169" spans="1:23" x14ac:dyDescent="0.35">
      <c r="A169" s="3" t="s">
        <v>139</v>
      </c>
      <c r="B169" s="3" t="s">
        <v>558</v>
      </c>
      <c r="C169" s="3" t="s">
        <v>518</v>
      </c>
      <c r="D169" s="3" t="s">
        <v>200</v>
      </c>
      <c r="E169" s="3" t="s">
        <v>187</v>
      </c>
      <c r="F169" s="3" t="s">
        <v>189</v>
      </c>
      <c r="G169" s="3" t="s">
        <v>201</v>
      </c>
      <c r="H169" s="3" t="s">
        <v>189</v>
      </c>
      <c r="I169" s="3" t="s">
        <v>190</v>
      </c>
      <c r="J169" s="3" t="s">
        <v>191</v>
      </c>
      <c r="K169" s="3" t="s">
        <v>33</v>
      </c>
      <c r="L169" s="3" t="s">
        <v>51</v>
      </c>
      <c r="M169" s="3" t="s">
        <v>519</v>
      </c>
      <c r="N169" s="3" t="s">
        <v>208</v>
      </c>
      <c r="O169" s="3" t="s">
        <v>197</v>
      </c>
      <c r="P169" s="3" t="s">
        <v>198</v>
      </c>
      <c r="Q169" s="3" t="s">
        <v>39</v>
      </c>
      <c r="R169" s="3" t="s">
        <v>40</v>
      </c>
      <c r="S169" s="55">
        <v>104515.5</v>
      </c>
      <c r="T169" s="55">
        <v>91036.77</v>
      </c>
      <c r="U169" s="55">
        <v>9000</v>
      </c>
      <c r="V169" s="55">
        <v>13478.73</v>
      </c>
      <c r="W169" s="3">
        <v>87</v>
      </c>
    </row>
    <row r="170" spans="1:23" x14ac:dyDescent="0.35">
      <c r="A170" s="3" t="s">
        <v>139</v>
      </c>
      <c r="B170" s="3" t="s">
        <v>558</v>
      </c>
      <c r="C170" s="3" t="s">
        <v>230</v>
      </c>
      <c r="D170" s="3" t="s">
        <v>200</v>
      </c>
      <c r="E170" s="3" t="s">
        <v>187</v>
      </c>
      <c r="F170" s="3" t="s">
        <v>189</v>
      </c>
      <c r="G170" s="3" t="s">
        <v>201</v>
      </c>
      <c r="H170" s="3" t="s">
        <v>28</v>
      </c>
      <c r="I170" s="3" t="s">
        <v>231</v>
      </c>
      <c r="J170" s="3" t="s">
        <v>232</v>
      </c>
      <c r="K170" s="3" t="s">
        <v>33</v>
      </c>
      <c r="L170" s="3" t="s">
        <v>51</v>
      </c>
      <c r="M170" s="3" t="s">
        <v>233</v>
      </c>
      <c r="N170" s="3" t="s">
        <v>234</v>
      </c>
      <c r="O170" s="3" t="s">
        <v>197</v>
      </c>
      <c r="P170" s="3" t="s">
        <v>198</v>
      </c>
      <c r="Q170" s="3" t="s">
        <v>39</v>
      </c>
      <c r="R170" s="3" t="s">
        <v>40</v>
      </c>
      <c r="S170" s="55">
        <v>261384</v>
      </c>
      <c r="T170" s="55">
        <v>204822.774</v>
      </c>
      <c r="U170" s="55">
        <v>35994.220300000001</v>
      </c>
      <c r="V170" s="55">
        <v>56561.226000000002</v>
      </c>
      <c r="W170" s="3">
        <v>78</v>
      </c>
    </row>
    <row r="171" spans="1:23" x14ac:dyDescent="0.35">
      <c r="A171" s="3" t="s">
        <v>139</v>
      </c>
      <c r="B171" s="3" t="s">
        <v>558</v>
      </c>
      <c r="C171" s="3" t="s">
        <v>235</v>
      </c>
      <c r="D171" s="3" t="s">
        <v>200</v>
      </c>
      <c r="E171" s="3" t="s">
        <v>187</v>
      </c>
      <c r="F171" s="3" t="s">
        <v>189</v>
      </c>
      <c r="G171" s="3" t="s">
        <v>201</v>
      </c>
      <c r="H171" s="3" t="s">
        <v>28</v>
      </c>
      <c r="I171" s="3" t="s">
        <v>231</v>
      </c>
      <c r="J171" s="3" t="s">
        <v>232</v>
      </c>
      <c r="K171" s="3" t="s">
        <v>33</v>
      </c>
      <c r="L171" s="3" t="s">
        <v>51</v>
      </c>
      <c r="M171" s="3" t="s">
        <v>236</v>
      </c>
      <c r="N171" s="3" t="s">
        <v>237</v>
      </c>
      <c r="O171" s="3" t="s">
        <v>197</v>
      </c>
      <c r="P171" s="3" t="s">
        <v>198</v>
      </c>
      <c r="Q171" s="3" t="s">
        <v>39</v>
      </c>
      <c r="R171" s="3" t="s">
        <v>40</v>
      </c>
      <c r="S171" s="55">
        <v>138374.70000000001</v>
      </c>
      <c r="T171" s="55">
        <v>126863.08010000001</v>
      </c>
      <c r="U171" s="55">
        <v>5128.2052000000003</v>
      </c>
      <c r="V171" s="55">
        <v>11511.6199</v>
      </c>
      <c r="W171" s="3">
        <v>92</v>
      </c>
    </row>
    <row r="172" spans="1:23" x14ac:dyDescent="0.35">
      <c r="A172" s="3" t="s">
        <v>139</v>
      </c>
      <c r="B172" s="3" t="s">
        <v>558</v>
      </c>
      <c r="C172" s="3" t="s">
        <v>238</v>
      </c>
      <c r="D172" s="3" t="s">
        <v>239</v>
      </c>
      <c r="E172" s="3" t="s">
        <v>187</v>
      </c>
      <c r="F172" s="3" t="s">
        <v>28</v>
      </c>
      <c r="G172" s="3" t="s">
        <v>240</v>
      </c>
      <c r="H172" s="3" t="s">
        <v>189</v>
      </c>
      <c r="I172" s="3" t="s">
        <v>190</v>
      </c>
      <c r="J172" s="3" t="s">
        <v>191</v>
      </c>
      <c r="K172" s="3" t="s">
        <v>33</v>
      </c>
      <c r="L172" s="3" t="s">
        <v>51</v>
      </c>
      <c r="M172" s="3" t="s">
        <v>241</v>
      </c>
      <c r="N172" s="3" t="s">
        <v>242</v>
      </c>
      <c r="O172" s="3" t="s">
        <v>108</v>
      </c>
      <c r="P172" s="3" t="s">
        <v>109</v>
      </c>
      <c r="Q172" s="3" t="s">
        <v>39</v>
      </c>
      <c r="R172" s="3" t="s">
        <v>40</v>
      </c>
      <c r="S172" s="55">
        <v>253526.6</v>
      </c>
      <c r="T172" s="55">
        <v>218184.5454</v>
      </c>
      <c r="U172" s="55">
        <v>24135.710500000001</v>
      </c>
      <c r="V172" s="55">
        <v>35342.054600000003</v>
      </c>
      <c r="W172" s="3">
        <v>86</v>
      </c>
    </row>
    <row r="173" spans="1:23" x14ac:dyDescent="0.35">
      <c r="A173" s="3" t="s">
        <v>139</v>
      </c>
      <c r="B173" s="3" t="s">
        <v>558</v>
      </c>
      <c r="C173" s="3" t="s">
        <v>520</v>
      </c>
      <c r="D173" s="3" t="s">
        <v>239</v>
      </c>
      <c r="E173" s="3" t="s">
        <v>187</v>
      </c>
      <c r="F173" s="3" t="s">
        <v>28</v>
      </c>
      <c r="G173" s="3" t="s">
        <v>240</v>
      </c>
      <c r="H173" s="3" t="s">
        <v>189</v>
      </c>
      <c r="I173" s="3" t="s">
        <v>190</v>
      </c>
      <c r="J173" s="3" t="s">
        <v>191</v>
      </c>
      <c r="K173" s="3" t="s">
        <v>33</v>
      </c>
      <c r="L173" s="3" t="s">
        <v>51</v>
      </c>
      <c r="M173" s="3" t="s">
        <v>521</v>
      </c>
      <c r="N173" s="3" t="s">
        <v>522</v>
      </c>
      <c r="O173" s="3" t="s">
        <v>523</v>
      </c>
      <c r="P173" s="3" t="s">
        <v>524</v>
      </c>
      <c r="Q173" s="3" t="s">
        <v>39</v>
      </c>
      <c r="R173" s="3" t="s">
        <v>40</v>
      </c>
      <c r="S173" s="55">
        <v>100</v>
      </c>
      <c r="T173" s="55">
        <v>0</v>
      </c>
      <c r="U173" s="55">
        <v>0</v>
      </c>
      <c r="V173" s="55">
        <v>100</v>
      </c>
      <c r="W173" s="3">
        <v>0</v>
      </c>
    </row>
    <row r="174" spans="1:23" x14ac:dyDescent="0.35">
      <c r="A174" s="3" t="s">
        <v>139</v>
      </c>
      <c r="B174" s="3" t="s">
        <v>558</v>
      </c>
      <c r="C174" s="3" t="s">
        <v>525</v>
      </c>
      <c r="D174" s="3" t="s">
        <v>526</v>
      </c>
      <c r="E174" s="3" t="s">
        <v>187</v>
      </c>
      <c r="F174" s="3" t="s">
        <v>176</v>
      </c>
      <c r="G174" s="3" t="s">
        <v>527</v>
      </c>
      <c r="H174" s="3" t="s">
        <v>189</v>
      </c>
      <c r="I174" s="3" t="s">
        <v>190</v>
      </c>
      <c r="J174" s="3" t="s">
        <v>191</v>
      </c>
      <c r="K174" s="3" t="s">
        <v>33</v>
      </c>
      <c r="L174" s="3" t="s">
        <v>51</v>
      </c>
      <c r="M174" s="3" t="s">
        <v>528</v>
      </c>
      <c r="N174" s="3" t="s">
        <v>529</v>
      </c>
      <c r="O174" s="3" t="s">
        <v>197</v>
      </c>
      <c r="P174" s="3" t="s">
        <v>198</v>
      </c>
      <c r="Q174" s="3" t="s">
        <v>39</v>
      </c>
      <c r="R174" s="3" t="s">
        <v>40</v>
      </c>
      <c r="S174" s="55">
        <v>1003.3</v>
      </c>
      <c r="T174" s="55">
        <v>650.21029999999996</v>
      </c>
      <c r="U174" s="55">
        <v>47.678199999999997</v>
      </c>
      <c r="V174" s="55">
        <v>353.08969999999999</v>
      </c>
      <c r="W174" s="3">
        <v>65</v>
      </c>
    </row>
    <row r="175" spans="1:23" x14ac:dyDescent="0.35">
      <c r="A175" s="3" t="s">
        <v>139</v>
      </c>
      <c r="B175" s="3" t="s">
        <v>558</v>
      </c>
      <c r="C175" s="3" t="s">
        <v>243</v>
      </c>
      <c r="D175" s="3" t="s">
        <v>244</v>
      </c>
      <c r="E175" s="3" t="s">
        <v>187</v>
      </c>
      <c r="F175" s="3" t="s">
        <v>245</v>
      </c>
      <c r="G175" s="3" t="s">
        <v>246</v>
      </c>
      <c r="H175" s="3" t="s">
        <v>66</v>
      </c>
      <c r="I175" s="3" t="s">
        <v>67</v>
      </c>
      <c r="J175" s="3" t="s">
        <v>68</v>
      </c>
      <c r="K175" s="3" t="s">
        <v>33</v>
      </c>
      <c r="L175" s="3" t="s">
        <v>51</v>
      </c>
      <c r="M175" s="3" t="s">
        <v>247</v>
      </c>
      <c r="N175" s="3" t="s">
        <v>248</v>
      </c>
      <c r="O175" s="3" t="s">
        <v>108</v>
      </c>
      <c r="P175" s="3" t="s">
        <v>109</v>
      </c>
      <c r="Q175" s="3" t="s">
        <v>39</v>
      </c>
      <c r="R175" s="3" t="s">
        <v>40</v>
      </c>
      <c r="S175" s="55">
        <v>224582.9</v>
      </c>
      <c r="T175" s="55">
        <v>154614.70110000001</v>
      </c>
      <c r="U175" s="55">
        <v>22176.67</v>
      </c>
      <c r="V175" s="55">
        <v>69968.198900000003</v>
      </c>
      <c r="W175" s="3">
        <v>69</v>
      </c>
    </row>
    <row r="176" spans="1:23" x14ac:dyDescent="0.35">
      <c r="A176" s="3" t="s">
        <v>139</v>
      </c>
      <c r="B176" s="3" t="s">
        <v>558</v>
      </c>
      <c r="C176" s="3" t="s">
        <v>249</v>
      </c>
      <c r="D176" s="3" t="s">
        <v>244</v>
      </c>
      <c r="E176" s="3" t="s">
        <v>187</v>
      </c>
      <c r="F176" s="3" t="s">
        <v>245</v>
      </c>
      <c r="G176" s="3" t="s">
        <v>246</v>
      </c>
      <c r="H176" s="3" t="s">
        <v>66</v>
      </c>
      <c r="I176" s="3" t="s">
        <v>67</v>
      </c>
      <c r="J176" s="3" t="s">
        <v>68</v>
      </c>
      <c r="K176" s="3" t="s">
        <v>33</v>
      </c>
      <c r="L176" s="3" t="s">
        <v>51</v>
      </c>
      <c r="M176" s="3" t="s">
        <v>250</v>
      </c>
      <c r="N176" s="3" t="s">
        <v>251</v>
      </c>
      <c r="O176" s="3" t="s">
        <v>197</v>
      </c>
      <c r="P176" s="3" t="s">
        <v>198</v>
      </c>
      <c r="Q176" s="3" t="s">
        <v>39</v>
      </c>
      <c r="R176" s="3" t="s">
        <v>40</v>
      </c>
      <c r="S176" s="55">
        <v>11946.1</v>
      </c>
      <c r="T176" s="55">
        <v>0</v>
      </c>
      <c r="U176" s="55">
        <v>0</v>
      </c>
      <c r="V176" s="55">
        <v>11946.1</v>
      </c>
      <c r="W176" s="3">
        <v>0</v>
      </c>
    </row>
    <row r="177" spans="1:23" x14ac:dyDescent="0.35">
      <c r="A177" s="3" t="s">
        <v>139</v>
      </c>
      <c r="B177" s="3" t="s">
        <v>558</v>
      </c>
      <c r="C177" s="3" t="s">
        <v>252</v>
      </c>
      <c r="D177" s="3" t="s">
        <v>244</v>
      </c>
      <c r="E177" s="3" t="s">
        <v>187</v>
      </c>
      <c r="F177" s="3" t="s">
        <v>245</v>
      </c>
      <c r="G177" s="3" t="s">
        <v>246</v>
      </c>
      <c r="H177" s="3" t="s">
        <v>66</v>
      </c>
      <c r="I177" s="3" t="s">
        <v>67</v>
      </c>
      <c r="J177" s="3" t="s">
        <v>68</v>
      </c>
      <c r="K177" s="3" t="s">
        <v>33</v>
      </c>
      <c r="L177" s="3" t="s">
        <v>51</v>
      </c>
      <c r="M177" s="3" t="s">
        <v>253</v>
      </c>
      <c r="N177" s="3" t="s">
        <v>254</v>
      </c>
      <c r="O177" s="3" t="s">
        <v>197</v>
      </c>
      <c r="P177" s="3" t="s">
        <v>198</v>
      </c>
      <c r="Q177" s="3" t="s">
        <v>39</v>
      </c>
      <c r="R177" s="3" t="s">
        <v>40</v>
      </c>
      <c r="S177" s="55">
        <v>1648.3</v>
      </c>
      <c r="T177" s="55">
        <v>0</v>
      </c>
      <c r="U177" s="55">
        <v>0</v>
      </c>
      <c r="V177" s="55">
        <v>1648.3</v>
      </c>
      <c r="W177" s="3">
        <v>0</v>
      </c>
    </row>
    <row r="178" spans="1:23" x14ac:dyDescent="0.35">
      <c r="A178" s="3" t="s">
        <v>139</v>
      </c>
      <c r="B178" s="3" t="s">
        <v>558</v>
      </c>
      <c r="C178" s="3" t="s">
        <v>255</v>
      </c>
      <c r="D178" s="3" t="s">
        <v>244</v>
      </c>
      <c r="E178" s="3" t="s">
        <v>187</v>
      </c>
      <c r="F178" s="3" t="s">
        <v>245</v>
      </c>
      <c r="G178" s="3" t="s">
        <v>246</v>
      </c>
      <c r="H178" s="3" t="s">
        <v>66</v>
      </c>
      <c r="I178" s="3" t="s">
        <v>67</v>
      </c>
      <c r="J178" s="3" t="s">
        <v>68</v>
      </c>
      <c r="K178" s="3" t="s">
        <v>33</v>
      </c>
      <c r="L178" s="3" t="s">
        <v>51</v>
      </c>
      <c r="M178" s="3" t="s">
        <v>256</v>
      </c>
      <c r="N178" s="3" t="s">
        <v>257</v>
      </c>
      <c r="O178" s="3" t="s">
        <v>197</v>
      </c>
      <c r="P178" s="3" t="s">
        <v>198</v>
      </c>
      <c r="Q178" s="3" t="s">
        <v>39</v>
      </c>
      <c r="R178" s="3" t="s">
        <v>40</v>
      </c>
      <c r="S178" s="55">
        <v>10032.799999999999</v>
      </c>
      <c r="T178" s="55">
        <v>6998.9593000000004</v>
      </c>
      <c r="U178" s="55">
        <v>1934.9005999999999</v>
      </c>
      <c r="V178" s="55">
        <v>3033.8407000000002</v>
      </c>
      <c r="W178" s="3">
        <v>70</v>
      </c>
    </row>
    <row r="179" spans="1:23" x14ac:dyDescent="0.35">
      <c r="A179" s="3" t="s">
        <v>139</v>
      </c>
      <c r="B179" s="3" t="s">
        <v>558</v>
      </c>
      <c r="C179" s="3" t="s">
        <v>566</v>
      </c>
      <c r="D179" s="3" t="s">
        <v>259</v>
      </c>
      <c r="E179" s="3" t="s">
        <v>187</v>
      </c>
      <c r="F179" s="3" t="s">
        <v>116</v>
      </c>
      <c r="G179" s="3" t="s">
        <v>260</v>
      </c>
      <c r="H179" s="3" t="s">
        <v>189</v>
      </c>
      <c r="I179" s="3" t="s">
        <v>190</v>
      </c>
      <c r="J179" s="3" t="s">
        <v>202</v>
      </c>
      <c r="K179" s="3" t="s">
        <v>23</v>
      </c>
      <c r="L179" s="3" t="s">
        <v>203</v>
      </c>
      <c r="M179" s="3" t="s">
        <v>567</v>
      </c>
      <c r="N179" s="3" t="s">
        <v>568</v>
      </c>
      <c r="O179" s="3" t="s">
        <v>197</v>
      </c>
      <c r="P179" s="3" t="s">
        <v>198</v>
      </c>
      <c r="Q179" s="3" t="s">
        <v>39</v>
      </c>
      <c r="R179" s="3" t="s">
        <v>40</v>
      </c>
      <c r="S179" s="55">
        <v>13914.4</v>
      </c>
      <c r="T179" s="55">
        <v>13914.3143</v>
      </c>
      <c r="U179" s="55">
        <v>0</v>
      </c>
      <c r="V179" s="55">
        <v>8.5699999999999998E-2</v>
      </c>
      <c r="W179" s="3">
        <v>100</v>
      </c>
    </row>
    <row r="180" spans="1:23" x14ac:dyDescent="0.35">
      <c r="A180" s="3" t="s">
        <v>139</v>
      </c>
      <c r="B180" s="3" t="s">
        <v>558</v>
      </c>
      <c r="C180" s="3" t="s">
        <v>569</v>
      </c>
      <c r="D180" s="3" t="s">
        <v>259</v>
      </c>
      <c r="E180" s="3" t="s">
        <v>187</v>
      </c>
      <c r="F180" s="3" t="s">
        <v>116</v>
      </c>
      <c r="G180" s="3" t="s">
        <v>260</v>
      </c>
      <c r="H180" s="3" t="s">
        <v>189</v>
      </c>
      <c r="I180" s="3" t="s">
        <v>190</v>
      </c>
      <c r="J180" s="3" t="s">
        <v>202</v>
      </c>
      <c r="K180" s="3" t="s">
        <v>23</v>
      </c>
      <c r="L180" s="3" t="s">
        <v>203</v>
      </c>
      <c r="M180" s="3" t="s">
        <v>570</v>
      </c>
      <c r="N180" s="3" t="s">
        <v>568</v>
      </c>
      <c r="O180" s="3" t="s">
        <v>197</v>
      </c>
      <c r="P180" s="3" t="s">
        <v>198</v>
      </c>
      <c r="Q180" s="3" t="s">
        <v>39</v>
      </c>
      <c r="R180" s="3" t="s">
        <v>40</v>
      </c>
      <c r="S180" s="55">
        <v>19077.8</v>
      </c>
      <c r="T180" s="55">
        <v>16810.084500000001</v>
      </c>
      <c r="U180" s="55">
        <v>123.0017</v>
      </c>
      <c r="V180" s="55">
        <v>2267.7154999999998</v>
      </c>
      <c r="W180" s="3">
        <v>88</v>
      </c>
    </row>
    <row r="181" spans="1:23" x14ac:dyDescent="0.35">
      <c r="A181" s="3" t="s">
        <v>139</v>
      </c>
      <c r="B181" s="3" t="s">
        <v>558</v>
      </c>
      <c r="C181" s="3" t="s">
        <v>263</v>
      </c>
      <c r="D181" s="3" t="s">
        <v>259</v>
      </c>
      <c r="E181" s="3" t="s">
        <v>187</v>
      </c>
      <c r="F181" s="3" t="s">
        <v>116</v>
      </c>
      <c r="G181" s="3" t="s">
        <v>260</v>
      </c>
      <c r="H181" s="3" t="s">
        <v>189</v>
      </c>
      <c r="I181" s="3" t="s">
        <v>190</v>
      </c>
      <c r="J181" s="3" t="s">
        <v>191</v>
      </c>
      <c r="K181" s="3" t="s">
        <v>33</v>
      </c>
      <c r="L181" s="3" t="s">
        <v>51</v>
      </c>
      <c r="M181" s="3" t="s">
        <v>264</v>
      </c>
      <c r="N181" s="3" t="s">
        <v>265</v>
      </c>
      <c r="O181" s="3" t="s">
        <v>197</v>
      </c>
      <c r="P181" s="3" t="s">
        <v>198</v>
      </c>
      <c r="Q181" s="3" t="s">
        <v>39</v>
      </c>
      <c r="R181" s="3" t="s">
        <v>40</v>
      </c>
      <c r="S181" s="55">
        <v>1642.6</v>
      </c>
      <c r="T181" s="55">
        <v>1642.6</v>
      </c>
      <c r="U181" s="55">
        <v>0</v>
      </c>
      <c r="V181" s="55">
        <v>0</v>
      </c>
      <c r="W181" s="3">
        <v>100</v>
      </c>
    </row>
    <row r="182" spans="1:23" x14ac:dyDescent="0.35">
      <c r="A182" s="3" t="s">
        <v>139</v>
      </c>
      <c r="B182" s="3" t="s">
        <v>558</v>
      </c>
      <c r="C182" s="3" t="s">
        <v>266</v>
      </c>
      <c r="D182" s="3" t="s">
        <v>259</v>
      </c>
      <c r="E182" s="3" t="s">
        <v>187</v>
      </c>
      <c r="F182" s="3" t="s">
        <v>116</v>
      </c>
      <c r="G182" s="3" t="s">
        <v>260</v>
      </c>
      <c r="H182" s="3" t="s">
        <v>189</v>
      </c>
      <c r="I182" s="3" t="s">
        <v>190</v>
      </c>
      <c r="J182" s="3" t="s">
        <v>191</v>
      </c>
      <c r="K182" s="3" t="s">
        <v>33</v>
      </c>
      <c r="L182" s="3" t="s">
        <v>51</v>
      </c>
      <c r="M182" s="3" t="s">
        <v>267</v>
      </c>
      <c r="N182" s="3" t="s">
        <v>268</v>
      </c>
      <c r="O182" s="3" t="s">
        <v>37</v>
      </c>
      <c r="P182" s="3" t="s">
        <v>38</v>
      </c>
      <c r="Q182" s="3" t="s">
        <v>39</v>
      </c>
      <c r="R182" s="3" t="s">
        <v>40</v>
      </c>
      <c r="S182" s="55">
        <v>92351.4</v>
      </c>
      <c r="T182" s="55">
        <v>84443.039000000004</v>
      </c>
      <c r="U182" s="55">
        <v>0</v>
      </c>
      <c r="V182" s="55">
        <v>7908.3609999999999</v>
      </c>
      <c r="W182" s="3">
        <v>91</v>
      </c>
    </row>
    <row r="183" spans="1:23" x14ac:dyDescent="0.35">
      <c r="A183" s="3" t="s">
        <v>139</v>
      </c>
      <c r="B183" s="3" t="s">
        <v>558</v>
      </c>
      <c r="C183" s="3" t="s">
        <v>269</v>
      </c>
      <c r="D183" s="3" t="s">
        <v>259</v>
      </c>
      <c r="E183" s="3" t="s">
        <v>187</v>
      </c>
      <c r="F183" s="3" t="s">
        <v>116</v>
      </c>
      <c r="G183" s="3" t="s">
        <v>260</v>
      </c>
      <c r="H183" s="3" t="s">
        <v>189</v>
      </c>
      <c r="I183" s="3" t="s">
        <v>190</v>
      </c>
      <c r="J183" s="3" t="s">
        <v>191</v>
      </c>
      <c r="K183" s="3" t="s">
        <v>33</v>
      </c>
      <c r="L183" s="3" t="s">
        <v>51</v>
      </c>
      <c r="M183" s="3" t="s">
        <v>267</v>
      </c>
      <c r="N183" s="3" t="s">
        <v>268</v>
      </c>
      <c r="O183" s="3" t="s">
        <v>197</v>
      </c>
      <c r="P183" s="3" t="s">
        <v>198</v>
      </c>
      <c r="Q183" s="3" t="s">
        <v>39</v>
      </c>
      <c r="R183" s="3" t="s">
        <v>40</v>
      </c>
      <c r="S183" s="55">
        <v>14681.8</v>
      </c>
      <c r="T183" s="55">
        <v>13662.830099999999</v>
      </c>
      <c r="U183" s="55">
        <v>6</v>
      </c>
      <c r="V183" s="55">
        <v>1018.9699000000001</v>
      </c>
      <c r="W183" s="3">
        <v>93</v>
      </c>
    </row>
    <row r="184" spans="1:23" x14ac:dyDescent="0.35">
      <c r="A184" s="3" t="s">
        <v>139</v>
      </c>
      <c r="B184" s="3" t="s">
        <v>558</v>
      </c>
      <c r="C184" s="3" t="s">
        <v>270</v>
      </c>
      <c r="D184" s="3" t="s">
        <v>259</v>
      </c>
      <c r="E184" s="3" t="s">
        <v>187</v>
      </c>
      <c r="F184" s="3" t="s">
        <v>116</v>
      </c>
      <c r="G184" s="3" t="s">
        <v>260</v>
      </c>
      <c r="H184" s="3" t="s">
        <v>189</v>
      </c>
      <c r="I184" s="3" t="s">
        <v>190</v>
      </c>
      <c r="J184" s="3" t="s">
        <v>191</v>
      </c>
      <c r="K184" s="3" t="s">
        <v>33</v>
      </c>
      <c r="L184" s="3" t="s">
        <v>51</v>
      </c>
      <c r="M184" s="3" t="s">
        <v>271</v>
      </c>
      <c r="N184" s="3" t="s">
        <v>272</v>
      </c>
      <c r="O184" s="3" t="s">
        <v>108</v>
      </c>
      <c r="P184" s="3" t="s">
        <v>109</v>
      </c>
      <c r="Q184" s="3" t="s">
        <v>39</v>
      </c>
      <c r="R184" s="3" t="s">
        <v>40</v>
      </c>
      <c r="S184" s="55">
        <v>43320.4</v>
      </c>
      <c r="T184" s="55">
        <v>33555.621200000001</v>
      </c>
      <c r="U184" s="55">
        <v>2669.3616000000002</v>
      </c>
      <c r="V184" s="55">
        <v>9764.7788</v>
      </c>
      <c r="W184" s="3">
        <v>77</v>
      </c>
    </row>
    <row r="185" spans="1:23" x14ac:dyDescent="0.35">
      <c r="A185" s="3" t="s">
        <v>139</v>
      </c>
      <c r="B185" s="3" t="s">
        <v>558</v>
      </c>
      <c r="C185" s="3" t="s">
        <v>273</v>
      </c>
      <c r="D185" s="3" t="s">
        <v>259</v>
      </c>
      <c r="E185" s="3" t="s">
        <v>187</v>
      </c>
      <c r="F185" s="3" t="s">
        <v>116</v>
      </c>
      <c r="G185" s="3" t="s">
        <v>260</v>
      </c>
      <c r="H185" s="3" t="s">
        <v>189</v>
      </c>
      <c r="I185" s="3" t="s">
        <v>190</v>
      </c>
      <c r="J185" s="3" t="s">
        <v>191</v>
      </c>
      <c r="K185" s="3" t="s">
        <v>33</v>
      </c>
      <c r="L185" s="3" t="s">
        <v>51</v>
      </c>
      <c r="M185" s="3" t="s">
        <v>274</v>
      </c>
      <c r="N185" s="3" t="s">
        <v>275</v>
      </c>
      <c r="O185" s="3" t="s">
        <v>108</v>
      </c>
      <c r="P185" s="3" t="s">
        <v>109</v>
      </c>
      <c r="Q185" s="3" t="s">
        <v>39</v>
      </c>
      <c r="R185" s="3" t="s">
        <v>40</v>
      </c>
      <c r="S185" s="55">
        <v>59928.7</v>
      </c>
      <c r="T185" s="55">
        <v>47678.896000000001</v>
      </c>
      <c r="U185" s="55">
        <v>4223.0888999999997</v>
      </c>
      <c r="V185" s="55">
        <v>12249.804</v>
      </c>
      <c r="W185" s="3">
        <v>80</v>
      </c>
    </row>
    <row r="186" spans="1:23" x14ac:dyDescent="0.35">
      <c r="A186" s="3" t="s">
        <v>139</v>
      </c>
      <c r="B186" s="3" t="s">
        <v>558</v>
      </c>
      <c r="C186" s="3" t="s">
        <v>530</v>
      </c>
      <c r="D186" s="3" t="s">
        <v>259</v>
      </c>
      <c r="E186" s="3" t="s">
        <v>187</v>
      </c>
      <c r="F186" s="3" t="s">
        <v>116</v>
      </c>
      <c r="G186" s="3" t="s">
        <v>260</v>
      </c>
      <c r="H186" s="3" t="s">
        <v>189</v>
      </c>
      <c r="I186" s="3" t="s">
        <v>190</v>
      </c>
      <c r="J186" s="3" t="s">
        <v>191</v>
      </c>
      <c r="K186" s="3" t="s">
        <v>33</v>
      </c>
      <c r="L186" s="3" t="s">
        <v>51</v>
      </c>
      <c r="M186" s="3" t="s">
        <v>531</v>
      </c>
      <c r="N186" s="3" t="s">
        <v>532</v>
      </c>
      <c r="O186" s="3" t="s">
        <v>197</v>
      </c>
      <c r="P186" s="3" t="s">
        <v>198</v>
      </c>
      <c r="Q186" s="3" t="s">
        <v>39</v>
      </c>
      <c r="R186" s="3" t="s">
        <v>40</v>
      </c>
      <c r="S186" s="55">
        <v>7027.2</v>
      </c>
      <c r="T186" s="55">
        <v>7027.2</v>
      </c>
      <c r="U186" s="55">
        <v>0</v>
      </c>
      <c r="V186" s="55">
        <v>0</v>
      </c>
      <c r="W186" s="3">
        <v>100</v>
      </c>
    </row>
    <row r="187" spans="1:23" x14ac:dyDescent="0.35">
      <c r="A187" s="3" t="s">
        <v>139</v>
      </c>
      <c r="B187" s="3" t="s">
        <v>558</v>
      </c>
      <c r="C187" s="3" t="s">
        <v>460</v>
      </c>
      <c r="D187" s="3" t="s">
        <v>259</v>
      </c>
      <c r="E187" s="3" t="s">
        <v>187</v>
      </c>
      <c r="F187" s="3" t="s">
        <v>116</v>
      </c>
      <c r="G187" s="3" t="s">
        <v>260</v>
      </c>
      <c r="H187" s="3" t="s">
        <v>189</v>
      </c>
      <c r="I187" s="3" t="s">
        <v>190</v>
      </c>
      <c r="J187" s="3" t="s">
        <v>191</v>
      </c>
      <c r="K187" s="3" t="s">
        <v>33</v>
      </c>
      <c r="L187" s="3" t="s">
        <v>51</v>
      </c>
      <c r="M187" s="3" t="s">
        <v>461</v>
      </c>
      <c r="N187" s="3" t="s">
        <v>462</v>
      </c>
      <c r="O187" s="3" t="s">
        <v>197</v>
      </c>
      <c r="P187" s="3" t="s">
        <v>198</v>
      </c>
      <c r="Q187" s="3" t="s">
        <v>39</v>
      </c>
      <c r="R187" s="3" t="s">
        <v>40</v>
      </c>
      <c r="S187" s="55">
        <v>19787.3</v>
      </c>
      <c r="T187" s="55">
        <v>16256.127200000001</v>
      </c>
      <c r="U187" s="55">
        <v>1812.1079</v>
      </c>
      <c r="V187" s="55">
        <v>3531.1727999999998</v>
      </c>
      <c r="W187" s="3">
        <v>82</v>
      </c>
    </row>
    <row r="188" spans="1:23" x14ac:dyDescent="0.35">
      <c r="A188" s="3" t="s">
        <v>139</v>
      </c>
      <c r="B188" s="3" t="s">
        <v>558</v>
      </c>
      <c r="C188" s="3" t="s">
        <v>276</v>
      </c>
      <c r="D188" s="3" t="s">
        <v>259</v>
      </c>
      <c r="E188" s="3" t="s">
        <v>187</v>
      </c>
      <c r="F188" s="3" t="s">
        <v>116</v>
      </c>
      <c r="G188" s="3" t="s">
        <v>260</v>
      </c>
      <c r="H188" s="3" t="s">
        <v>189</v>
      </c>
      <c r="I188" s="3" t="s">
        <v>190</v>
      </c>
      <c r="J188" s="3" t="s">
        <v>191</v>
      </c>
      <c r="K188" s="3" t="s">
        <v>33</v>
      </c>
      <c r="L188" s="3" t="s">
        <v>51</v>
      </c>
      <c r="M188" s="3" t="s">
        <v>277</v>
      </c>
      <c r="N188" s="3" t="s">
        <v>533</v>
      </c>
      <c r="O188" s="3" t="s">
        <v>197</v>
      </c>
      <c r="P188" s="3" t="s">
        <v>198</v>
      </c>
      <c r="Q188" s="3" t="s">
        <v>39</v>
      </c>
      <c r="R188" s="3" t="s">
        <v>40</v>
      </c>
      <c r="S188" s="55">
        <v>44012.1</v>
      </c>
      <c r="T188" s="55">
        <v>25788.179599999999</v>
      </c>
      <c r="U188" s="55">
        <v>0</v>
      </c>
      <c r="V188" s="55">
        <v>18223.920399999999</v>
      </c>
      <c r="W188" s="3">
        <v>59</v>
      </c>
    </row>
    <row r="189" spans="1:23" x14ac:dyDescent="0.35">
      <c r="A189" s="3" t="s">
        <v>139</v>
      </c>
      <c r="B189" s="3" t="s">
        <v>558</v>
      </c>
      <c r="C189" s="3" t="s">
        <v>571</v>
      </c>
      <c r="D189" s="3" t="s">
        <v>259</v>
      </c>
      <c r="E189" s="3" t="s">
        <v>187</v>
      </c>
      <c r="F189" s="3" t="s">
        <v>116</v>
      </c>
      <c r="G189" s="3" t="s">
        <v>260</v>
      </c>
      <c r="H189" s="3" t="s">
        <v>189</v>
      </c>
      <c r="I189" s="3" t="s">
        <v>190</v>
      </c>
      <c r="J189" s="3" t="s">
        <v>191</v>
      </c>
      <c r="K189" s="3" t="s">
        <v>33</v>
      </c>
      <c r="L189" s="3" t="s">
        <v>51</v>
      </c>
      <c r="M189" s="3" t="s">
        <v>572</v>
      </c>
      <c r="N189" s="3" t="s">
        <v>262</v>
      </c>
      <c r="O189" s="3" t="s">
        <v>197</v>
      </c>
      <c r="P189" s="3" t="s">
        <v>198</v>
      </c>
      <c r="Q189" s="3" t="s">
        <v>39</v>
      </c>
      <c r="R189" s="3" t="s">
        <v>40</v>
      </c>
      <c r="S189" s="55">
        <v>1142.5</v>
      </c>
      <c r="T189" s="55">
        <v>571.20000000000005</v>
      </c>
      <c r="U189" s="55">
        <v>285.60000000000002</v>
      </c>
      <c r="V189" s="55">
        <v>571.29999999999995</v>
      </c>
      <c r="W189" s="3">
        <v>50</v>
      </c>
    </row>
    <row r="190" spans="1:23" x14ac:dyDescent="0.35">
      <c r="A190" s="3" t="s">
        <v>139</v>
      </c>
      <c r="B190" s="3" t="s">
        <v>558</v>
      </c>
      <c r="C190" s="3" t="s">
        <v>282</v>
      </c>
      <c r="D190" s="3" t="s">
        <v>259</v>
      </c>
      <c r="E190" s="3" t="s">
        <v>187</v>
      </c>
      <c r="F190" s="3" t="s">
        <v>116</v>
      </c>
      <c r="G190" s="3" t="s">
        <v>260</v>
      </c>
      <c r="H190" s="3" t="s">
        <v>66</v>
      </c>
      <c r="I190" s="3" t="s">
        <v>67</v>
      </c>
      <c r="J190" s="3" t="s">
        <v>68</v>
      </c>
      <c r="K190" s="3" t="s">
        <v>33</v>
      </c>
      <c r="L190" s="3" t="s">
        <v>51</v>
      </c>
      <c r="M190" s="3" t="s">
        <v>283</v>
      </c>
      <c r="N190" s="3" t="s">
        <v>284</v>
      </c>
      <c r="O190" s="3" t="s">
        <v>197</v>
      </c>
      <c r="P190" s="3" t="s">
        <v>198</v>
      </c>
      <c r="Q190" s="3" t="s">
        <v>39</v>
      </c>
      <c r="R190" s="3" t="s">
        <v>40</v>
      </c>
      <c r="S190" s="55">
        <v>500</v>
      </c>
      <c r="T190" s="55">
        <v>433.2</v>
      </c>
      <c r="U190" s="55">
        <v>141</v>
      </c>
      <c r="V190" s="55">
        <v>66.8</v>
      </c>
      <c r="W190" s="3">
        <v>87</v>
      </c>
    </row>
    <row r="191" spans="1:23" x14ac:dyDescent="0.35">
      <c r="A191" s="3" t="s">
        <v>139</v>
      </c>
      <c r="B191" s="3" t="s">
        <v>558</v>
      </c>
      <c r="C191" s="3" t="s">
        <v>289</v>
      </c>
      <c r="D191" s="3" t="s">
        <v>290</v>
      </c>
      <c r="E191" s="3" t="s">
        <v>291</v>
      </c>
      <c r="F191" s="3" t="s">
        <v>146</v>
      </c>
      <c r="G191" s="3" t="s">
        <v>534</v>
      </c>
      <c r="H191" s="3" t="s">
        <v>293</v>
      </c>
      <c r="I191" s="3" t="s">
        <v>294</v>
      </c>
      <c r="J191" s="3" t="s">
        <v>295</v>
      </c>
      <c r="K191" s="3" t="s">
        <v>33</v>
      </c>
      <c r="L191" s="3" t="s">
        <v>51</v>
      </c>
      <c r="M191" s="3" t="s">
        <v>296</v>
      </c>
      <c r="N191" s="3" t="s">
        <v>535</v>
      </c>
      <c r="O191" s="3" t="s">
        <v>108</v>
      </c>
      <c r="P191" s="3" t="s">
        <v>109</v>
      </c>
      <c r="Q191" s="3" t="s">
        <v>39</v>
      </c>
      <c r="R191" s="3" t="s">
        <v>40</v>
      </c>
      <c r="S191" s="55">
        <v>232056</v>
      </c>
      <c r="T191" s="55">
        <v>200379.7543</v>
      </c>
      <c r="U191" s="55">
        <v>17664.594300000001</v>
      </c>
      <c r="V191" s="55">
        <v>31676.245699999999</v>
      </c>
      <c r="W191" s="3">
        <v>86</v>
      </c>
    </row>
    <row r="192" spans="1:23" x14ac:dyDescent="0.35">
      <c r="A192" s="3" t="s">
        <v>139</v>
      </c>
      <c r="B192" s="3" t="s">
        <v>558</v>
      </c>
      <c r="C192" s="3" t="s">
        <v>298</v>
      </c>
      <c r="D192" s="3" t="s">
        <v>290</v>
      </c>
      <c r="E192" s="3" t="s">
        <v>291</v>
      </c>
      <c r="F192" s="3" t="s">
        <v>146</v>
      </c>
      <c r="G192" s="3" t="s">
        <v>534</v>
      </c>
      <c r="H192" s="3" t="s">
        <v>293</v>
      </c>
      <c r="I192" s="3" t="s">
        <v>294</v>
      </c>
      <c r="J192" s="3" t="s">
        <v>295</v>
      </c>
      <c r="K192" s="3" t="s">
        <v>33</v>
      </c>
      <c r="L192" s="3" t="s">
        <v>51</v>
      </c>
      <c r="M192" s="3" t="s">
        <v>299</v>
      </c>
      <c r="N192" s="3" t="s">
        <v>536</v>
      </c>
      <c r="O192" s="3" t="s">
        <v>108</v>
      </c>
      <c r="P192" s="3" t="s">
        <v>109</v>
      </c>
      <c r="Q192" s="3" t="s">
        <v>39</v>
      </c>
      <c r="R192" s="3" t="s">
        <v>40</v>
      </c>
      <c r="S192" s="55">
        <v>86322.7</v>
      </c>
      <c r="T192" s="55">
        <v>70222.685800000007</v>
      </c>
      <c r="U192" s="55">
        <v>9523.8084999999992</v>
      </c>
      <c r="V192" s="55">
        <v>16100.0142</v>
      </c>
      <c r="W192" s="3">
        <v>81</v>
      </c>
    </row>
    <row r="193" spans="1:23" x14ac:dyDescent="0.35">
      <c r="A193" s="3" t="s">
        <v>139</v>
      </c>
      <c r="B193" s="3" t="s">
        <v>558</v>
      </c>
      <c r="C193" s="3" t="s">
        <v>301</v>
      </c>
      <c r="D193" s="3" t="s">
        <v>290</v>
      </c>
      <c r="E193" s="3" t="s">
        <v>291</v>
      </c>
      <c r="F193" s="3" t="s">
        <v>146</v>
      </c>
      <c r="G193" s="3" t="s">
        <v>534</v>
      </c>
      <c r="H193" s="3" t="s">
        <v>293</v>
      </c>
      <c r="I193" s="3" t="s">
        <v>294</v>
      </c>
      <c r="J193" s="3" t="s">
        <v>295</v>
      </c>
      <c r="K193" s="3" t="s">
        <v>33</v>
      </c>
      <c r="L193" s="3" t="s">
        <v>51</v>
      </c>
      <c r="M193" s="3" t="s">
        <v>302</v>
      </c>
      <c r="N193" s="3" t="s">
        <v>537</v>
      </c>
      <c r="O193" s="3" t="s">
        <v>108</v>
      </c>
      <c r="P193" s="3" t="s">
        <v>109</v>
      </c>
      <c r="Q193" s="3" t="s">
        <v>39</v>
      </c>
      <c r="R193" s="3" t="s">
        <v>40</v>
      </c>
      <c r="S193" s="55">
        <v>192328.9</v>
      </c>
      <c r="T193" s="55">
        <v>142748.03630000001</v>
      </c>
      <c r="U193" s="55">
        <v>16983.172399999999</v>
      </c>
      <c r="V193" s="55">
        <v>49580.863700000002</v>
      </c>
      <c r="W193" s="3">
        <v>74</v>
      </c>
    </row>
    <row r="194" spans="1:23" x14ac:dyDescent="0.35">
      <c r="A194" s="3" t="s">
        <v>139</v>
      </c>
      <c r="B194" s="3" t="s">
        <v>558</v>
      </c>
      <c r="C194" s="3" t="s">
        <v>304</v>
      </c>
      <c r="D194" s="3" t="s">
        <v>290</v>
      </c>
      <c r="E194" s="3" t="s">
        <v>291</v>
      </c>
      <c r="F194" s="3" t="s">
        <v>146</v>
      </c>
      <c r="G194" s="3" t="s">
        <v>534</v>
      </c>
      <c r="H194" s="3" t="s">
        <v>293</v>
      </c>
      <c r="I194" s="3" t="s">
        <v>294</v>
      </c>
      <c r="J194" s="3" t="s">
        <v>295</v>
      </c>
      <c r="K194" s="3" t="s">
        <v>33</v>
      </c>
      <c r="L194" s="3" t="s">
        <v>51</v>
      </c>
      <c r="M194" s="3" t="s">
        <v>305</v>
      </c>
      <c r="N194" s="3" t="s">
        <v>538</v>
      </c>
      <c r="O194" s="3" t="s">
        <v>108</v>
      </c>
      <c r="P194" s="3" t="s">
        <v>109</v>
      </c>
      <c r="Q194" s="3" t="s">
        <v>39</v>
      </c>
      <c r="R194" s="3" t="s">
        <v>40</v>
      </c>
      <c r="S194" s="55">
        <v>73563</v>
      </c>
      <c r="T194" s="55">
        <v>58605.0101</v>
      </c>
      <c r="U194" s="55">
        <v>5201.6108999999997</v>
      </c>
      <c r="V194" s="55">
        <v>14957.9899</v>
      </c>
      <c r="W194" s="3">
        <v>80</v>
      </c>
    </row>
    <row r="195" spans="1:23" x14ac:dyDescent="0.35">
      <c r="A195" s="3" t="s">
        <v>139</v>
      </c>
      <c r="B195" s="3" t="s">
        <v>558</v>
      </c>
      <c r="C195" s="3" t="s">
        <v>307</v>
      </c>
      <c r="D195" s="3" t="s">
        <v>290</v>
      </c>
      <c r="E195" s="3" t="s">
        <v>291</v>
      </c>
      <c r="F195" s="3" t="s">
        <v>146</v>
      </c>
      <c r="G195" s="3" t="s">
        <v>534</v>
      </c>
      <c r="H195" s="3" t="s">
        <v>293</v>
      </c>
      <c r="I195" s="3" t="s">
        <v>294</v>
      </c>
      <c r="J195" s="3" t="s">
        <v>295</v>
      </c>
      <c r="K195" s="3" t="s">
        <v>33</v>
      </c>
      <c r="L195" s="3" t="s">
        <v>51</v>
      </c>
      <c r="M195" s="3" t="s">
        <v>308</v>
      </c>
      <c r="N195" s="3" t="s">
        <v>309</v>
      </c>
      <c r="O195" s="3" t="s">
        <v>37</v>
      </c>
      <c r="P195" s="3" t="s">
        <v>38</v>
      </c>
      <c r="Q195" s="3" t="s">
        <v>39</v>
      </c>
      <c r="R195" s="3" t="s">
        <v>40</v>
      </c>
      <c r="S195" s="55">
        <v>7870.9</v>
      </c>
      <c r="T195" s="55">
        <v>3914.6163999999999</v>
      </c>
      <c r="U195" s="55">
        <v>637.89620000000002</v>
      </c>
      <c r="V195" s="55">
        <v>3956.2836000000002</v>
      </c>
      <c r="W195" s="3">
        <v>50</v>
      </c>
    </row>
    <row r="196" spans="1:23" x14ac:dyDescent="0.35">
      <c r="A196" s="3" t="s">
        <v>139</v>
      </c>
      <c r="B196" s="3" t="s">
        <v>558</v>
      </c>
      <c r="C196" s="3" t="s">
        <v>436</v>
      </c>
      <c r="D196" s="3" t="s">
        <v>290</v>
      </c>
      <c r="E196" s="3" t="s">
        <v>291</v>
      </c>
      <c r="F196" s="3" t="s">
        <v>146</v>
      </c>
      <c r="G196" s="3" t="s">
        <v>534</v>
      </c>
      <c r="H196" s="3" t="s">
        <v>293</v>
      </c>
      <c r="I196" s="3" t="s">
        <v>294</v>
      </c>
      <c r="J196" s="3" t="s">
        <v>295</v>
      </c>
      <c r="K196" s="3" t="s">
        <v>33</v>
      </c>
      <c r="L196" s="3" t="s">
        <v>51</v>
      </c>
      <c r="M196" s="3" t="s">
        <v>308</v>
      </c>
      <c r="N196" s="3" t="s">
        <v>309</v>
      </c>
      <c r="O196" s="3" t="s">
        <v>197</v>
      </c>
      <c r="P196" s="3" t="s">
        <v>198</v>
      </c>
      <c r="Q196" s="3" t="s">
        <v>39</v>
      </c>
      <c r="R196" s="3" t="s">
        <v>40</v>
      </c>
      <c r="S196" s="55">
        <v>3639.8</v>
      </c>
      <c r="T196" s="55">
        <v>3582.7080999999998</v>
      </c>
      <c r="U196" s="55">
        <v>169.41</v>
      </c>
      <c r="V196" s="55">
        <v>57.091900000000003</v>
      </c>
      <c r="W196" s="3">
        <v>98</v>
      </c>
    </row>
    <row r="197" spans="1:23" x14ac:dyDescent="0.35">
      <c r="A197" s="3" t="s">
        <v>139</v>
      </c>
      <c r="B197" s="3" t="s">
        <v>558</v>
      </c>
      <c r="C197" s="3" t="s">
        <v>310</v>
      </c>
      <c r="D197" s="3" t="s">
        <v>290</v>
      </c>
      <c r="E197" s="3" t="s">
        <v>291</v>
      </c>
      <c r="F197" s="3" t="s">
        <v>146</v>
      </c>
      <c r="G197" s="3" t="s">
        <v>534</v>
      </c>
      <c r="H197" s="3" t="s">
        <v>293</v>
      </c>
      <c r="I197" s="3" t="s">
        <v>294</v>
      </c>
      <c r="J197" s="3" t="s">
        <v>295</v>
      </c>
      <c r="K197" s="3" t="s">
        <v>33</v>
      </c>
      <c r="L197" s="3" t="s">
        <v>51</v>
      </c>
      <c r="M197" s="3" t="s">
        <v>311</v>
      </c>
      <c r="N197" s="3" t="s">
        <v>312</v>
      </c>
      <c r="O197" s="3" t="s">
        <v>197</v>
      </c>
      <c r="P197" s="3" t="s">
        <v>198</v>
      </c>
      <c r="Q197" s="3" t="s">
        <v>39</v>
      </c>
      <c r="R197" s="3" t="s">
        <v>40</v>
      </c>
      <c r="S197" s="55">
        <v>40101.9</v>
      </c>
      <c r="T197" s="55">
        <v>38126.196000000004</v>
      </c>
      <c r="U197" s="55">
        <v>1604.6948</v>
      </c>
      <c r="V197" s="55">
        <v>1975.704</v>
      </c>
      <c r="W197" s="3">
        <v>95</v>
      </c>
    </row>
    <row r="198" spans="1:23" x14ac:dyDescent="0.35">
      <c r="A198" s="3" t="s">
        <v>139</v>
      </c>
      <c r="B198" s="3" t="s">
        <v>558</v>
      </c>
      <c r="C198" s="3" t="s">
        <v>313</v>
      </c>
      <c r="D198" s="3" t="s">
        <v>290</v>
      </c>
      <c r="E198" s="3" t="s">
        <v>291</v>
      </c>
      <c r="F198" s="3" t="s">
        <v>146</v>
      </c>
      <c r="G198" s="3" t="s">
        <v>534</v>
      </c>
      <c r="H198" s="3" t="s">
        <v>293</v>
      </c>
      <c r="I198" s="3" t="s">
        <v>294</v>
      </c>
      <c r="J198" s="3" t="s">
        <v>295</v>
      </c>
      <c r="K198" s="3" t="s">
        <v>33</v>
      </c>
      <c r="L198" s="3" t="s">
        <v>51</v>
      </c>
      <c r="M198" s="3" t="s">
        <v>314</v>
      </c>
      <c r="N198" s="3" t="s">
        <v>315</v>
      </c>
      <c r="O198" s="3" t="s">
        <v>197</v>
      </c>
      <c r="P198" s="3" t="s">
        <v>198</v>
      </c>
      <c r="Q198" s="3" t="s">
        <v>39</v>
      </c>
      <c r="R198" s="3" t="s">
        <v>40</v>
      </c>
      <c r="S198" s="55">
        <v>712.6</v>
      </c>
      <c r="T198" s="55">
        <v>712.53840000000002</v>
      </c>
      <c r="U198" s="55">
        <v>0</v>
      </c>
      <c r="V198" s="55">
        <v>6.1600000000000002E-2</v>
      </c>
      <c r="W198" s="3">
        <v>100</v>
      </c>
    </row>
    <row r="199" spans="1:23" x14ac:dyDescent="0.35">
      <c r="A199" s="3" t="s">
        <v>139</v>
      </c>
      <c r="B199" s="3" t="s">
        <v>558</v>
      </c>
      <c r="C199" s="3" t="s">
        <v>539</v>
      </c>
      <c r="D199" s="3" t="s">
        <v>290</v>
      </c>
      <c r="E199" s="3" t="s">
        <v>291</v>
      </c>
      <c r="F199" s="3" t="s">
        <v>146</v>
      </c>
      <c r="G199" s="3" t="s">
        <v>534</v>
      </c>
      <c r="H199" s="3" t="s">
        <v>293</v>
      </c>
      <c r="I199" s="3" t="s">
        <v>294</v>
      </c>
      <c r="J199" s="3" t="s">
        <v>295</v>
      </c>
      <c r="K199" s="3" t="s">
        <v>33</v>
      </c>
      <c r="L199" s="3" t="s">
        <v>51</v>
      </c>
      <c r="M199" s="3" t="s">
        <v>540</v>
      </c>
      <c r="N199" s="3" t="s">
        <v>541</v>
      </c>
      <c r="O199" s="3" t="s">
        <v>197</v>
      </c>
      <c r="P199" s="3" t="s">
        <v>198</v>
      </c>
      <c r="Q199" s="3" t="s">
        <v>39</v>
      </c>
      <c r="R199" s="3" t="s">
        <v>40</v>
      </c>
      <c r="S199" s="55">
        <v>30745.7</v>
      </c>
      <c r="T199" s="55">
        <v>24834.273399999998</v>
      </c>
      <c r="U199" s="55">
        <v>3383</v>
      </c>
      <c r="V199" s="55">
        <v>5911.4265999999998</v>
      </c>
      <c r="W199" s="3">
        <v>81</v>
      </c>
    </row>
    <row r="200" spans="1:23" x14ac:dyDescent="0.35">
      <c r="A200" s="3" t="s">
        <v>139</v>
      </c>
      <c r="B200" s="3" t="s">
        <v>558</v>
      </c>
      <c r="C200" s="3" t="s">
        <v>322</v>
      </c>
      <c r="D200" s="3" t="s">
        <v>317</v>
      </c>
      <c r="E200" s="3" t="s">
        <v>291</v>
      </c>
      <c r="F200" s="3" t="s">
        <v>318</v>
      </c>
      <c r="G200" s="3" t="s">
        <v>319</v>
      </c>
      <c r="H200" s="3" t="s">
        <v>293</v>
      </c>
      <c r="I200" s="3" t="s">
        <v>294</v>
      </c>
      <c r="J200" s="3" t="s">
        <v>295</v>
      </c>
      <c r="K200" s="3" t="s">
        <v>33</v>
      </c>
      <c r="L200" s="3" t="s">
        <v>51</v>
      </c>
      <c r="M200" s="3" t="s">
        <v>323</v>
      </c>
      <c r="N200" s="3" t="s">
        <v>324</v>
      </c>
      <c r="O200" s="3" t="s">
        <v>197</v>
      </c>
      <c r="P200" s="3" t="s">
        <v>198</v>
      </c>
      <c r="Q200" s="3" t="s">
        <v>39</v>
      </c>
      <c r="R200" s="3" t="s">
        <v>40</v>
      </c>
      <c r="S200" s="55">
        <v>12448.4</v>
      </c>
      <c r="T200" s="55">
        <v>3061.3195999999998</v>
      </c>
      <c r="U200" s="55">
        <v>0</v>
      </c>
      <c r="V200" s="55">
        <v>9387.0804000000007</v>
      </c>
      <c r="W200" s="3">
        <v>25</v>
      </c>
    </row>
    <row r="201" spans="1:23" x14ac:dyDescent="0.35">
      <c r="A201" s="3" t="s">
        <v>139</v>
      </c>
      <c r="B201" s="3" t="s">
        <v>558</v>
      </c>
      <c r="C201" s="3" t="s">
        <v>325</v>
      </c>
      <c r="D201" s="3" t="s">
        <v>326</v>
      </c>
      <c r="E201" s="3" t="s">
        <v>327</v>
      </c>
      <c r="F201" s="3" t="s">
        <v>189</v>
      </c>
      <c r="G201" s="3" t="s">
        <v>328</v>
      </c>
      <c r="H201" s="3" t="s">
        <v>146</v>
      </c>
      <c r="I201" s="3" t="s">
        <v>329</v>
      </c>
      <c r="J201" s="3" t="s">
        <v>330</v>
      </c>
      <c r="K201" s="3" t="s">
        <v>33</v>
      </c>
      <c r="L201" s="3" t="s">
        <v>51</v>
      </c>
      <c r="M201" s="3" t="s">
        <v>331</v>
      </c>
      <c r="N201" s="3" t="s">
        <v>332</v>
      </c>
      <c r="O201" s="3" t="s">
        <v>108</v>
      </c>
      <c r="P201" s="3" t="s">
        <v>109</v>
      </c>
      <c r="Q201" s="3" t="s">
        <v>39</v>
      </c>
      <c r="R201" s="3" t="s">
        <v>40</v>
      </c>
      <c r="S201" s="55">
        <v>607335</v>
      </c>
      <c r="T201" s="55">
        <v>421695.82089999999</v>
      </c>
      <c r="U201" s="55">
        <v>42029.3053</v>
      </c>
      <c r="V201" s="55">
        <v>185639.17910000001</v>
      </c>
      <c r="W201" s="3">
        <v>69</v>
      </c>
    </row>
    <row r="202" spans="1:23" x14ac:dyDescent="0.35">
      <c r="A202" s="3" t="s">
        <v>139</v>
      </c>
      <c r="B202" s="3" t="s">
        <v>558</v>
      </c>
      <c r="C202" s="3" t="s">
        <v>333</v>
      </c>
      <c r="D202" s="3" t="s">
        <v>326</v>
      </c>
      <c r="E202" s="3" t="s">
        <v>327</v>
      </c>
      <c r="F202" s="3" t="s">
        <v>189</v>
      </c>
      <c r="G202" s="3" t="s">
        <v>328</v>
      </c>
      <c r="H202" s="3" t="s">
        <v>146</v>
      </c>
      <c r="I202" s="3" t="s">
        <v>329</v>
      </c>
      <c r="J202" s="3" t="s">
        <v>330</v>
      </c>
      <c r="K202" s="3" t="s">
        <v>33</v>
      </c>
      <c r="L202" s="3" t="s">
        <v>51</v>
      </c>
      <c r="M202" s="3" t="s">
        <v>331</v>
      </c>
      <c r="N202" s="3" t="s">
        <v>332</v>
      </c>
      <c r="O202" s="3" t="s">
        <v>334</v>
      </c>
      <c r="P202" s="3" t="s">
        <v>335</v>
      </c>
      <c r="Q202" s="3" t="s">
        <v>39</v>
      </c>
      <c r="R202" s="3" t="s">
        <v>40</v>
      </c>
      <c r="S202" s="55">
        <v>5154.6000000000004</v>
      </c>
      <c r="T202" s="55">
        <v>3096.4245999999998</v>
      </c>
      <c r="U202" s="55">
        <v>224.9581</v>
      </c>
      <c r="V202" s="55">
        <v>2058.1754000000001</v>
      </c>
      <c r="W202" s="3">
        <v>60</v>
      </c>
    </row>
    <row r="203" spans="1:23" x14ac:dyDescent="0.35">
      <c r="A203" s="3" t="s">
        <v>139</v>
      </c>
      <c r="B203" s="3" t="s">
        <v>558</v>
      </c>
      <c r="C203" s="3" t="s">
        <v>542</v>
      </c>
      <c r="D203" s="3" t="s">
        <v>337</v>
      </c>
      <c r="E203" s="3" t="s">
        <v>327</v>
      </c>
      <c r="F203" s="3" t="s">
        <v>116</v>
      </c>
      <c r="G203" s="3" t="s">
        <v>338</v>
      </c>
      <c r="H203" s="3" t="s">
        <v>146</v>
      </c>
      <c r="I203" s="3" t="s">
        <v>329</v>
      </c>
      <c r="J203" s="3" t="s">
        <v>339</v>
      </c>
      <c r="K203" s="3" t="s">
        <v>23</v>
      </c>
      <c r="L203" s="3" t="s">
        <v>203</v>
      </c>
      <c r="M203" s="3" t="s">
        <v>543</v>
      </c>
      <c r="N203" s="3" t="s">
        <v>341</v>
      </c>
      <c r="O203" s="3" t="s">
        <v>197</v>
      </c>
      <c r="P203" s="3" t="s">
        <v>198</v>
      </c>
      <c r="Q203" s="3" t="s">
        <v>39</v>
      </c>
      <c r="R203" s="3" t="s">
        <v>40</v>
      </c>
      <c r="S203" s="55">
        <v>79182.8</v>
      </c>
      <c r="T203" s="55">
        <v>68986.297200000001</v>
      </c>
      <c r="U203" s="55">
        <v>419.70479999999998</v>
      </c>
      <c r="V203" s="55">
        <v>10196.5028</v>
      </c>
      <c r="W203" s="3">
        <v>87</v>
      </c>
    </row>
    <row r="204" spans="1:23" x14ac:dyDescent="0.35">
      <c r="A204" s="3" t="s">
        <v>139</v>
      </c>
      <c r="B204" s="3" t="s">
        <v>558</v>
      </c>
      <c r="C204" s="3" t="s">
        <v>544</v>
      </c>
      <c r="D204" s="3" t="s">
        <v>337</v>
      </c>
      <c r="E204" s="3" t="s">
        <v>327</v>
      </c>
      <c r="F204" s="3" t="s">
        <v>116</v>
      </c>
      <c r="G204" s="3" t="s">
        <v>338</v>
      </c>
      <c r="H204" s="3" t="s">
        <v>146</v>
      </c>
      <c r="I204" s="3" t="s">
        <v>329</v>
      </c>
      <c r="J204" s="3" t="s">
        <v>339</v>
      </c>
      <c r="K204" s="3" t="s">
        <v>23</v>
      </c>
      <c r="L204" s="3" t="s">
        <v>203</v>
      </c>
      <c r="M204" s="3" t="s">
        <v>545</v>
      </c>
      <c r="N204" s="3" t="s">
        <v>359</v>
      </c>
      <c r="O204" s="3" t="s">
        <v>197</v>
      </c>
      <c r="P204" s="3" t="s">
        <v>198</v>
      </c>
      <c r="Q204" s="3" t="s">
        <v>39</v>
      </c>
      <c r="R204" s="3" t="s">
        <v>40</v>
      </c>
      <c r="S204" s="55">
        <v>50.1</v>
      </c>
      <c r="T204" s="55">
        <v>50.1</v>
      </c>
      <c r="U204" s="55">
        <v>0</v>
      </c>
      <c r="V204" s="55">
        <v>0</v>
      </c>
      <c r="W204" s="3">
        <v>100</v>
      </c>
    </row>
    <row r="205" spans="1:23" x14ac:dyDescent="0.35">
      <c r="A205" s="3" t="s">
        <v>139</v>
      </c>
      <c r="B205" s="3" t="s">
        <v>558</v>
      </c>
      <c r="C205" s="3" t="s">
        <v>437</v>
      </c>
      <c r="D205" s="3" t="s">
        <v>337</v>
      </c>
      <c r="E205" s="3" t="s">
        <v>327</v>
      </c>
      <c r="F205" s="3" t="s">
        <v>116</v>
      </c>
      <c r="G205" s="3" t="s">
        <v>338</v>
      </c>
      <c r="H205" s="3" t="s">
        <v>146</v>
      </c>
      <c r="I205" s="3" t="s">
        <v>329</v>
      </c>
      <c r="J205" s="3" t="s">
        <v>330</v>
      </c>
      <c r="K205" s="3" t="s">
        <v>33</v>
      </c>
      <c r="L205" s="3" t="s">
        <v>51</v>
      </c>
      <c r="M205" s="3" t="s">
        <v>438</v>
      </c>
      <c r="N205" s="3" t="s">
        <v>439</v>
      </c>
      <c r="O205" s="3" t="s">
        <v>197</v>
      </c>
      <c r="P205" s="3" t="s">
        <v>198</v>
      </c>
      <c r="Q205" s="3" t="s">
        <v>39</v>
      </c>
      <c r="R205" s="3" t="s">
        <v>40</v>
      </c>
      <c r="S205" s="55">
        <v>48923.9</v>
      </c>
      <c r="T205" s="55">
        <v>26079.830699999999</v>
      </c>
      <c r="U205" s="55">
        <v>6244.1498000000001</v>
      </c>
      <c r="V205" s="55">
        <v>22844.069299999999</v>
      </c>
      <c r="W205" s="3">
        <v>53</v>
      </c>
    </row>
    <row r="206" spans="1:23" x14ac:dyDescent="0.35">
      <c r="A206" s="3" t="s">
        <v>139</v>
      </c>
      <c r="B206" s="3" t="s">
        <v>558</v>
      </c>
      <c r="C206" s="3" t="s">
        <v>342</v>
      </c>
      <c r="D206" s="3" t="s">
        <v>337</v>
      </c>
      <c r="E206" s="3" t="s">
        <v>327</v>
      </c>
      <c r="F206" s="3" t="s">
        <v>116</v>
      </c>
      <c r="G206" s="3" t="s">
        <v>338</v>
      </c>
      <c r="H206" s="3" t="s">
        <v>146</v>
      </c>
      <c r="I206" s="3" t="s">
        <v>329</v>
      </c>
      <c r="J206" s="3" t="s">
        <v>330</v>
      </c>
      <c r="K206" s="3" t="s">
        <v>33</v>
      </c>
      <c r="L206" s="3" t="s">
        <v>51</v>
      </c>
      <c r="M206" s="3" t="s">
        <v>343</v>
      </c>
      <c r="N206" s="3" t="s">
        <v>344</v>
      </c>
      <c r="O206" s="3" t="s">
        <v>37</v>
      </c>
      <c r="P206" s="3" t="s">
        <v>38</v>
      </c>
      <c r="Q206" s="3" t="s">
        <v>39</v>
      </c>
      <c r="R206" s="3" t="s">
        <v>40</v>
      </c>
      <c r="S206" s="55">
        <v>46.1</v>
      </c>
      <c r="T206" s="55">
        <v>36.159500000000001</v>
      </c>
      <c r="U206" s="55">
        <v>0</v>
      </c>
      <c r="V206" s="55">
        <v>9.9405000000000001</v>
      </c>
      <c r="W206" s="3">
        <v>78</v>
      </c>
    </row>
    <row r="207" spans="1:23" x14ac:dyDescent="0.35">
      <c r="A207" s="3" t="s">
        <v>139</v>
      </c>
      <c r="B207" s="3" t="s">
        <v>558</v>
      </c>
      <c r="C207" s="3" t="s">
        <v>345</v>
      </c>
      <c r="D207" s="3" t="s">
        <v>337</v>
      </c>
      <c r="E207" s="3" t="s">
        <v>327</v>
      </c>
      <c r="F207" s="3" t="s">
        <v>116</v>
      </c>
      <c r="G207" s="3" t="s">
        <v>338</v>
      </c>
      <c r="H207" s="3" t="s">
        <v>146</v>
      </c>
      <c r="I207" s="3" t="s">
        <v>329</v>
      </c>
      <c r="J207" s="3" t="s">
        <v>330</v>
      </c>
      <c r="K207" s="3" t="s">
        <v>33</v>
      </c>
      <c r="L207" s="3" t="s">
        <v>51</v>
      </c>
      <c r="M207" s="3" t="s">
        <v>346</v>
      </c>
      <c r="N207" s="3" t="s">
        <v>347</v>
      </c>
      <c r="O207" s="3" t="s">
        <v>197</v>
      </c>
      <c r="P207" s="3" t="s">
        <v>198</v>
      </c>
      <c r="Q207" s="3" t="s">
        <v>39</v>
      </c>
      <c r="R207" s="3" t="s">
        <v>40</v>
      </c>
      <c r="S207" s="55">
        <v>109042.9</v>
      </c>
      <c r="T207" s="55">
        <v>14216.929400000001</v>
      </c>
      <c r="U207" s="55">
        <v>14216.929400000001</v>
      </c>
      <c r="V207" s="55">
        <v>94825.970600000001</v>
      </c>
      <c r="W207" s="3">
        <v>13</v>
      </c>
    </row>
    <row r="208" spans="1:23" x14ac:dyDescent="0.35">
      <c r="A208" s="3" t="s">
        <v>139</v>
      </c>
      <c r="B208" s="3" t="s">
        <v>558</v>
      </c>
      <c r="C208" s="3" t="s">
        <v>489</v>
      </c>
      <c r="D208" s="3" t="s">
        <v>337</v>
      </c>
      <c r="E208" s="3" t="s">
        <v>327</v>
      </c>
      <c r="F208" s="3" t="s">
        <v>116</v>
      </c>
      <c r="G208" s="3" t="s">
        <v>338</v>
      </c>
      <c r="H208" s="3" t="s">
        <v>146</v>
      </c>
      <c r="I208" s="3" t="s">
        <v>329</v>
      </c>
      <c r="J208" s="3" t="s">
        <v>330</v>
      </c>
      <c r="K208" s="3" t="s">
        <v>33</v>
      </c>
      <c r="L208" s="3" t="s">
        <v>51</v>
      </c>
      <c r="M208" s="3" t="s">
        <v>490</v>
      </c>
      <c r="N208" s="3" t="s">
        <v>491</v>
      </c>
      <c r="O208" s="3" t="s">
        <v>197</v>
      </c>
      <c r="P208" s="3" t="s">
        <v>198</v>
      </c>
      <c r="Q208" s="3" t="s">
        <v>39</v>
      </c>
      <c r="R208" s="3" t="s">
        <v>40</v>
      </c>
      <c r="S208" s="55">
        <v>14237.2</v>
      </c>
      <c r="T208" s="55">
        <v>13660</v>
      </c>
      <c r="U208" s="55">
        <v>0</v>
      </c>
      <c r="V208" s="55">
        <v>577.20000000000005</v>
      </c>
      <c r="W208" s="3">
        <v>96</v>
      </c>
    </row>
    <row r="209" spans="1:23" x14ac:dyDescent="0.35">
      <c r="A209" s="3" t="s">
        <v>139</v>
      </c>
      <c r="B209" s="3" t="s">
        <v>558</v>
      </c>
      <c r="C209" s="3" t="s">
        <v>348</v>
      </c>
      <c r="D209" s="3" t="s">
        <v>337</v>
      </c>
      <c r="E209" s="3" t="s">
        <v>327</v>
      </c>
      <c r="F209" s="3" t="s">
        <v>116</v>
      </c>
      <c r="G209" s="3" t="s">
        <v>338</v>
      </c>
      <c r="H209" s="3" t="s">
        <v>146</v>
      </c>
      <c r="I209" s="3" t="s">
        <v>329</v>
      </c>
      <c r="J209" s="3" t="s">
        <v>330</v>
      </c>
      <c r="K209" s="3" t="s">
        <v>33</v>
      </c>
      <c r="L209" s="3" t="s">
        <v>51</v>
      </c>
      <c r="M209" s="3" t="s">
        <v>349</v>
      </c>
      <c r="N209" s="3" t="s">
        <v>350</v>
      </c>
      <c r="O209" s="3" t="s">
        <v>197</v>
      </c>
      <c r="P209" s="3" t="s">
        <v>198</v>
      </c>
      <c r="Q209" s="3" t="s">
        <v>39</v>
      </c>
      <c r="R209" s="3" t="s">
        <v>40</v>
      </c>
      <c r="S209" s="55">
        <v>100</v>
      </c>
      <c r="T209" s="55">
        <v>0</v>
      </c>
      <c r="U209" s="55">
        <v>0</v>
      </c>
      <c r="V209" s="55">
        <v>100</v>
      </c>
      <c r="W209" s="3">
        <v>0</v>
      </c>
    </row>
    <row r="210" spans="1:23" x14ac:dyDescent="0.35">
      <c r="A210" s="3" t="s">
        <v>139</v>
      </c>
      <c r="B210" s="3" t="s">
        <v>558</v>
      </c>
      <c r="C210" s="3" t="s">
        <v>546</v>
      </c>
      <c r="D210" s="3" t="s">
        <v>337</v>
      </c>
      <c r="E210" s="3" t="s">
        <v>327</v>
      </c>
      <c r="F210" s="3" t="s">
        <v>116</v>
      </c>
      <c r="G210" s="3" t="s">
        <v>338</v>
      </c>
      <c r="H210" s="3" t="s">
        <v>146</v>
      </c>
      <c r="I210" s="3" t="s">
        <v>329</v>
      </c>
      <c r="J210" s="3" t="s">
        <v>330</v>
      </c>
      <c r="K210" s="3" t="s">
        <v>33</v>
      </c>
      <c r="L210" s="3" t="s">
        <v>51</v>
      </c>
      <c r="M210" s="3" t="s">
        <v>547</v>
      </c>
      <c r="N210" s="3" t="s">
        <v>548</v>
      </c>
      <c r="O210" s="3" t="s">
        <v>197</v>
      </c>
      <c r="P210" s="3" t="s">
        <v>198</v>
      </c>
      <c r="Q210" s="3" t="s">
        <v>39</v>
      </c>
      <c r="R210" s="3" t="s">
        <v>40</v>
      </c>
      <c r="S210" s="55">
        <v>8607.7000000000007</v>
      </c>
      <c r="T210" s="55">
        <v>0</v>
      </c>
      <c r="U210" s="55">
        <v>0</v>
      </c>
      <c r="V210" s="55">
        <v>8607.7000000000007</v>
      </c>
      <c r="W210" s="3">
        <v>0</v>
      </c>
    </row>
    <row r="211" spans="1:23" x14ac:dyDescent="0.35">
      <c r="A211" s="3" t="s">
        <v>139</v>
      </c>
      <c r="B211" s="3" t="s">
        <v>558</v>
      </c>
      <c r="C211" s="3" t="s">
        <v>455</v>
      </c>
      <c r="D211" s="3" t="s">
        <v>337</v>
      </c>
      <c r="E211" s="3" t="s">
        <v>327</v>
      </c>
      <c r="F211" s="3" t="s">
        <v>116</v>
      </c>
      <c r="G211" s="3" t="s">
        <v>338</v>
      </c>
      <c r="H211" s="3" t="s">
        <v>146</v>
      </c>
      <c r="I211" s="3" t="s">
        <v>329</v>
      </c>
      <c r="J211" s="3" t="s">
        <v>330</v>
      </c>
      <c r="K211" s="3" t="s">
        <v>33</v>
      </c>
      <c r="L211" s="3" t="s">
        <v>51</v>
      </c>
      <c r="M211" s="3" t="s">
        <v>456</v>
      </c>
      <c r="N211" s="3" t="s">
        <v>457</v>
      </c>
      <c r="O211" s="3" t="s">
        <v>197</v>
      </c>
      <c r="P211" s="3" t="s">
        <v>198</v>
      </c>
      <c r="Q211" s="3" t="s">
        <v>39</v>
      </c>
      <c r="R211" s="3" t="s">
        <v>40</v>
      </c>
      <c r="S211" s="55">
        <v>2903.1</v>
      </c>
      <c r="T211" s="55">
        <v>1876.5787</v>
      </c>
      <c r="U211" s="55">
        <v>128.4</v>
      </c>
      <c r="V211" s="55">
        <v>1026.5213000000001</v>
      </c>
      <c r="W211" s="3">
        <v>65</v>
      </c>
    </row>
    <row r="212" spans="1:23" x14ac:dyDescent="0.35">
      <c r="A212" s="3" t="s">
        <v>139</v>
      </c>
      <c r="B212" s="3" t="s">
        <v>558</v>
      </c>
      <c r="C212" s="3" t="s">
        <v>354</v>
      </c>
      <c r="D212" s="3" t="s">
        <v>337</v>
      </c>
      <c r="E212" s="3" t="s">
        <v>327</v>
      </c>
      <c r="F212" s="3" t="s">
        <v>116</v>
      </c>
      <c r="G212" s="3" t="s">
        <v>338</v>
      </c>
      <c r="H212" s="3" t="s">
        <v>146</v>
      </c>
      <c r="I212" s="3" t="s">
        <v>329</v>
      </c>
      <c r="J212" s="3" t="s">
        <v>330</v>
      </c>
      <c r="K212" s="3" t="s">
        <v>33</v>
      </c>
      <c r="L212" s="3" t="s">
        <v>51</v>
      </c>
      <c r="M212" s="3" t="s">
        <v>355</v>
      </c>
      <c r="N212" s="3" t="s">
        <v>356</v>
      </c>
      <c r="O212" s="3" t="s">
        <v>197</v>
      </c>
      <c r="P212" s="3" t="s">
        <v>198</v>
      </c>
      <c r="Q212" s="3" t="s">
        <v>39</v>
      </c>
      <c r="R212" s="3" t="s">
        <v>40</v>
      </c>
      <c r="S212" s="55">
        <v>43694.2</v>
      </c>
      <c r="T212" s="55">
        <v>26773.2235</v>
      </c>
      <c r="U212" s="55">
        <v>3180.0382</v>
      </c>
      <c r="V212" s="55">
        <v>16920.976500000001</v>
      </c>
      <c r="W212" s="3">
        <v>61</v>
      </c>
    </row>
    <row r="213" spans="1:23" x14ac:dyDescent="0.35">
      <c r="A213" s="3" t="s">
        <v>139</v>
      </c>
      <c r="B213" s="3" t="s">
        <v>558</v>
      </c>
      <c r="C213" s="3" t="s">
        <v>463</v>
      </c>
      <c r="D213" s="3" t="s">
        <v>337</v>
      </c>
      <c r="E213" s="3" t="s">
        <v>327</v>
      </c>
      <c r="F213" s="3" t="s">
        <v>116</v>
      </c>
      <c r="G213" s="3" t="s">
        <v>338</v>
      </c>
      <c r="H213" s="3" t="s">
        <v>146</v>
      </c>
      <c r="I213" s="3" t="s">
        <v>329</v>
      </c>
      <c r="J213" s="3" t="s">
        <v>330</v>
      </c>
      <c r="K213" s="3" t="s">
        <v>33</v>
      </c>
      <c r="L213" s="3" t="s">
        <v>51</v>
      </c>
      <c r="M213" s="3" t="s">
        <v>464</v>
      </c>
      <c r="N213" s="3" t="s">
        <v>465</v>
      </c>
      <c r="O213" s="3" t="s">
        <v>197</v>
      </c>
      <c r="P213" s="3" t="s">
        <v>198</v>
      </c>
      <c r="Q213" s="3" t="s">
        <v>39</v>
      </c>
      <c r="R213" s="3" t="s">
        <v>40</v>
      </c>
      <c r="S213" s="55">
        <v>194092.1</v>
      </c>
      <c r="T213" s="55">
        <v>194088.435</v>
      </c>
      <c r="U213" s="55">
        <v>1059.865</v>
      </c>
      <c r="V213" s="55">
        <v>3.665</v>
      </c>
      <c r="W213" s="3">
        <v>100</v>
      </c>
    </row>
    <row r="214" spans="1:23" x14ac:dyDescent="0.35">
      <c r="A214" s="3" t="s">
        <v>139</v>
      </c>
      <c r="B214" s="3" t="s">
        <v>558</v>
      </c>
      <c r="C214" s="3" t="s">
        <v>363</v>
      </c>
      <c r="D214" s="3" t="s">
        <v>364</v>
      </c>
      <c r="E214" s="3" t="s">
        <v>365</v>
      </c>
      <c r="F214" s="3" t="s">
        <v>189</v>
      </c>
      <c r="G214" s="3" t="s">
        <v>366</v>
      </c>
      <c r="H214" s="3" t="s">
        <v>28</v>
      </c>
      <c r="I214" s="3" t="s">
        <v>231</v>
      </c>
      <c r="J214" s="3" t="s">
        <v>232</v>
      </c>
      <c r="K214" s="3" t="s">
        <v>33</v>
      </c>
      <c r="L214" s="3" t="s">
        <v>51</v>
      </c>
      <c r="M214" s="3" t="s">
        <v>367</v>
      </c>
      <c r="N214" s="3" t="s">
        <v>368</v>
      </c>
      <c r="O214" s="3" t="s">
        <v>108</v>
      </c>
      <c r="P214" s="3" t="s">
        <v>109</v>
      </c>
      <c r="Q214" s="3" t="s">
        <v>39</v>
      </c>
      <c r="R214" s="3" t="s">
        <v>40</v>
      </c>
      <c r="S214" s="55">
        <v>181890.3</v>
      </c>
      <c r="T214" s="55">
        <v>152075.34179999999</v>
      </c>
      <c r="U214" s="55">
        <v>14732.84</v>
      </c>
      <c r="V214" s="55">
        <v>29814.958200000001</v>
      </c>
      <c r="W214" s="3">
        <v>84</v>
      </c>
    </row>
    <row r="215" spans="1:23" x14ac:dyDescent="0.35">
      <c r="A215" s="3" t="s">
        <v>139</v>
      </c>
      <c r="B215" s="3" t="s">
        <v>558</v>
      </c>
      <c r="C215" s="3" t="s">
        <v>369</v>
      </c>
      <c r="D215" s="3" t="s">
        <v>364</v>
      </c>
      <c r="E215" s="3" t="s">
        <v>365</v>
      </c>
      <c r="F215" s="3" t="s">
        <v>189</v>
      </c>
      <c r="G215" s="3" t="s">
        <v>366</v>
      </c>
      <c r="H215" s="3" t="s">
        <v>28</v>
      </c>
      <c r="I215" s="3" t="s">
        <v>231</v>
      </c>
      <c r="J215" s="3" t="s">
        <v>232</v>
      </c>
      <c r="K215" s="3" t="s">
        <v>33</v>
      </c>
      <c r="L215" s="3" t="s">
        <v>51</v>
      </c>
      <c r="M215" s="3" t="s">
        <v>367</v>
      </c>
      <c r="N215" s="3" t="s">
        <v>368</v>
      </c>
      <c r="O215" s="3" t="s">
        <v>334</v>
      </c>
      <c r="P215" s="3" t="s">
        <v>335</v>
      </c>
      <c r="Q215" s="3" t="s">
        <v>39</v>
      </c>
      <c r="R215" s="3" t="s">
        <v>40</v>
      </c>
      <c r="S215" s="55">
        <v>18356.2</v>
      </c>
      <c r="T215" s="55">
        <v>13997.918600000001</v>
      </c>
      <c r="U215" s="55">
        <v>1155.5727999999999</v>
      </c>
      <c r="V215" s="55">
        <v>4358.2813999999998</v>
      </c>
      <c r="W215" s="3">
        <v>76</v>
      </c>
    </row>
    <row r="216" spans="1:23" x14ac:dyDescent="0.35">
      <c r="A216" s="3" t="s">
        <v>139</v>
      </c>
      <c r="B216" s="3" t="s">
        <v>558</v>
      </c>
      <c r="C216" s="3" t="s">
        <v>373</v>
      </c>
      <c r="D216" s="3" t="s">
        <v>364</v>
      </c>
      <c r="E216" s="3" t="s">
        <v>365</v>
      </c>
      <c r="F216" s="3" t="s">
        <v>189</v>
      </c>
      <c r="G216" s="3" t="s">
        <v>366</v>
      </c>
      <c r="H216" s="3" t="s">
        <v>28</v>
      </c>
      <c r="I216" s="3" t="s">
        <v>231</v>
      </c>
      <c r="J216" s="3" t="s">
        <v>232</v>
      </c>
      <c r="K216" s="3" t="s">
        <v>33</v>
      </c>
      <c r="L216" s="3" t="s">
        <v>51</v>
      </c>
      <c r="M216" s="3" t="s">
        <v>371</v>
      </c>
      <c r="N216" s="3" t="s">
        <v>372</v>
      </c>
      <c r="O216" s="3" t="s">
        <v>334</v>
      </c>
      <c r="P216" s="3" t="s">
        <v>335</v>
      </c>
      <c r="Q216" s="3" t="s">
        <v>39</v>
      </c>
      <c r="R216" s="3" t="s">
        <v>40</v>
      </c>
      <c r="S216" s="55">
        <v>109296.5</v>
      </c>
      <c r="T216" s="55">
        <v>96294.702900000004</v>
      </c>
      <c r="U216" s="55">
        <v>8794.8997999999992</v>
      </c>
      <c r="V216" s="55">
        <v>13001.7971</v>
      </c>
      <c r="W216" s="3">
        <v>88</v>
      </c>
    </row>
    <row r="217" spans="1:23" x14ac:dyDescent="0.35">
      <c r="A217" s="3" t="s">
        <v>139</v>
      </c>
      <c r="B217" s="3" t="s">
        <v>558</v>
      </c>
      <c r="C217" s="3" t="s">
        <v>374</v>
      </c>
      <c r="D217" s="3" t="s">
        <v>364</v>
      </c>
      <c r="E217" s="3" t="s">
        <v>365</v>
      </c>
      <c r="F217" s="3" t="s">
        <v>189</v>
      </c>
      <c r="G217" s="3" t="s">
        <v>366</v>
      </c>
      <c r="H217" s="3" t="s">
        <v>28</v>
      </c>
      <c r="I217" s="3" t="s">
        <v>231</v>
      </c>
      <c r="J217" s="3" t="s">
        <v>232</v>
      </c>
      <c r="K217" s="3" t="s">
        <v>33</v>
      </c>
      <c r="L217" s="3" t="s">
        <v>51</v>
      </c>
      <c r="M217" s="3" t="s">
        <v>375</v>
      </c>
      <c r="N217" s="3" t="s">
        <v>376</v>
      </c>
      <c r="O217" s="3" t="s">
        <v>197</v>
      </c>
      <c r="P217" s="3" t="s">
        <v>198</v>
      </c>
      <c r="Q217" s="3" t="s">
        <v>39</v>
      </c>
      <c r="R217" s="3" t="s">
        <v>40</v>
      </c>
      <c r="S217" s="55">
        <v>10386</v>
      </c>
      <c r="T217" s="55">
        <v>0</v>
      </c>
      <c r="U217" s="55">
        <v>0</v>
      </c>
      <c r="V217" s="55">
        <v>10386</v>
      </c>
      <c r="W217" s="3">
        <v>0</v>
      </c>
    </row>
    <row r="218" spans="1:23" x14ac:dyDescent="0.35">
      <c r="A218" s="3" t="s">
        <v>139</v>
      </c>
      <c r="B218" s="3" t="s">
        <v>558</v>
      </c>
      <c r="C218" s="3" t="s">
        <v>377</v>
      </c>
      <c r="D218" s="3" t="s">
        <v>364</v>
      </c>
      <c r="E218" s="3" t="s">
        <v>365</v>
      </c>
      <c r="F218" s="3" t="s">
        <v>189</v>
      </c>
      <c r="G218" s="3" t="s">
        <v>366</v>
      </c>
      <c r="H218" s="3" t="s">
        <v>28</v>
      </c>
      <c r="I218" s="3" t="s">
        <v>231</v>
      </c>
      <c r="J218" s="3" t="s">
        <v>232</v>
      </c>
      <c r="K218" s="3" t="s">
        <v>33</v>
      </c>
      <c r="L218" s="3" t="s">
        <v>51</v>
      </c>
      <c r="M218" s="3" t="s">
        <v>378</v>
      </c>
      <c r="N218" s="3" t="s">
        <v>549</v>
      </c>
      <c r="O218" s="3" t="s">
        <v>108</v>
      </c>
      <c r="P218" s="3" t="s">
        <v>109</v>
      </c>
      <c r="Q218" s="3" t="s">
        <v>39</v>
      </c>
      <c r="R218" s="3" t="s">
        <v>40</v>
      </c>
      <c r="S218" s="55">
        <v>9809.2000000000007</v>
      </c>
      <c r="T218" s="55">
        <v>9809.2000000000007</v>
      </c>
      <c r="U218" s="55">
        <v>0</v>
      </c>
      <c r="V218" s="55">
        <v>0</v>
      </c>
      <c r="W218" s="3">
        <v>100</v>
      </c>
    </row>
    <row r="219" spans="1:23" x14ac:dyDescent="0.35">
      <c r="A219" s="3" t="s">
        <v>139</v>
      </c>
      <c r="B219" s="3" t="s">
        <v>558</v>
      </c>
      <c r="C219" s="3" t="s">
        <v>380</v>
      </c>
      <c r="D219" s="3" t="s">
        <v>364</v>
      </c>
      <c r="E219" s="3" t="s">
        <v>365</v>
      </c>
      <c r="F219" s="3" t="s">
        <v>189</v>
      </c>
      <c r="G219" s="3" t="s">
        <v>366</v>
      </c>
      <c r="H219" s="3" t="s">
        <v>28</v>
      </c>
      <c r="I219" s="3" t="s">
        <v>231</v>
      </c>
      <c r="J219" s="3" t="s">
        <v>232</v>
      </c>
      <c r="K219" s="3" t="s">
        <v>33</v>
      </c>
      <c r="L219" s="3" t="s">
        <v>51</v>
      </c>
      <c r="M219" s="3" t="s">
        <v>378</v>
      </c>
      <c r="N219" s="3" t="s">
        <v>549</v>
      </c>
      <c r="O219" s="3" t="s">
        <v>334</v>
      </c>
      <c r="P219" s="3" t="s">
        <v>335</v>
      </c>
      <c r="Q219" s="3" t="s">
        <v>39</v>
      </c>
      <c r="R219" s="3" t="s">
        <v>40</v>
      </c>
      <c r="S219" s="55">
        <v>446513.8</v>
      </c>
      <c r="T219" s="55">
        <v>373759.99209999997</v>
      </c>
      <c r="U219" s="55">
        <v>36956.951999999997</v>
      </c>
      <c r="V219" s="55">
        <v>72753.8079</v>
      </c>
      <c r="W219" s="3">
        <v>84</v>
      </c>
    </row>
    <row r="220" spans="1:23" x14ac:dyDescent="0.35">
      <c r="A220" s="3" t="s">
        <v>139</v>
      </c>
      <c r="B220" s="3" t="s">
        <v>558</v>
      </c>
      <c r="C220" s="3" t="s">
        <v>384</v>
      </c>
      <c r="D220" s="3" t="s">
        <v>364</v>
      </c>
      <c r="E220" s="3" t="s">
        <v>365</v>
      </c>
      <c r="F220" s="3" t="s">
        <v>189</v>
      </c>
      <c r="G220" s="3" t="s">
        <v>366</v>
      </c>
      <c r="H220" s="3" t="s">
        <v>28</v>
      </c>
      <c r="I220" s="3" t="s">
        <v>231</v>
      </c>
      <c r="J220" s="3" t="s">
        <v>232</v>
      </c>
      <c r="K220" s="3" t="s">
        <v>33</v>
      </c>
      <c r="L220" s="3" t="s">
        <v>51</v>
      </c>
      <c r="M220" s="3" t="s">
        <v>382</v>
      </c>
      <c r="N220" s="3" t="s">
        <v>383</v>
      </c>
      <c r="O220" s="3" t="s">
        <v>334</v>
      </c>
      <c r="P220" s="3" t="s">
        <v>335</v>
      </c>
      <c r="Q220" s="3" t="s">
        <v>39</v>
      </c>
      <c r="R220" s="3" t="s">
        <v>40</v>
      </c>
      <c r="S220" s="55">
        <v>51058.7</v>
      </c>
      <c r="T220" s="55">
        <v>42108.114099999999</v>
      </c>
      <c r="U220" s="55">
        <v>4068.3038999999999</v>
      </c>
      <c r="V220" s="55">
        <v>8950.5859</v>
      </c>
      <c r="W220" s="3">
        <v>82</v>
      </c>
    </row>
    <row r="221" spans="1:23" x14ac:dyDescent="0.35">
      <c r="A221" s="3" t="s">
        <v>139</v>
      </c>
      <c r="B221" s="3" t="s">
        <v>558</v>
      </c>
      <c r="C221" s="3" t="s">
        <v>391</v>
      </c>
      <c r="D221" s="3" t="s">
        <v>392</v>
      </c>
      <c r="E221" s="3" t="s">
        <v>365</v>
      </c>
      <c r="F221" s="3" t="s">
        <v>28</v>
      </c>
      <c r="G221" s="3" t="s">
        <v>393</v>
      </c>
      <c r="H221" s="3" t="s">
        <v>28</v>
      </c>
      <c r="I221" s="3" t="s">
        <v>231</v>
      </c>
      <c r="J221" s="3" t="s">
        <v>232</v>
      </c>
      <c r="K221" s="3" t="s">
        <v>33</v>
      </c>
      <c r="L221" s="3" t="s">
        <v>51</v>
      </c>
      <c r="M221" s="3" t="s">
        <v>394</v>
      </c>
      <c r="N221" s="3" t="s">
        <v>395</v>
      </c>
      <c r="O221" s="3" t="s">
        <v>197</v>
      </c>
      <c r="P221" s="3" t="s">
        <v>198</v>
      </c>
      <c r="Q221" s="3" t="s">
        <v>39</v>
      </c>
      <c r="R221" s="3" t="s">
        <v>40</v>
      </c>
      <c r="S221" s="55">
        <v>48948.800000000003</v>
      </c>
      <c r="T221" s="55">
        <v>44550.012000000002</v>
      </c>
      <c r="U221" s="55">
        <v>1183.4804999999999</v>
      </c>
      <c r="V221" s="55">
        <v>4398.7879999999996</v>
      </c>
      <c r="W221" s="3">
        <v>91</v>
      </c>
    </row>
    <row r="222" spans="1:23" x14ac:dyDescent="0.35">
      <c r="A222" s="3" t="s">
        <v>139</v>
      </c>
      <c r="B222" s="3" t="s">
        <v>558</v>
      </c>
      <c r="C222" s="3" t="s">
        <v>550</v>
      </c>
      <c r="D222" s="3" t="s">
        <v>397</v>
      </c>
      <c r="E222" s="3" t="s">
        <v>365</v>
      </c>
      <c r="F222" s="3" t="s">
        <v>318</v>
      </c>
      <c r="G222" s="3" t="s">
        <v>398</v>
      </c>
      <c r="H222" s="3" t="s">
        <v>28</v>
      </c>
      <c r="I222" s="3" t="s">
        <v>231</v>
      </c>
      <c r="J222" s="3" t="s">
        <v>232</v>
      </c>
      <c r="K222" s="3" t="s">
        <v>33</v>
      </c>
      <c r="L222" s="3" t="s">
        <v>51</v>
      </c>
      <c r="M222" s="3" t="s">
        <v>551</v>
      </c>
      <c r="N222" s="3" t="s">
        <v>552</v>
      </c>
      <c r="O222" s="3" t="s">
        <v>108</v>
      </c>
      <c r="P222" s="3" t="s">
        <v>109</v>
      </c>
      <c r="Q222" s="3" t="s">
        <v>39</v>
      </c>
      <c r="R222" s="3" t="s">
        <v>40</v>
      </c>
      <c r="S222" s="55">
        <v>32359.3</v>
      </c>
      <c r="T222" s="55">
        <v>17258.947499999998</v>
      </c>
      <c r="U222" s="55">
        <v>892.39970000000005</v>
      </c>
      <c r="V222" s="55">
        <v>15100.352500000001</v>
      </c>
      <c r="W222" s="3">
        <v>53</v>
      </c>
    </row>
    <row r="223" spans="1:23" x14ac:dyDescent="0.35">
      <c r="A223" s="3" t="s">
        <v>139</v>
      </c>
      <c r="B223" s="3" t="s">
        <v>558</v>
      </c>
      <c r="C223" s="3" t="s">
        <v>396</v>
      </c>
      <c r="D223" s="3" t="s">
        <v>397</v>
      </c>
      <c r="E223" s="3" t="s">
        <v>365</v>
      </c>
      <c r="F223" s="3" t="s">
        <v>318</v>
      </c>
      <c r="G223" s="3" t="s">
        <v>398</v>
      </c>
      <c r="H223" s="3" t="s">
        <v>116</v>
      </c>
      <c r="I223" s="3" t="s">
        <v>148</v>
      </c>
      <c r="J223" s="3" t="s">
        <v>149</v>
      </c>
      <c r="K223" s="3" t="s">
        <v>33</v>
      </c>
      <c r="L223" s="3" t="s">
        <v>51</v>
      </c>
      <c r="M223" s="3" t="s">
        <v>399</v>
      </c>
      <c r="N223" s="3" t="s">
        <v>573</v>
      </c>
      <c r="O223" s="3" t="s">
        <v>401</v>
      </c>
      <c r="P223" s="3" t="s">
        <v>402</v>
      </c>
      <c r="Q223" s="3" t="s">
        <v>39</v>
      </c>
      <c r="R223" s="3" t="s">
        <v>40</v>
      </c>
      <c r="S223" s="55">
        <v>1552.3</v>
      </c>
      <c r="T223" s="55">
        <v>0</v>
      </c>
      <c r="U223" s="55">
        <v>0</v>
      </c>
      <c r="V223" s="55">
        <v>1552.3</v>
      </c>
      <c r="W223" s="3">
        <v>0</v>
      </c>
    </row>
    <row r="224" spans="1:23" x14ac:dyDescent="0.35">
      <c r="A224" s="3" t="s">
        <v>139</v>
      </c>
      <c r="B224" s="3" t="s">
        <v>558</v>
      </c>
      <c r="C224" s="3" t="s">
        <v>553</v>
      </c>
      <c r="D224" s="3" t="s">
        <v>404</v>
      </c>
      <c r="E224" s="3" t="s">
        <v>405</v>
      </c>
      <c r="F224" s="3" t="s">
        <v>146</v>
      </c>
      <c r="G224" s="3" t="s">
        <v>406</v>
      </c>
      <c r="H224" s="3" t="s">
        <v>318</v>
      </c>
      <c r="I224" s="3" t="s">
        <v>407</v>
      </c>
      <c r="J224" s="3" t="s">
        <v>554</v>
      </c>
      <c r="K224" s="3" t="s">
        <v>23</v>
      </c>
      <c r="L224" s="3" t="s">
        <v>203</v>
      </c>
      <c r="M224" s="3" t="s">
        <v>555</v>
      </c>
      <c r="N224" s="3" t="s">
        <v>442</v>
      </c>
      <c r="O224" s="3" t="s">
        <v>197</v>
      </c>
      <c r="P224" s="3" t="s">
        <v>198</v>
      </c>
      <c r="Q224" s="3" t="s">
        <v>39</v>
      </c>
      <c r="R224" s="3" t="s">
        <v>40</v>
      </c>
      <c r="S224" s="55">
        <v>9879.5</v>
      </c>
      <c r="T224" s="55">
        <v>9208.0640999999996</v>
      </c>
      <c r="U224" s="55">
        <v>0</v>
      </c>
      <c r="V224" s="55">
        <v>671.43589999999995</v>
      </c>
      <c r="W224" s="3">
        <v>93</v>
      </c>
    </row>
    <row r="225" spans="1:23" x14ac:dyDescent="0.35">
      <c r="A225" s="3" t="s">
        <v>139</v>
      </c>
      <c r="B225" s="3" t="s">
        <v>558</v>
      </c>
      <c r="C225" s="3" t="s">
        <v>403</v>
      </c>
      <c r="D225" s="3" t="s">
        <v>404</v>
      </c>
      <c r="E225" s="3" t="s">
        <v>405</v>
      </c>
      <c r="F225" s="3" t="s">
        <v>146</v>
      </c>
      <c r="G225" s="3" t="s">
        <v>406</v>
      </c>
      <c r="H225" s="3" t="s">
        <v>318</v>
      </c>
      <c r="I225" s="3" t="s">
        <v>407</v>
      </c>
      <c r="J225" s="3" t="s">
        <v>408</v>
      </c>
      <c r="K225" s="3" t="s">
        <v>33</v>
      </c>
      <c r="L225" s="3" t="s">
        <v>51</v>
      </c>
      <c r="M225" s="3" t="s">
        <v>409</v>
      </c>
      <c r="N225" s="3" t="s">
        <v>410</v>
      </c>
      <c r="O225" s="3" t="s">
        <v>108</v>
      </c>
      <c r="P225" s="3" t="s">
        <v>109</v>
      </c>
      <c r="Q225" s="3" t="s">
        <v>39</v>
      </c>
      <c r="R225" s="3" t="s">
        <v>40</v>
      </c>
      <c r="S225" s="55">
        <v>183125.7</v>
      </c>
      <c r="T225" s="55">
        <v>140473.7439</v>
      </c>
      <c r="U225" s="55">
        <v>13425.3223</v>
      </c>
      <c r="V225" s="55">
        <v>42651.956100000003</v>
      </c>
      <c r="W225" s="3">
        <v>77</v>
      </c>
    </row>
    <row r="226" spans="1:23" x14ac:dyDescent="0.35">
      <c r="A226" s="3" t="s">
        <v>139</v>
      </c>
      <c r="B226" s="3" t="s">
        <v>558</v>
      </c>
      <c r="C226" s="3" t="s">
        <v>556</v>
      </c>
      <c r="D226" s="3" t="s">
        <v>412</v>
      </c>
      <c r="E226" s="3" t="s">
        <v>405</v>
      </c>
      <c r="F226" s="3" t="s">
        <v>189</v>
      </c>
      <c r="G226" s="3" t="s">
        <v>413</v>
      </c>
      <c r="H226" s="3" t="s">
        <v>318</v>
      </c>
      <c r="I226" s="3" t="s">
        <v>407</v>
      </c>
      <c r="J226" s="3" t="s">
        <v>554</v>
      </c>
      <c r="K226" s="3" t="s">
        <v>23</v>
      </c>
      <c r="L226" s="3" t="s">
        <v>203</v>
      </c>
      <c r="M226" s="3" t="s">
        <v>557</v>
      </c>
      <c r="N226" s="3" t="s">
        <v>415</v>
      </c>
      <c r="O226" s="3" t="s">
        <v>197</v>
      </c>
      <c r="P226" s="3" t="s">
        <v>198</v>
      </c>
      <c r="Q226" s="3" t="s">
        <v>39</v>
      </c>
      <c r="R226" s="3" t="s">
        <v>40</v>
      </c>
      <c r="S226" s="55">
        <v>3545.6</v>
      </c>
      <c r="T226" s="55">
        <v>2598.5048999999999</v>
      </c>
      <c r="U226" s="55">
        <v>686.31389999999999</v>
      </c>
      <c r="V226" s="55">
        <v>947.0951</v>
      </c>
      <c r="W226" s="3">
        <v>73</v>
      </c>
    </row>
    <row r="227" spans="1:23" x14ac:dyDescent="0.35">
      <c r="A227" s="3" t="s">
        <v>139</v>
      </c>
      <c r="B227" s="3" t="s">
        <v>558</v>
      </c>
      <c r="C227" s="3" t="s">
        <v>416</v>
      </c>
      <c r="D227" s="3" t="s">
        <v>417</v>
      </c>
      <c r="E227" s="3" t="s">
        <v>405</v>
      </c>
      <c r="F227" s="3" t="s">
        <v>28</v>
      </c>
      <c r="G227" s="3" t="s">
        <v>418</v>
      </c>
      <c r="H227" s="3" t="s">
        <v>318</v>
      </c>
      <c r="I227" s="3" t="s">
        <v>407</v>
      </c>
      <c r="J227" s="3" t="s">
        <v>408</v>
      </c>
      <c r="K227" s="3" t="s">
        <v>33</v>
      </c>
      <c r="L227" s="3" t="s">
        <v>51</v>
      </c>
      <c r="M227" s="3" t="s">
        <v>419</v>
      </c>
      <c r="N227" s="3" t="s">
        <v>420</v>
      </c>
      <c r="O227" s="3" t="s">
        <v>108</v>
      </c>
      <c r="P227" s="3" t="s">
        <v>109</v>
      </c>
      <c r="Q227" s="3" t="s">
        <v>39</v>
      </c>
      <c r="R227" s="3" t="s">
        <v>40</v>
      </c>
      <c r="S227" s="55">
        <v>324843.3</v>
      </c>
      <c r="T227" s="55">
        <v>273338.96120000002</v>
      </c>
      <c r="U227" s="55">
        <v>18134.809300000001</v>
      </c>
      <c r="V227" s="55">
        <v>51504.338799999998</v>
      </c>
      <c r="W227" s="3">
        <v>84</v>
      </c>
    </row>
    <row r="228" spans="1:23" x14ac:dyDescent="0.35">
      <c r="A228" s="3" t="s">
        <v>574</v>
      </c>
      <c r="B228" s="3" t="s">
        <v>575</v>
      </c>
      <c r="C228" s="3" t="s">
        <v>25</v>
      </c>
      <c r="D228" s="3" t="s">
        <v>26</v>
      </c>
      <c r="E228" s="3" t="s">
        <v>27</v>
      </c>
      <c r="F228" s="3" t="s">
        <v>28</v>
      </c>
      <c r="G228" s="3" t="s">
        <v>29</v>
      </c>
      <c r="H228" s="3" t="s">
        <v>30</v>
      </c>
      <c r="I228" s="3" t="s">
        <v>31</v>
      </c>
      <c r="J228" s="3" t="s">
        <v>32</v>
      </c>
      <c r="K228" s="3" t="s">
        <v>33</v>
      </c>
      <c r="L228" s="3" t="s">
        <v>51</v>
      </c>
      <c r="M228" s="3" t="s">
        <v>35</v>
      </c>
      <c r="N228" s="3" t="s">
        <v>36</v>
      </c>
      <c r="O228" s="3" t="s">
        <v>37</v>
      </c>
      <c r="P228" s="3" t="s">
        <v>38</v>
      </c>
      <c r="Q228" s="3" t="s">
        <v>39</v>
      </c>
      <c r="R228" s="3" t="s">
        <v>40</v>
      </c>
      <c r="S228" s="55">
        <v>310.89999999999998</v>
      </c>
      <c r="T228" s="55">
        <v>73.981300000000005</v>
      </c>
      <c r="U228" s="55">
        <v>15.8505</v>
      </c>
      <c r="V228" s="55">
        <v>236.9187</v>
      </c>
      <c r="W228" s="3">
        <v>24</v>
      </c>
    </row>
    <row r="229" spans="1:23" x14ac:dyDescent="0.35">
      <c r="A229" s="3" t="s">
        <v>574</v>
      </c>
      <c r="B229" s="3" t="s">
        <v>575</v>
      </c>
      <c r="C229" s="3" t="s">
        <v>41</v>
      </c>
      <c r="D229" s="3" t="s">
        <v>26</v>
      </c>
      <c r="E229" s="3" t="s">
        <v>27</v>
      </c>
      <c r="F229" s="3" t="s">
        <v>28</v>
      </c>
      <c r="G229" s="3" t="s">
        <v>29</v>
      </c>
      <c r="H229" s="3" t="s">
        <v>30</v>
      </c>
      <c r="I229" s="3" t="s">
        <v>31</v>
      </c>
      <c r="J229" s="3" t="s">
        <v>32</v>
      </c>
      <c r="K229" s="3" t="s">
        <v>33</v>
      </c>
      <c r="L229" s="3" t="s">
        <v>51</v>
      </c>
      <c r="M229" s="3" t="s">
        <v>35</v>
      </c>
      <c r="N229" s="3" t="s">
        <v>36</v>
      </c>
      <c r="O229" s="3" t="s">
        <v>42</v>
      </c>
      <c r="P229" s="3" t="s">
        <v>43</v>
      </c>
      <c r="Q229" s="3" t="s">
        <v>39</v>
      </c>
      <c r="R229" s="3" t="s">
        <v>40</v>
      </c>
      <c r="S229" s="55">
        <v>8.3000000000000007</v>
      </c>
      <c r="T229" s="55">
        <v>1.7666999999999999</v>
      </c>
      <c r="U229" s="55">
        <v>0.84399999999999997</v>
      </c>
      <c r="V229" s="55">
        <v>6.5332999999999997</v>
      </c>
      <c r="W229" s="3">
        <v>21</v>
      </c>
    </row>
    <row r="230" spans="1:23" x14ac:dyDescent="0.35">
      <c r="A230" s="3" t="s">
        <v>574</v>
      </c>
      <c r="B230" s="3" t="s">
        <v>575</v>
      </c>
      <c r="C230" s="3" t="s">
        <v>44</v>
      </c>
      <c r="D230" s="3" t="s">
        <v>45</v>
      </c>
      <c r="E230" s="3" t="s">
        <v>27</v>
      </c>
      <c r="F230" s="3" t="s">
        <v>46</v>
      </c>
      <c r="G230" s="3" t="s">
        <v>47</v>
      </c>
      <c r="H230" s="3" t="s">
        <v>48</v>
      </c>
      <c r="I230" s="3" t="s">
        <v>49</v>
      </c>
      <c r="J230" s="3" t="s">
        <v>50</v>
      </c>
      <c r="K230" s="3" t="s">
        <v>33</v>
      </c>
      <c r="L230" s="3" t="s">
        <v>51</v>
      </c>
      <c r="M230" s="3" t="s">
        <v>52</v>
      </c>
      <c r="N230" s="3" t="s">
        <v>53</v>
      </c>
      <c r="O230" s="3" t="s">
        <v>54</v>
      </c>
      <c r="P230" s="3" t="s">
        <v>55</v>
      </c>
      <c r="Q230" s="3" t="s">
        <v>39</v>
      </c>
      <c r="R230" s="3" t="s">
        <v>40</v>
      </c>
      <c r="S230" s="55">
        <v>64.400000000000006</v>
      </c>
      <c r="T230" s="55">
        <v>0</v>
      </c>
      <c r="U230" s="55">
        <v>0</v>
      </c>
      <c r="V230" s="55">
        <v>64.400000000000006</v>
      </c>
      <c r="W230" s="3">
        <v>0</v>
      </c>
    </row>
    <row r="231" spans="1:23" x14ac:dyDescent="0.35">
      <c r="A231" s="3" t="s">
        <v>574</v>
      </c>
      <c r="B231" s="3" t="s">
        <v>575</v>
      </c>
      <c r="C231" s="3" t="s">
        <v>59</v>
      </c>
      <c r="D231" s="3" t="s">
        <v>45</v>
      </c>
      <c r="E231" s="3" t="s">
        <v>27</v>
      </c>
      <c r="F231" s="3" t="s">
        <v>46</v>
      </c>
      <c r="G231" s="3" t="s">
        <v>47</v>
      </c>
      <c r="H231" s="3" t="s">
        <v>60</v>
      </c>
      <c r="I231" s="3" t="s">
        <v>61</v>
      </c>
      <c r="J231" s="3" t="s">
        <v>62</v>
      </c>
      <c r="K231" s="3" t="s">
        <v>33</v>
      </c>
      <c r="L231" s="3" t="s">
        <v>51</v>
      </c>
      <c r="M231" s="3" t="s">
        <v>63</v>
      </c>
      <c r="N231" s="3" t="s">
        <v>64</v>
      </c>
      <c r="O231" s="3" t="s">
        <v>37</v>
      </c>
      <c r="P231" s="3" t="s">
        <v>38</v>
      </c>
      <c r="Q231" s="3" t="s">
        <v>39</v>
      </c>
      <c r="R231" s="3" t="s">
        <v>40</v>
      </c>
      <c r="S231" s="55">
        <v>208.2</v>
      </c>
      <c r="T231" s="55">
        <v>121.99</v>
      </c>
      <c r="U231" s="55">
        <v>26.8</v>
      </c>
      <c r="V231" s="55">
        <v>86.21</v>
      </c>
      <c r="W231" s="3">
        <v>59</v>
      </c>
    </row>
    <row r="232" spans="1:23" x14ac:dyDescent="0.35">
      <c r="A232" s="3" t="s">
        <v>574</v>
      </c>
      <c r="B232" s="3" t="s">
        <v>575</v>
      </c>
      <c r="C232" s="3" t="s">
        <v>65</v>
      </c>
      <c r="D232" s="3" t="s">
        <v>45</v>
      </c>
      <c r="E232" s="3" t="s">
        <v>27</v>
      </c>
      <c r="F232" s="3" t="s">
        <v>46</v>
      </c>
      <c r="G232" s="3" t="s">
        <v>47</v>
      </c>
      <c r="H232" s="3" t="s">
        <v>66</v>
      </c>
      <c r="I232" s="3" t="s">
        <v>67</v>
      </c>
      <c r="J232" s="3" t="s">
        <v>68</v>
      </c>
      <c r="K232" s="3" t="s">
        <v>33</v>
      </c>
      <c r="L232" s="3" t="s">
        <v>51</v>
      </c>
      <c r="M232" s="3" t="s">
        <v>69</v>
      </c>
      <c r="N232" s="3" t="s">
        <v>70</v>
      </c>
      <c r="O232" s="3" t="s">
        <v>37</v>
      </c>
      <c r="P232" s="3" t="s">
        <v>38</v>
      </c>
      <c r="Q232" s="3" t="s">
        <v>39</v>
      </c>
      <c r="R232" s="3" t="s">
        <v>40</v>
      </c>
      <c r="S232" s="55">
        <v>567.9</v>
      </c>
      <c r="T232" s="55">
        <v>267.5752</v>
      </c>
      <c r="U232" s="55">
        <v>0</v>
      </c>
      <c r="V232" s="55">
        <v>300.32479999999998</v>
      </c>
      <c r="W232" s="3">
        <v>47</v>
      </c>
    </row>
    <row r="233" spans="1:23" x14ac:dyDescent="0.35">
      <c r="A233" s="3" t="s">
        <v>574</v>
      </c>
      <c r="B233" s="3" t="s">
        <v>575</v>
      </c>
      <c r="C233" s="3" t="s">
        <v>71</v>
      </c>
      <c r="D233" s="3" t="s">
        <v>45</v>
      </c>
      <c r="E233" s="3" t="s">
        <v>27</v>
      </c>
      <c r="F233" s="3" t="s">
        <v>46</v>
      </c>
      <c r="G233" s="3" t="s">
        <v>47</v>
      </c>
      <c r="H233" s="3" t="s">
        <v>30</v>
      </c>
      <c r="I233" s="3" t="s">
        <v>31</v>
      </c>
      <c r="J233" s="3" t="s">
        <v>32</v>
      </c>
      <c r="K233" s="3" t="s">
        <v>33</v>
      </c>
      <c r="L233" s="3" t="s">
        <v>51</v>
      </c>
      <c r="M233" s="3" t="s">
        <v>72</v>
      </c>
      <c r="N233" s="3" t="s">
        <v>73</v>
      </c>
      <c r="O233" s="3" t="s">
        <v>74</v>
      </c>
      <c r="P233" s="3" t="s">
        <v>75</v>
      </c>
      <c r="Q233" s="3" t="s">
        <v>39</v>
      </c>
      <c r="R233" s="3" t="s">
        <v>40</v>
      </c>
      <c r="S233" s="55">
        <v>246128.1</v>
      </c>
      <c r="T233" s="55">
        <v>216607.9909</v>
      </c>
      <c r="U233" s="55">
        <v>14958.4717</v>
      </c>
      <c r="V233" s="55">
        <v>29520.109100000001</v>
      </c>
      <c r="W233" s="3">
        <v>88</v>
      </c>
    </row>
    <row r="234" spans="1:23" x14ac:dyDescent="0.35">
      <c r="A234" s="3" t="s">
        <v>574</v>
      </c>
      <c r="B234" s="3" t="s">
        <v>575</v>
      </c>
      <c r="C234" s="3" t="s">
        <v>76</v>
      </c>
      <c r="D234" s="3" t="s">
        <v>45</v>
      </c>
      <c r="E234" s="3" t="s">
        <v>27</v>
      </c>
      <c r="F234" s="3" t="s">
        <v>46</v>
      </c>
      <c r="G234" s="3" t="s">
        <v>47</v>
      </c>
      <c r="H234" s="3" t="s">
        <v>30</v>
      </c>
      <c r="I234" s="3" t="s">
        <v>31</v>
      </c>
      <c r="J234" s="3" t="s">
        <v>32</v>
      </c>
      <c r="K234" s="3" t="s">
        <v>33</v>
      </c>
      <c r="L234" s="3" t="s">
        <v>51</v>
      </c>
      <c r="M234" s="3" t="s">
        <v>72</v>
      </c>
      <c r="N234" s="3" t="s">
        <v>73</v>
      </c>
      <c r="O234" s="3" t="s">
        <v>77</v>
      </c>
      <c r="P234" s="3" t="s">
        <v>78</v>
      </c>
      <c r="Q234" s="3" t="s">
        <v>39</v>
      </c>
      <c r="R234" s="3" t="s">
        <v>40</v>
      </c>
      <c r="S234" s="55">
        <v>160.9</v>
      </c>
      <c r="T234" s="55">
        <v>85.626000000000005</v>
      </c>
      <c r="U234" s="55">
        <v>2</v>
      </c>
      <c r="V234" s="55">
        <v>75.274000000000001</v>
      </c>
      <c r="W234" s="3">
        <v>53</v>
      </c>
    </row>
    <row r="235" spans="1:23" x14ac:dyDescent="0.35">
      <c r="A235" s="3" t="s">
        <v>574</v>
      </c>
      <c r="B235" s="3" t="s">
        <v>575</v>
      </c>
      <c r="C235" s="3" t="s">
        <v>79</v>
      </c>
      <c r="D235" s="3" t="s">
        <v>45</v>
      </c>
      <c r="E235" s="3" t="s">
        <v>27</v>
      </c>
      <c r="F235" s="3" t="s">
        <v>46</v>
      </c>
      <c r="G235" s="3" t="s">
        <v>47</v>
      </c>
      <c r="H235" s="3" t="s">
        <v>30</v>
      </c>
      <c r="I235" s="3" t="s">
        <v>31</v>
      </c>
      <c r="J235" s="3" t="s">
        <v>32</v>
      </c>
      <c r="K235" s="3" t="s">
        <v>33</v>
      </c>
      <c r="L235" s="3" t="s">
        <v>51</v>
      </c>
      <c r="M235" s="3" t="s">
        <v>72</v>
      </c>
      <c r="N235" s="3" t="s">
        <v>73</v>
      </c>
      <c r="O235" s="3" t="s">
        <v>80</v>
      </c>
      <c r="P235" s="3" t="s">
        <v>81</v>
      </c>
      <c r="Q235" s="3" t="s">
        <v>39</v>
      </c>
      <c r="R235" s="3" t="s">
        <v>40</v>
      </c>
      <c r="S235" s="55">
        <v>73726.399999999994</v>
      </c>
      <c r="T235" s="55">
        <v>66802.28</v>
      </c>
      <c r="U235" s="55">
        <v>5024.8725000000004</v>
      </c>
      <c r="V235" s="55">
        <v>6924.12</v>
      </c>
      <c r="W235" s="3">
        <v>91</v>
      </c>
    </row>
    <row r="236" spans="1:23" x14ac:dyDescent="0.35">
      <c r="A236" s="3" t="s">
        <v>574</v>
      </c>
      <c r="B236" s="3" t="s">
        <v>575</v>
      </c>
      <c r="C236" s="3" t="s">
        <v>82</v>
      </c>
      <c r="D236" s="3" t="s">
        <v>45</v>
      </c>
      <c r="E236" s="3" t="s">
        <v>27</v>
      </c>
      <c r="F236" s="3" t="s">
        <v>46</v>
      </c>
      <c r="G236" s="3" t="s">
        <v>47</v>
      </c>
      <c r="H236" s="3" t="s">
        <v>30</v>
      </c>
      <c r="I236" s="3" t="s">
        <v>31</v>
      </c>
      <c r="J236" s="3" t="s">
        <v>32</v>
      </c>
      <c r="K236" s="3" t="s">
        <v>33</v>
      </c>
      <c r="L236" s="3" t="s">
        <v>51</v>
      </c>
      <c r="M236" s="3" t="s">
        <v>72</v>
      </c>
      <c r="N236" s="3" t="s">
        <v>73</v>
      </c>
      <c r="O236" s="3" t="s">
        <v>83</v>
      </c>
      <c r="P236" s="3" t="s">
        <v>84</v>
      </c>
      <c r="Q236" s="3" t="s">
        <v>39</v>
      </c>
      <c r="R236" s="3" t="s">
        <v>40</v>
      </c>
      <c r="S236" s="55">
        <v>300</v>
      </c>
      <c r="T236" s="55">
        <v>162.96850000000001</v>
      </c>
      <c r="U236" s="55">
        <v>10.9398</v>
      </c>
      <c r="V236" s="55">
        <v>137.03149999999999</v>
      </c>
      <c r="W236" s="3">
        <v>54</v>
      </c>
    </row>
    <row r="237" spans="1:23" x14ac:dyDescent="0.35">
      <c r="A237" s="3" t="s">
        <v>574</v>
      </c>
      <c r="B237" s="3" t="s">
        <v>575</v>
      </c>
      <c r="C237" s="3" t="s">
        <v>88</v>
      </c>
      <c r="D237" s="3" t="s">
        <v>45</v>
      </c>
      <c r="E237" s="3" t="s">
        <v>27</v>
      </c>
      <c r="F237" s="3" t="s">
        <v>46</v>
      </c>
      <c r="G237" s="3" t="s">
        <v>47</v>
      </c>
      <c r="H237" s="3" t="s">
        <v>30</v>
      </c>
      <c r="I237" s="3" t="s">
        <v>31</v>
      </c>
      <c r="J237" s="3" t="s">
        <v>32</v>
      </c>
      <c r="K237" s="3" t="s">
        <v>33</v>
      </c>
      <c r="L237" s="3" t="s">
        <v>51</v>
      </c>
      <c r="M237" s="3" t="s">
        <v>72</v>
      </c>
      <c r="N237" s="3" t="s">
        <v>73</v>
      </c>
      <c r="O237" s="3" t="s">
        <v>37</v>
      </c>
      <c r="P237" s="3" t="s">
        <v>38</v>
      </c>
      <c r="Q237" s="3" t="s">
        <v>39</v>
      </c>
      <c r="R237" s="3" t="s">
        <v>40</v>
      </c>
      <c r="S237" s="55">
        <v>97780.2</v>
      </c>
      <c r="T237" s="55">
        <v>68152.184800000003</v>
      </c>
      <c r="U237" s="55">
        <v>20245.214599999999</v>
      </c>
      <c r="V237" s="55">
        <v>29628.015200000002</v>
      </c>
      <c r="W237" s="3">
        <v>70</v>
      </c>
    </row>
    <row r="238" spans="1:23" x14ac:dyDescent="0.35">
      <c r="A238" s="3" t="s">
        <v>574</v>
      </c>
      <c r="B238" s="3" t="s">
        <v>575</v>
      </c>
      <c r="C238" s="3" t="s">
        <v>89</v>
      </c>
      <c r="D238" s="3" t="s">
        <v>45</v>
      </c>
      <c r="E238" s="3" t="s">
        <v>27</v>
      </c>
      <c r="F238" s="3" t="s">
        <v>46</v>
      </c>
      <c r="G238" s="3" t="s">
        <v>47</v>
      </c>
      <c r="H238" s="3" t="s">
        <v>30</v>
      </c>
      <c r="I238" s="3" t="s">
        <v>31</v>
      </c>
      <c r="J238" s="3" t="s">
        <v>32</v>
      </c>
      <c r="K238" s="3" t="s">
        <v>33</v>
      </c>
      <c r="L238" s="3" t="s">
        <v>51</v>
      </c>
      <c r="M238" s="3" t="s">
        <v>72</v>
      </c>
      <c r="N238" s="3" t="s">
        <v>73</v>
      </c>
      <c r="O238" s="3" t="s">
        <v>42</v>
      </c>
      <c r="P238" s="3" t="s">
        <v>43</v>
      </c>
      <c r="Q238" s="3" t="s">
        <v>39</v>
      </c>
      <c r="R238" s="3" t="s">
        <v>40</v>
      </c>
      <c r="S238" s="55">
        <v>16160.9</v>
      </c>
      <c r="T238" s="55">
        <v>13078.345600000001</v>
      </c>
      <c r="U238" s="55">
        <v>1414.7163</v>
      </c>
      <c r="V238" s="55">
        <v>3082.5544</v>
      </c>
      <c r="W238" s="3">
        <v>81</v>
      </c>
    </row>
    <row r="239" spans="1:23" x14ac:dyDescent="0.35">
      <c r="A239" s="3" t="s">
        <v>574</v>
      </c>
      <c r="B239" s="3" t="s">
        <v>575</v>
      </c>
      <c r="C239" s="3" t="s">
        <v>90</v>
      </c>
      <c r="D239" s="3" t="s">
        <v>45</v>
      </c>
      <c r="E239" s="3" t="s">
        <v>27</v>
      </c>
      <c r="F239" s="3" t="s">
        <v>46</v>
      </c>
      <c r="G239" s="3" t="s">
        <v>47</v>
      </c>
      <c r="H239" s="3" t="s">
        <v>30</v>
      </c>
      <c r="I239" s="3" t="s">
        <v>31</v>
      </c>
      <c r="J239" s="3" t="s">
        <v>32</v>
      </c>
      <c r="K239" s="3" t="s">
        <v>33</v>
      </c>
      <c r="L239" s="3" t="s">
        <v>51</v>
      </c>
      <c r="M239" s="3" t="s">
        <v>72</v>
      </c>
      <c r="N239" s="3" t="s">
        <v>73</v>
      </c>
      <c r="O239" s="3" t="s">
        <v>91</v>
      </c>
      <c r="P239" s="3" t="s">
        <v>92</v>
      </c>
      <c r="Q239" s="3" t="s">
        <v>39</v>
      </c>
      <c r="R239" s="3" t="s">
        <v>40</v>
      </c>
      <c r="S239" s="55">
        <v>503.1</v>
      </c>
      <c r="T239" s="55">
        <v>502.91250000000002</v>
      </c>
      <c r="U239" s="55">
        <v>0</v>
      </c>
      <c r="V239" s="55">
        <v>0.1875</v>
      </c>
      <c r="W239" s="3">
        <v>100</v>
      </c>
    </row>
    <row r="240" spans="1:23" x14ac:dyDescent="0.35">
      <c r="A240" s="3" t="s">
        <v>574</v>
      </c>
      <c r="B240" s="3" t="s">
        <v>575</v>
      </c>
      <c r="C240" s="3" t="s">
        <v>559</v>
      </c>
      <c r="D240" s="3" t="s">
        <v>45</v>
      </c>
      <c r="E240" s="3" t="s">
        <v>27</v>
      </c>
      <c r="F240" s="3" t="s">
        <v>46</v>
      </c>
      <c r="G240" s="3" t="s">
        <v>47</v>
      </c>
      <c r="H240" s="3" t="s">
        <v>30</v>
      </c>
      <c r="I240" s="3" t="s">
        <v>31</v>
      </c>
      <c r="J240" s="3" t="s">
        <v>32</v>
      </c>
      <c r="K240" s="3" t="s">
        <v>33</v>
      </c>
      <c r="L240" s="3" t="s">
        <v>51</v>
      </c>
      <c r="M240" s="3" t="s">
        <v>72</v>
      </c>
      <c r="N240" s="3" t="s">
        <v>73</v>
      </c>
      <c r="O240" s="3" t="s">
        <v>125</v>
      </c>
      <c r="P240" s="3" t="s">
        <v>126</v>
      </c>
      <c r="Q240" s="3" t="s">
        <v>39</v>
      </c>
      <c r="R240" s="3" t="s">
        <v>40</v>
      </c>
      <c r="S240" s="55">
        <v>179.8</v>
      </c>
      <c r="T240" s="55">
        <v>179.71199999999999</v>
      </c>
      <c r="U240" s="55">
        <v>0</v>
      </c>
      <c r="V240" s="55">
        <v>8.7999999999999995E-2</v>
      </c>
      <c r="W240" s="3">
        <v>100</v>
      </c>
    </row>
    <row r="241" spans="1:23" x14ac:dyDescent="0.35">
      <c r="A241" s="3" t="s">
        <v>574</v>
      </c>
      <c r="B241" s="3" t="s">
        <v>575</v>
      </c>
      <c r="C241" s="3" t="s">
        <v>93</v>
      </c>
      <c r="D241" s="3" t="s">
        <v>45</v>
      </c>
      <c r="E241" s="3" t="s">
        <v>27</v>
      </c>
      <c r="F241" s="3" t="s">
        <v>46</v>
      </c>
      <c r="G241" s="3" t="s">
        <v>47</v>
      </c>
      <c r="H241" s="3" t="s">
        <v>30</v>
      </c>
      <c r="I241" s="3" t="s">
        <v>31</v>
      </c>
      <c r="J241" s="3" t="s">
        <v>32</v>
      </c>
      <c r="K241" s="3" t="s">
        <v>33</v>
      </c>
      <c r="L241" s="3" t="s">
        <v>51</v>
      </c>
      <c r="M241" s="3" t="s">
        <v>94</v>
      </c>
      <c r="N241" s="3" t="s">
        <v>95</v>
      </c>
      <c r="O241" s="3" t="s">
        <v>96</v>
      </c>
      <c r="P241" s="3" t="s">
        <v>97</v>
      </c>
      <c r="Q241" s="3" t="s">
        <v>39</v>
      </c>
      <c r="R241" s="3" t="s">
        <v>40</v>
      </c>
      <c r="S241" s="55">
        <v>181743.4</v>
      </c>
      <c r="T241" s="55">
        <v>163575.34909999999</v>
      </c>
      <c r="U241" s="55">
        <v>14828.4606</v>
      </c>
      <c r="V241" s="55">
        <v>18168.050899999998</v>
      </c>
      <c r="W241" s="3">
        <v>90</v>
      </c>
    </row>
    <row r="242" spans="1:23" x14ac:dyDescent="0.35">
      <c r="A242" s="3" t="s">
        <v>574</v>
      </c>
      <c r="B242" s="3" t="s">
        <v>575</v>
      </c>
      <c r="C242" s="3" t="s">
        <v>98</v>
      </c>
      <c r="D242" s="3" t="s">
        <v>45</v>
      </c>
      <c r="E242" s="3" t="s">
        <v>27</v>
      </c>
      <c r="F242" s="3" t="s">
        <v>46</v>
      </c>
      <c r="G242" s="3" t="s">
        <v>47</v>
      </c>
      <c r="H242" s="3" t="s">
        <v>30</v>
      </c>
      <c r="I242" s="3" t="s">
        <v>31</v>
      </c>
      <c r="J242" s="3" t="s">
        <v>32</v>
      </c>
      <c r="K242" s="3" t="s">
        <v>33</v>
      </c>
      <c r="L242" s="3" t="s">
        <v>51</v>
      </c>
      <c r="M242" s="3" t="s">
        <v>94</v>
      </c>
      <c r="N242" s="3" t="s">
        <v>95</v>
      </c>
      <c r="O242" s="3" t="s">
        <v>99</v>
      </c>
      <c r="P242" s="3" t="s">
        <v>100</v>
      </c>
      <c r="Q242" s="3" t="s">
        <v>39</v>
      </c>
      <c r="R242" s="3" t="s">
        <v>40</v>
      </c>
      <c r="S242" s="55">
        <v>54698.400000000001</v>
      </c>
      <c r="T242" s="55">
        <v>47095.983</v>
      </c>
      <c r="U242" s="55">
        <v>6263.6418000000003</v>
      </c>
      <c r="V242" s="55">
        <v>7602.4170000000004</v>
      </c>
      <c r="W242" s="3">
        <v>86</v>
      </c>
    </row>
    <row r="243" spans="1:23" x14ac:dyDescent="0.35">
      <c r="A243" s="3" t="s">
        <v>574</v>
      </c>
      <c r="B243" s="3" t="s">
        <v>575</v>
      </c>
      <c r="C243" s="3" t="s">
        <v>101</v>
      </c>
      <c r="D243" s="3" t="s">
        <v>45</v>
      </c>
      <c r="E243" s="3" t="s">
        <v>27</v>
      </c>
      <c r="F243" s="3" t="s">
        <v>46</v>
      </c>
      <c r="G243" s="3" t="s">
        <v>47</v>
      </c>
      <c r="H243" s="3" t="s">
        <v>30</v>
      </c>
      <c r="I243" s="3" t="s">
        <v>31</v>
      </c>
      <c r="J243" s="3" t="s">
        <v>32</v>
      </c>
      <c r="K243" s="3" t="s">
        <v>33</v>
      </c>
      <c r="L243" s="3" t="s">
        <v>51</v>
      </c>
      <c r="M243" s="3" t="s">
        <v>94</v>
      </c>
      <c r="N243" s="3" t="s">
        <v>95</v>
      </c>
      <c r="O243" s="3" t="s">
        <v>37</v>
      </c>
      <c r="P243" s="3" t="s">
        <v>38</v>
      </c>
      <c r="Q243" s="3" t="s">
        <v>39</v>
      </c>
      <c r="R243" s="3" t="s">
        <v>40</v>
      </c>
      <c r="S243" s="55">
        <v>2625.5</v>
      </c>
      <c r="T243" s="55">
        <v>2523.0461</v>
      </c>
      <c r="U243" s="55">
        <v>54.397599999999997</v>
      </c>
      <c r="V243" s="55">
        <v>102.4539</v>
      </c>
      <c r="W243" s="3">
        <v>96</v>
      </c>
    </row>
    <row r="244" spans="1:23" x14ac:dyDescent="0.35">
      <c r="A244" s="3" t="s">
        <v>574</v>
      </c>
      <c r="B244" s="3" t="s">
        <v>575</v>
      </c>
      <c r="C244" s="3" t="s">
        <v>467</v>
      </c>
      <c r="D244" s="3" t="s">
        <v>45</v>
      </c>
      <c r="E244" s="3" t="s">
        <v>27</v>
      </c>
      <c r="F244" s="3" t="s">
        <v>46</v>
      </c>
      <c r="G244" s="3" t="s">
        <v>47</v>
      </c>
      <c r="H244" s="3" t="s">
        <v>30</v>
      </c>
      <c r="I244" s="3" t="s">
        <v>31</v>
      </c>
      <c r="J244" s="3" t="s">
        <v>32</v>
      </c>
      <c r="K244" s="3" t="s">
        <v>33</v>
      </c>
      <c r="L244" s="3" t="s">
        <v>51</v>
      </c>
      <c r="M244" s="3" t="s">
        <v>94</v>
      </c>
      <c r="N244" s="3" t="s">
        <v>95</v>
      </c>
      <c r="O244" s="3" t="s">
        <v>468</v>
      </c>
      <c r="P244" s="3" t="s">
        <v>469</v>
      </c>
      <c r="Q244" s="3" t="s">
        <v>39</v>
      </c>
      <c r="R244" s="3" t="s">
        <v>40</v>
      </c>
      <c r="S244" s="55">
        <v>2</v>
      </c>
      <c r="T244" s="55">
        <v>1.9904999999999999</v>
      </c>
      <c r="U244" s="55">
        <v>0</v>
      </c>
      <c r="V244" s="55">
        <v>9.4999999999999998E-3</v>
      </c>
      <c r="W244" s="3">
        <v>100</v>
      </c>
    </row>
    <row r="245" spans="1:23" x14ac:dyDescent="0.35">
      <c r="A245" s="3" t="s">
        <v>574</v>
      </c>
      <c r="B245" s="3" t="s">
        <v>575</v>
      </c>
      <c r="C245" s="3" t="s">
        <v>102</v>
      </c>
      <c r="D245" s="3" t="s">
        <v>45</v>
      </c>
      <c r="E245" s="3" t="s">
        <v>27</v>
      </c>
      <c r="F245" s="3" t="s">
        <v>46</v>
      </c>
      <c r="G245" s="3" t="s">
        <v>47</v>
      </c>
      <c r="H245" s="3" t="s">
        <v>30</v>
      </c>
      <c r="I245" s="3" t="s">
        <v>31</v>
      </c>
      <c r="J245" s="3" t="s">
        <v>32</v>
      </c>
      <c r="K245" s="3" t="s">
        <v>33</v>
      </c>
      <c r="L245" s="3" t="s">
        <v>51</v>
      </c>
      <c r="M245" s="3" t="s">
        <v>94</v>
      </c>
      <c r="N245" s="3" t="s">
        <v>95</v>
      </c>
      <c r="O245" s="3" t="s">
        <v>103</v>
      </c>
      <c r="P245" s="3" t="s">
        <v>104</v>
      </c>
      <c r="Q245" s="3" t="s">
        <v>39</v>
      </c>
      <c r="R245" s="3" t="s">
        <v>40</v>
      </c>
      <c r="S245" s="55">
        <v>3.7</v>
      </c>
      <c r="T245" s="55">
        <v>3.2248999999999999</v>
      </c>
      <c r="U245" s="55">
        <v>0</v>
      </c>
      <c r="V245" s="55">
        <v>0.47510000000000002</v>
      </c>
      <c r="W245" s="3">
        <v>87</v>
      </c>
    </row>
    <row r="246" spans="1:23" x14ac:dyDescent="0.35">
      <c r="A246" s="3" t="s">
        <v>574</v>
      </c>
      <c r="B246" s="3" t="s">
        <v>575</v>
      </c>
      <c r="C246" s="3" t="s">
        <v>105</v>
      </c>
      <c r="D246" s="3" t="s">
        <v>45</v>
      </c>
      <c r="E246" s="3" t="s">
        <v>27</v>
      </c>
      <c r="F246" s="3" t="s">
        <v>46</v>
      </c>
      <c r="G246" s="3" t="s">
        <v>47</v>
      </c>
      <c r="H246" s="3" t="s">
        <v>30</v>
      </c>
      <c r="I246" s="3" t="s">
        <v>31</v>
      </c>
      <c r="J246" s="3" t="s">
        <v>32</v>
      </c>
      <c r="K246" s="3" t="s">
        <v>33</v>
      </c>
      <c r="L246" s="3" t="s">
        <v>51</v>
      </c>
      <c r="M246" s="3" t="s">
        <v>106</v>
      </c>
      <c r="N246" s="3" t="s">
        <v>107</v>
      </c>
      <c r="O246" s="3" t="s">
        <v>108</v>
      </c>
      <c r="P246" s="3" t="s">
        <v>109</v>
      </c>
      <c r="Q246" s="3" t="s">
        <v>39</v>
      </c>
      <c r="R246" s="3" t="s">
        <v>40</v>
      </c>
      <c r="S246" s="55">
        <v>70925.600000000006</v>
      </c>
      <c r="T246" s="55">
        <v>62394.727800000001</v>
      </c>
      <c r="U246" s="55">
        <v>5873.7999</v>
      </c>
      <c r="V246" s="55">
        <v>8530.8721999999998</v>
      </c>
      <c r="W246" s="3">
        <v>88</v>
      </c>
    </row>
    <row r="247" spans="1:23" x14ac:dyDescent="0.35">
      <c r="A247" s="3" t="s">
        <v>574</v>
      </c>
      <c r="B247" s="3" t="s">
        <v>575</v>
      </c>
      <c r="C247" s="3" t="s">
        <v>110</v>
      </c>
      <c r="D247" s="3" t="s">
        <v>45</v>
      </c>
      <c r="E247" s="3" t="s">
        <v>27</v>
      </c>
      <c r="F247" s="3" t="s">
        <v>46</v>
      </c>
      <c r="G247" s="3" t="s">
        <v>47</v>
      </c>
      <c r="H247" s="3" t="s">
        <v>30</v>
      </c>
      <c r="I247" s="3" t="s">
        <v>31</v>
      </c>
      <c r="J247" s="3" t="s">
        <v>32</v>
      </c>
      <c r="K247" s="3" t="s">
        <v>33</v>
      </c>
      <c r="L247" s="3" t="s">
        <v>51</v>
      </c>
      <c r="M247" s="3" t="s">
        <v>111</v>
      </c>
      <c r="N247" s="3" t="s">
        <v>112</v>
      </c>
      <c r="O247" s="3" t="s">
        <v>37</v>
      </c>
      <c r="P247" s="3" t="s">
        <v>38</v>
      </c>
      <c r="Q247" s="3" t="s">
        <v>39</v>
      </c>
      <c r="R247" s="3" t="s">
        <v>40</v>
      </c>
      <c r="S247" s="55">
        <v>3849</v>
      </c>
      <c r="T247" s="55">
        <v>3378.3231999999998</v>
      </c>
      <c r="U247" s="55">
        <v>340.01920000000001</v>
      </c>
      <c r="V247" s="55">
        <v>470.67680000000001</v>
      </c>
      <c r="W247" s="3">
        <v>88</v>
      </c>
    </row>
    <row r="248" spans="1:23" x14ac:dyDescent="0.35">
      <c r="A248" s="3" t="s">
        <v>574</v>
      </c>
      <c r="B248" s="3" t="s">
        <v>575</v>
      </c>
      <c r="C248" s="3" t="s">
        <v>113</v>
      </c>
      <c r="D248" s="3" t="s">
        <v>114</v>
      </c>
      <c r="E248" s="3" t="s">
        <v>115</v>
      </c>
      <c r="F248" s="3" t="s">
        <v>116</v>
      </c>
      <c r="G248" s="3" t="s">
        <v>117</v>
      </c>
      <c r="H248" s="3" t="s">
        <v>48</v>
      </c>
      <c r="I248" s="3" t="s">
        <v>49</v>
      </c>
      <c r="J248" s="3" t="s">
        <v>50</v>
      </c>
      <c r="K248" s="3" t="s">
        <v>33</v>
      </c>
      <c r="L248" s="3" t="s">
        <v>51</v>
      </c>
      <c r="M248" s="3" t="s">
        <v>118</v>
      </c>
      <c r="N248" s="3" t="s">
        <v>119</v>
      </c>
      <c r="O248" s="3" t="s">
        <v>37</v>
      </c>
      <c r="P248" s="3" t="s">
        <v>38</v>
      </c>
      <c r="Q248" s="3" t="s">
        <v>39</v>
      </c>
      <c r="R248" s="3" t="s">
        <v>40</v>
      </c>
      <c r="S248" s="55">
        <v>4082.8</v>
      </c>
      <c r="T248" s="55">
        <v>3981.6010999999999</v>
      </c>
      <c r="U248" s="55">
        <v>403.16539999999998</v>
      </c>
      <c r="V248" s="55">
        <v>101.19889999999999</v>
      </c>
      <c r="W248" s="3">
        <v>98</v>
      </c>
    </row>
    <row r="249" spans="1:23" x14ac:dyDescent="0.35">
      <c r="A249" s="3" t="s">
        <v>574</v>
      </c>
      <c r="B249" s="3" t="s">
        <v>575</v>
      </c>
      <c r="C249" s="3" t="s">
        <v>120</v>
      </c>
      <c r="D249" s="3" t="s">
        <v>114</v>
      </c>
      <c r="E249" s="3" t="s">
        <v>115</v>
      </c>
      <c r="F249" s="3" t="s">
        <v>116</v>
      </c>
      <c r="G249" s="3" t="s">
        <v>117</v>
      </c>
      <c r="H249" s="3" t="s">
        <v>48</v>
      </c>
      <c r="I249" s="3" t="s">
        <v>49</v>
      </c>
      <c r="J249" s="3" t="s">
        <v>50</v>
      </c>
      <c r="K249" s="3" t="s">
        <v>33</v>
      </c>
      <c r="L249" s="3" t="s">
        <v>51</v>
      </c>
      <c r="M249" s="3" t="s">
        <v>118</v>
      </c>
      <c r="N249" s="3" t="s">
        <v>119</v>
      </c>
      <c r="O249" s="3" t="s">
        <v>42</v>
      </c>
      <c r="P249" s="3" t="s">
        <v>43</v>
      </c>
      <c r="Q249" s="3" t="s">
        <v>39</v>
      </c>
      <c r="R249" s="3" t="s">
        <v>40</v>
      </c>
      <c r="S249" s="55">
        <v>8518.1</v>
      </c>
      <c r="T249" s="55">
        <v>2968.8155999999999</v>
      </c>
      <c r="U249" s="55">
        <v>2455.7350999999999</v>
      </c>
      <c r="V249" s="55">
        <v>5549.2843999999996</v>
      </c>
      <c r="W249" s="3">
        <v>35</v>
      </c>
    </row>
    <row r="250" spans="1:23" x14ac:dyDescent="0.35">
      <c r="A250" s="3" t="s">
        <v>574</v>
      </c>
      <c r="B250" s="3" t="s">
        <v>575</v>
      </c>
      <c r="C250" s="3" t="s">
        <v>121</v>
      </c>
      <c r="D250" s="3" t="s">
        <v>114</v>
      </c>
      <c r="E250" s="3" t="s">
        <v>115</v>
      </c>
      <c r="F250" s="3" t="s">
        <v>116</v>
      </c>
      <c r="G250" s="3" t="s">
        <v>117</v>
      </c>
      <c r="H250" s="3" t="s">
        <v>48</v>
      </c>
      <c r="I250" s="3" t="s">
        <v>49</v>
      </c>
      <c r="J250" s="3" t="s">
        <v>50</v>
      </c>
      <c r="K250" s="3" t="s">
        <v>33</v>
      </c>
      <c r="L250" s="3" t="s">
        <v>51</v>
      </c>
      <c r="M250" s="3" t="s">
        <v>118</v>
      </c>
      <c r="N250" s="3" t="s">
        <v>119</v>
      </c>
      <c r="O250" s="3" t="s">
        <v>122</v>
      </c>
      <c r="P250" s="3" t="s">
        <v>123</v>
      </c>
      <c r="Q250" s="3" t="s">
        <v>39</v>
      </c>
      <c r="R250" s="3" t="s">
        <v>40</v>
      </c>
      <c r="S250" s="55">
        <v>7750.5</v>
      </c>
      <c r="T250" s="55">
        <v>6342.0691999999999</v>
      </c>
      <c r="U250" s="55">
        <v>0</v>
      </c>
      <c r="V250" s="55">
        <v>1408.4308000000001</v>
      </c>
      <c r="W250" s="3">
        <v>82</v>
      </c>
    </row>
    <row r="251" spans="1:23" x14ac:dyDescent="0.35">
      <c r="A251" s="3" t="s">
        <v>574</v>
      </c>
      <c r="B251" s="3" t="s">
        <v>575</v>
      </c>
      <c r="C251" s="3" t="s">
        <v>124</v>
      </c>
      <c r="D251" s="3" t="s">
        <v>114</v>
      </c>
      <c r="E251" s="3" t="s">
        <v>115</v>
      </c>
      <c r="F251" s="3" t="s">
        <v>116</v>
      </c>
      <c r="G251" s="3" t="s">
        <v>117</v>
      </c>
      <c r="H251" s="3" t="s">
        <v>48</v>
      </c>
      <c r="I251" s="3" t="s">
        <v>49</v>
      </c>
      <c r="J251" s="3" t="s">
        <v>50</v>
      </c>
      <c r="K251" s="3" t="s">
        <v>33</v>
      </c>
      <c r="L251" s="3" t="s">
        <v>51</v>
      </c>
      <c r="M251" s="3" t="s">
        <v>118</v>
      </c>
      <c r="N251" s="3" t="s">
        <v>119</v>
      </c>
      <c r="O251" s="3" t="s">
        <v>125</v>
      </c>
      <c r="P251" s="3" t="s">
        <v>126</v>
      </c>
      <c r="Q251" s="3" t="s">
        <v>39</v>
      </c>
      <c r="R251" s="3" t="s">
        <v>40</v>
      </c>
      <c r="S251" s="55">
        <v>2554.3000000000002</v>
      </c>
      <c r="T251" s="55">
        <v>2311.2420000000002</v>
      </c>
      <c r="U251" s="55">
        <v>242.97130000000001</v>
      </c>
      <c r="V251" s="55">
        <v>243.05799999999999</v>
      </c>
      <c r="W251" s="3">
        <v>90</v>
      </c>
    </row>
    <row r="252" spans="1:23" x14ac:dyDescent="0.35">
      <c r="A252" s="3" t="s">
        <v>574</v>
      </c>
      <c r="B252" s="3" t="s">
        <v>575</v>
      </c>
      <c r="C252" s="3" t="s">
        <v>130</v>
      </c>
      <c r="D252" s="3" t="s">
        <v>131</v>
      </c>
      <c r="E252" s="3" t="s">
        <v>115</v>
      </c>
      <c r="F252" s="3" t="s">
        <v>132</v>
      </c>
      <c r="G252" s="3" t="s">
        <v>133</v>
      </c>
      <c r="H252" s="3" t="s">
        <v>48</v>
      </c>
      <c r="I252" s="3" t="s">
        <v>49</v>
      </c>
      <c r="J252" s="3" t="s">
        <v>50</v>
      </c>
      <c r="K252" s="3" t="s">
        <v>33</v>
      </c>
      <c r="L252" s="3" t="s">
        <v>51</v>
      </c>
      <c r="M252" s="3" t="s">
        <v>134</v>
      </c>
      <c r="N252" s="3" t="s">
        <v>135</v>
      </c>
      <c r="O252" s="3" t="s">
        <v>37</v>
      </c>
      <c r="P252" s="3" t="s">
        <v>38</v>
      </c>
      <c r="Q252" s="3" t="s">
        <v>39</v>
      </c>
      <c r="R252" s="3" t="s">
        <v>40</v>
      </c>
      <c r="S252" s="55">
        <v>22.1</v>
      </c>
      <c r="T252" s="55">
        <v>20.0015</v>
      </c>
      <c r="U252" s="55">
        <v>8.8849999999999998</v>
      </c>
      <c r="V252" s="55">
        <v>2.0985</v>
      </c>
      <c r="W252" s="3">
        <v>91</v>
      </c>
    </row>
    <row r="253" spans="1:23" x14ac:dyDescent="0.35">
      <c r="A253" s="3" t="s">
        <v>574</v>
      </c>
      <c r="B253" s="3" t="s">
        <v>575</v>
      </c>
      <c r="C253" s="3" t="s">
        <v>448</v>
      </c>
      <c r="D253" s="3" t="s">
        <v>137</v>
      </c>
      <c r="E253" s="3" t="s">
        <v>138</v>
      </c>
      <c r="F253" s="3" t="s">
        <v>139</v>
      </c>
      <c r="G253" s="3" t="s">
        <v>140</v>
      </c>
      <c r="H253" s="3" t="s">
        <v>48</v>
      </c>
      <c r="I253" s="3" t="s">
        <v>49</v>
      </c>
      <c r="J253" s="3" t="s">
        <v>50</v>
      </c>
      <c r="K253" s="3" t="s">
        <v>33</v>
      </c>
      <c r="L253" s="3" t="s">
        <v>51</v>
      </c>
      <c r="M253" s="3" t="s">
        <v>446</v>
      </c>
      <c r="N253" s="3" t="s">
        <v>447</v>
      </c>
      <c r="O253" s="3" t="s">
        <v>197</v>
      </c>
      <c r="P253" s="3" t="s">
        <v>198</v>
      </c>
      <c r="Q253" s="3" t="s">
        <v>39</v>
      </c>
      <c r="R253" s="3" t="s">
        <v>40</v>
      </c>
      <c r="S253" s="55">
        <v>33219</v>
      </c>
      <c r="T253" s="55">
        <v>10460.9719</v>
      </c>
      <c r="U253" s="55">
        <v>2494.9778999999999</v>
      </c>
      <c r="V253" s="55">
        <v>22758.0281</v>
      </c>
      <c r="W253" s="3">
        <v>31</v>
      </c>
    </row>
    <row r="254" spans="1:23" x14ac:dyDescent="0.35">
      <c r="A254" s="3" t="s">
        <v>574</v>
      </c>
      <c r="B254" s="3" t="s">
        <v>575</v>
      </c>
      <c r="C254" s="3" t="s">
        <v>136</v>
      </c>
      <c r="D254" s="3" t="s">
        <v>137</v>
      </c>
      <c r="E254" s="3" t="s">
        <v>138</v>
      </c>
      <c r="F254" s="3" t="s">
        <v>139</v>
      </c>
      <c r="G254" s="3" t="s">
        <v>140</v>
      </c>
      <c r="H254" s="3" t="s">
        <v>30</v>
      </c>
      <c r="I254" s="3" t="s">
        <v>31</v>
      </c>
      <c r="J254" s="3" t="s">
        <v>32</v>
      </c>
      <c r="K254" s="3" t="s">
        <v>33</v>
      </c>
      <c r="L254" s="3" t="s">
        <v>51</v>
      </c>
      <c r="M254" s="3" t="s">
        <v>141</v>
      </c>
      <c r="N254" s="3" t="s">
        <v>142</v>
      </c>
      <c r="O254" s="3" t="s">
        <v>83</v>
      </c>
      <c r="P254" s="3" t="s">
        <v>84</v>
      </c>
      <c r="Q254" s="3" t="s">
        <v>39</v>
      </c>
      <c r="R254" s="3" t="s">
        <v>40</v>
      </c>
      <c r="S254" s="55">
        <v>13074.3</v>
      </c>
      <c r="T254" s="55">
        <v>4543.5807000000004</v>
      </c>
      <c r="U254" s="55">
        <v>823.72680000000003</v>
      </c>
      <c r="V254" s="55">
        <v>8530.7193000000007</v>
      </c>
      <c r="W254" s="3">
        <v>35</v>
      </c>
    </row>
    <row r="255" spans="1:23" x14ac:dyDescent="0.35">
      <c r="A255" s="3" t="s">
        <v>574</v>
      </c>
      <c r="B255" s="3" t="s">
        <v>575</v>
      </c>
      <c r="C255" s="3" t="s">
        <v>143</v>
      </c>
      <c r="D255" s="3" t="s">
        <v>144</v>
      </c>
      <c r="E255" s="3" t="s">
        <v>145</v>
      </c>
      <c r="F255" s="3" t="s">
        <v>146</v>
      </c>
      <c r="G255" s="3" t="s">
        <v>147</v>
      </c>
      <c r="H255" s="3" t="s">
        <v>116</v>
      </c>
      <c r="I255" s="3" t="s">
        <v>148</v>
      </c>
      <c r="J255" s="3" t="s">
        <v>149</v>
      </c>
      <c r="K255" s="3" t="s">
        <v>33</v>
      </c>
      <c r="L255" s="3" t="s">
        <v>51</v>
      </c>
      <c r="M255" s="3" t="s">
        <v>150</v>
      </c>
      <c r="N255" s="3" t="s">
        <v>151</v>
      </c>
      <c r="O255" s="3" t="s">
        <v>37</v>
      </c>
      <c r="P255" s="3" t="s">
        <v>38</v>
      </c>
      <c r="Q255" s="3" t="s">
        <v>39</v>
      </c>
      <c r="R255" s="3" t="s">
        <v>40</v>
      </c>
      <c r="S255" s="55">
        <v>5022</v>
      </c>
      <c r="T255" s="55">
        <v>5021.99</v>
      </c>
      <c r="U255" s="55">
        <v>0</v>
      </c>
      <c r="V255" s="55">
        <v>0.01</v>
      </c>
      <c r="W255" s="3">
        <v>100</v>
      </c>
    </row>
    <row r="256" spans="1:23" x14ac:dyDescent="0.35">
      <c r="A256" s="3" t="s">
        <v>574</v>
      </c>
      <c r="B256" s="3" t="s">
        <v>575</v>
      </c>
      <c r="C256" s="3" t="s">
        <v>152</v>
      </c>
      <c r="D256" s="3" t="s">
        <v>144</v>
      </c>
      <c r="E256" s="3" t="s">
        <v>145</v>
      </c>
      <c r="F256" s="3" t="s">
        <v>146</v>
      </c>
      <c r="G256" s="3" t="s">
        <v>147</v>
      </c>
      <c r="H256" s="3" t="s">
        <v>116</v>
      </c>
      <c r="I256" s="3" t="s">
        <v>148</v>
      </c>
      <c r="J256" s="3" t="s">
        <v>149</v>
      </c>
      <c r="K256" s="3" t="s">
        <v>33</v>
      </c>
      <c r="L256" s="3" t="s">
        <v>51</v>
      </c>
      <c r="M256" s="3" t="s">
        <v>153</v>
      </c>
      <c r="N256" s="3" t="s">
        <v>154</v>
      </c>
      <c r="O256" s="3" t="s">
        <v>37</v>
      </c>
      <c r="P256" s="3" t="s">
        <v>38</v>
      </c>
      <c r="Q256" s="3" t="s">
        <v>39</v>
      </c>
      <c r="R256" s="3" t="s">
        <v>40</v>
      </c>
      <c r="S256" s="55">
        <v>58390</v>
      </c>
      <c r="T256" s="55">
        <v>23332.478299999999</v>
      </c>
      <c r="U256" s="55">
        <v>6280.3712999999998</v>
      </c>
      <c r="V256" s="55">
        <v>35057.521699999998</v>
      </c>
      <c r="W256" s="3">
        <v>40</v>
      </c>
    </row>
    <row r="257" spans="1:23" x14ac:dyDescent="0.35">
      <c r="A257" s="3" t="s">
        <v>574</v>
      </c>
      <c r="B257" s="3" t="s">
        <v>575</v>
      </c>
      <c r="C257" s="3" t="s">
        <v>155</v>
      </c>
      <c r="D257" s="3" t="s">
        <v>144</v>
      </c>
      <c r="E257" s="3" t="s">
        <v>145</v>
      </c>
      <c r="F257" s="3" t="s">
        <v>146</v>
      </c>
      <c r="G257" s="3" t="s">
        <v>147</v>
      </c>
      <c r="H257" s="3" t="s">
        <v>116</v>
      </c>
      <c r="I257" s="3" t="s">
        <v>148</v>
      </c>
      <c r="J257" s="3" t="s">
        <v>149</v>
      </c>
      <c r="K257" s="3" t="s">
        <v>33</v>
      </c>
      <c r="L257" s="3" t="s">
        <v>51</v>
      </c>
      <c r="M257" s="3" t="s">
        <v>156</v>
      </c>
      <c r="N257" s="3" t="s">
        <v>157</v>
      </c>
      <c r="O257" s="3" t="s">
        <v>37</v>
      </c>
      <c r="P257" s="3" t="s">
        <v>38</v>
      </c>
      <c r="Q257" s="3" t="s">
        <v>39</v>
      </c>
      <c r="R257" s="3" t="s">
        <v>40</v>
      </c>
      <c r="S257" s="55">
        <v>3467.9</v>
      </c>
      <c r="T257" s="55">
        <v>3041.4216000000001</v>
      </c>
      <c r="U257" s="55">
        <v>2447.7494999999999</v>
      </c>
      <c r="V257" s="55">
        <v>426.47840000000002</v>
      </c>
      <c r="W257" s="3">
        <v>88</v>
      </c>
    </row>
    <row r="258" spans="1:23" x14ac:dyDescent="0.35">
      <c r="A258" s="3" t="s">
        <v>574</v>
      </c>
      <c r="B258" s="3" t="s">
        <v>575</v>
      </c>
      <c r="C258" s="3" t="s">
        <v>158</v>
      </c>
      <c r="D258" s="3" t="s">
        <v>144</v>
      </c>
      <c r="E258" s="3" t="s">
        <v>145</v>
      </c>
      <c r="F258" s="3" t="s">
        <v>146</v>
      </c>
      <c r="G258" s="3" t="s">
        <v>147</v>
      </c>
      <c r="H258" s="3" t="s">
        <v>116</v>
      </c>
      <c r="I258" s="3" t="s">
        <v>148</v>
      </c>
      <c r="J258" s="3" t="s">
        <v>149</v>
      </c>
      <c r="K258" s="3" t="s">
        <v>33</v>
      </c>
      <c r="L258" s="3" t="s">
        <v>51</v>
      </c>
      <c r="M258" s="3" t="s">
        <v>156</v>
      </c>
      <c r="N258" s="3" t="s">
        <v>157</v>
      </c>
      <c r="O258" s="3" t="s">
        <v>125</v>
      </c>
      <c r="P258" s="3" t="s">
        <v>126</v>
      </c>
      <c r="Q258" s="3" t="s">
        <v>39</v>
      </c>
      <c r="R258" s="3" t="s">
        <v>40</v>
      </c>
      <c r="S258" s="55">
        <v>100977.1</v>
      </c>
      <c r="T258" s="55">
        <v>81231.572700000004</v>
      </c>
      <c r="U258" s="55">
        <v>3079.3357000000001</v>
      </c>
      <c r="V258" s="55">
        <v>19745.527300000002</v>
      </c>
      <c r="W258" s="3">
        <v>80</v>
      </c>
    </row>
    <row r="259" spans="1:23" x14ac:dyDescent="0.35">
      <c r="A259" s="3" t="s">
        <v>574</v>
      </c>
      <c r="B259" s="3" t="s">
        <v>575</v>
      </c>
      <c r="C259" s="3" t="s">
        <v>159</v>
      </c>
      <c r="D259" s="3" t="s">
        <v>144</v>
      </c>
      <c r="E259" s="3" t="s">
        <v>145</v>
      </c>
      <c r="F259" s="3" t="s">
        <v>146</v>
      </c>
      <c r="G259" s="3" t="s">
        <v>147</v>
      </c>
      <c r="H259" s="3" t="s">
        <v>116</v>
      </c>
      <c r="I259" s="3" t="s">
        <v>148</v>
      </c>
      <c r="J259" s="3" t="s">
        <v>149</v>
      </c>
      <c r="K259" s="3" t="s">
        <v>33</v>
      </c>
      <c r="L259" s="3" t="s">
        <v>51</v>
      </c>
      <c r="M259" s="3" t="s">
        <v>160</v>
      </c>
      <c r="N259" s="3" t="s">
        <v>161</v>
      </c>
      <c r="O259" s="3" t="s">
        <v>37</v>
      </c>
      <c r="P259" s="3" t="s">
        <v>38</v>
      </c>
      <c r="Q259" s="3" t="s">
        <v>39</v>
      </c>
      <c r="R259" s="3" t="s">
        <v>40</v>
      </c>
      <c r="S259" s="55">
        <v>15874</v>
      </c>
      <c r="T259" s="55">
        <v>12469.450199999999</v>
      </c>
      <c r="U259" s="55">
        <v>1714.6005</v>
      </c>
      <c r="V259" s="55">
        <v>3404.5497999999998</v>
      </c>
      <c r="W259" s="3">
        <v>79</v>
      </c>
    </row>
    <row r="260" spans="1:23" x14ac:dyDescent="0.35">
      <c r="A260" s="3" t="s">
        <v>574</v>
      </c>
      <c r="B260" s="3" t="s">
        <v>575</v>
      </c>
      <c r="C260" s="3" t="s">
        <v>162</v>
      </c>
      <c r="D260" s="3" t="s">
        <v>144</v>
      </c>
      <c r="E260" s="3" t="s">
        <v>145</v>
      </c>
      <c r="F260" s="3" t="s">
        <v>146</v>
      </c>
      <c r="G260" s="3" t="s">
        <v>147</v>
      </c>
      <c r="H260" s="3" t="s">
        <v>116</v>
      </c>
      <c r="I260" s="3" t="s">
        <v>148</v>
      </c>
      <c r="J260" s="3" t="s">
        <v>149</v>
      </c>
      <c r="K260" s="3" t="s">
        <v>33</v>
      </c>
      <c r="L260" s="3" t="s">
        <v>51</v>
      </c>
      <c r="M260" s="3" t="s">
        <v>160</v>
      </c>
      <c r="N260" s="3" t="s">
        <v>161</v>
      </c>
      <c r="O260" s="3" t="s">
        <v>42</v>
      </c>
      <c r="P260" s="3" t="s">
        <v>43</v>
      </c>
      <c r="Q260" s="3" t="s">
        <v>39</v>
      </c>
      <c r="R260" s="3" t="s">
        <v>40</v>
      </c>
      <c r="S260" s="55">
        <v>8415.9</v>
      </c>
      <c r="T260" s="55">
        <v>5341.9465</v>
      </c>
      <c r="U260" s="55">
        <v>1192.9956999999999</v>
      </c>
      <c r="V260" s="55">
        <v>3073.9535000000001</v>
      </c>
      <c r="W260" s="3">
        <v>63</v>
      </c>
    </row>
    <row r="261" spans="1:23" x14ac:dyDescent="0.35">
      <c r="A261" s="3" t="s">
        <v>574</v>
      </c>
      <c r="B261" s="3" t="s">
        <v>575</v>
      </c>
      <c r="C261" s="3" t="s">
        <v>163</v>
      </c>
      <c r="D261" s="3" t="s">
        <v>144</v>
      </c>
      <c r="E261" s="3" t="s">
        <v>145</v>
      </c>
      <c r="F261" s="3" t="s">
        <v>146</v>
      </c>
      <c r="G261" s="3" t="s">
        <v>147</v>
      </c>
      <c r="H261" s="3" t="s">
        <v>116</v>
      </c>
      <c r="I261" s="3" t="s">
        <v>148</v>
      </c>
      <c r="J261" s="3" t="s">
        <v>149</v>
      </c>
      <c r="K261" s="3" t="s">
        <v>33</v>
      </c>
      <c r="L261" s="3" t="s">
        <v>51</v>
      </c>
      <c r="M261" s="3" t="s">
        <v>160</v>
      </c>
      <c r="N261" s="3" t="s">
        <v>161</v>
      </c>
      <c r="O261" s="3" t="s">
        <v>125</v>
      </c>
      <c r="P261" s="3" t="s">
        <v>126</v>
      </c>
      <c r="Q261" s="3" t="s">
        <v>39</v>
      </c>
      <c r="R261" s="3" t="s">
        <v>40</v>
      </c>
      <c r="S261" s="55">
        <v>4785.7</v>
      </c>
      <c r="T261" s="55">
        <v>4244.6108000000004</v>
      </c>
      <c r="U261" s="55">
        <v>407.08710000000002</v>
      </c>
      <c r="V261" s="55">
        <v>541.08920000000001</v>
      </c>
      <c r="W261" s="3">
        <v>89</v>
      </c>
    </row>
    <row r="262" spans="1:23" x14ac:dyDescent="0.35">
      <c r="A262" s="3" t="s">
        <v>574</v>
      </c>
      <c r="B262" s="3" t="s">
        <v>575</v>
      </c>
      <c r="C262" s="3" t="s">
        <v>423</v>
      </c>
      <c r="D262" s="3" t="s">
        <v>165</v>
      </c>
      <c r="E262" s="3" t="s">
        <v>145</v>
      </c>
      <c r="F262" s="3" t="s">
        <v>28</v>
      </c>
      <c r="G262" s="3" t="s">
        <v>166</v>
      </c>
      <c r="H262" s="3" t="s">
        <v>139</v>
      </c>
      <c r="I262" s="3" t="s">
        <v>167</v>
      </c>
      <c r="J262" s="3" t="s">
        <v>168</v>
      </c>
      <c r="K262" s="3" t="s">
        <v>33</v>
      </c>
      <c r="L262" s="3" t="s">
        <v>51</v>
      </c>
      <c r="M262" s="3" t="s">
        <v>424</v>
      </c>
      <c r="N262" s="3" t="s">
        <v>507</v>
      </c>
      <c r="O262" s="3" t="s">
        <v>37</v>
      </c>
      <c r="P262" s="3" t="s">
        <v>38</v>
      </c>
      <c r="Q262" s="3" t="s">
        <v>39</v>
      </c>
      <c r="R262" s="3" t="s">
        <v>40</v>
      </c>
      <c r="S262" s="55">
        <v>3229.3</v>
      </c>
      <c r="T262" s="55">
        <v>340</v>
      </c>
      <c r="U262" s="55">
        <v>0</v>
      </c>
      <c r="V262" s="55">
        <v>2889.3</v>
      </c>
      <c r="W262" s="3">
        <v>11</v>
      </c>
    </row>
    <row r="263" spans="1:23" x14ac:dyDescent="0.35">
      <c r="A263" s="3" t="s">
        <v>574</v>
      </c>
      <c r="B263" s="3" t="s">
        <v>575</v>
      </c>
      <c r="C263" s="3" t="s">
        <v>560</v>
      </c>
      <c r="D263" s="3" t="s">
        <v>165</v>
      </c>
      <c r="E263" s="3" t="s">
        <v>145</v>
      </c>
      <c r="F263" s="3" t="s">
        <v>28</v>
      </c>
      <c r="G263" s="3" t="s">
        <v>166</v>
      </c>
      <c r="H263" s="3" t="s">
        <v>139</v>
      </c>
      <c r="I263" s="3" t="s">
        <v>167</v>
      </c>
      <c r="J263" s="3" t="s">
        <v>168</v>
      </c>
      <c r="K263" s="3" t="s">
        <v>33</v>
      </c>
      <c r="L263" s="3" t="s">
        <v>51</v>
      </c>
      <c r="M263" s="3" t="s">
        <v>424</v>
      </c>
      <c r="N263" s="3" t="s">
        <v>507</v>
      </c>
      <c r="O263" s="3" t="s">
        <v>125</v>
      </c>
      <c r="P263" s="3" t="s">
        <v>126</v>
      </c>
      <c r="Q263" s="3" t="s">
        <v>39</v>
      </c>
      <c r="R263" s="3" t="s">
        <v>40</v>
      </c>
      <c r="S263" s="55">
        <v>250.7</v>
      </c>
      <c r="T263" s="55">
        <v>250.65</v>
      </c>
      <c r="U263" s="55">
        <v>0</v>
      </c>
      <c r="V263" s="55">
        <v>0.05</v>
      </c>
      <c r="W263" s="3">
        <v>100</v>
      </c>
    </row>
    <row r="264" spans="1:23" x14ac:dyDescent="0.35">
      <c r="A264" s="3" t="s">
        <v>574</v>
      </c>
      <c r="B264" s="3" t="s">
        <v>575</v>
      </c>
      <c r="C264" s="3" t="s">
        <v>164</v>
      </c>
      <c r="D264" s="3" t="s">
        <v>165</v>
      </c>
      <c r="E264" s="3" t="s">
        <v>145</v>
      </c>
      <c r="F264" s="3" t="s">
        <v>28</v>
      </c>
      <c r="G264" s="3" t="s">
        <v>166</v>
      </c>
      <c r="H264" s="3" t="s">
        <v>139</v>
      </c>
      <c r="I264" s="3" t="s">
        <v>167</v>
      </c>
      <c r="J264" s="3" t="s">
        <v>168</v>
      </c>
      <c r="K264" s="3" t="s">
        <v>33</v>
      </c>
      <c r="L264" s="3" t="s">
        <v>51</v>
      </c>
      <c r="M264" s="3" t="s">
        <v>169</v>
      </c>
      <c r="N264" s="3" t="s">
        <v>170</v>
      </c>
      <c r="O264" s="3" t="s">
        <v>37</v>
      </c>
      <c r="P264" s="3" t="s">
        <v>38</v>
      </c>
      <c r="Q264" s="3" t="s">
        <v>39</v>
      </c>
      <c r="R264" s="3" t="s">
        <v>40</v>
      </c>
      <c r="S264" s="55">
        <v>52212.9</v>
      </c>
      <c r="T264" s="55">
        <v>20355.785400000001</v>
      </c>
      <c r="U264" s="55">
        <v>11023.5074</v>
      </c>
      <c r="V264" s="55">
        <v>31857.114600000001</v>
      </c>
      <c r="W264" s="3">
        <v>39</v>
      </c>
    </row>
    <row r="265" spans="1:23" x14ac:dyDescent="0.35">
      <c r="A265" s="3" t="s">
        <v>574</v>
      </c>
      <c r="B265" s="3" t="s">
        <v>575</v>
      </c>
      <c r="C265" s="3" t="s">
        <v>561</v>
      </c>
      <c r="D265" s="3" t="s">
        <v>165</v>
      </c>
      <c r="E265" s="3" t="s">
        <v>145</v>
      </c>
      <c r="F265" s="3" t="s">
        <v>28</v>
      </c>
      <c r="G265" s="3" t="s">
        <v>166</v>
      </c>
      <c r="H265" s="3" t="s">
        <v>139</v>
      </c>
      <c r="I265" s="3" t="s">
        <v>167</v>
      </c>
      <c r="J265" s="3" t="s">
        <v>168</v>
      </c>
      <c r="K265" s="3" t="s">
        <v>33</v>
      </c>
      <c r="L265" s="3" t="s">
        <v>51</v>
      </c>
      <c r="M265" s="3" t="s">
        <v>169</v>
      </c>
      <c r="N265" s="3" t="s">
        <v>170</v>
      </c>
      <c r="O265" s="3" t="s">
        <v>125</v>
      </c>
      <c r="P265" s="3" t="s">
        <v>126</v>
      </c>
      <c r="Q265" s="3" t="s">
        <v>39</v>
      </c>
      <c r="R265" s="3" t="s">
        <v>40</v>
      </c>
      <c r="S265" s="55">
        <v>406.8</v>
      </c>
      <c r="T265" s="55">
        <v>406.8</v>
      </c>
      <c r="U265" s="55">
        <v>0</v>
      </c>
      <c r="V265" s="55">
        <v>0</v>
      </c>
      <c r="W265" s="3">
        <v>100</v>
      </c>
    </row>
    <row r="266" spans="1:23" x14ac:dyDescent="0.35">
      <c r="A266" s="3" t="s">
        <v>574</v>
      </c>
      <c r="B266" s="3" t="s">
        <v>575</v>
      </c>
      <c r="C266" s="3" t="s">
        <v>171</v>
      </c>
      <c r="D266" s="3" t="s">
        <v>165</v>
      </c>
      <c r="E266" s="3" t="s">
        <v>145</v>
      </c>
      <c r="F266" s="3" t="s">
        <v>28</v>
      </c>
      <c r="G266" s="3" t="s">
        <v>166</v>
      </c>
      <c r="H266" s="3" t="s">
        <v>139</v>
      </c>
      <c r="I266" s="3" t="s">
        <v>167</v>
      </c>
      <c r="J266" s="3" t="s">
        <v>168</v>
      </c>
      <c r="K266" s="3" t="s">
        <v>33</v>
      </c>
      <c r="L266" s="3" t="s">
        <v>51</v>
      </c>
      <c r="M266" s="3" t="s">
        <v>172</v>
      </c>
      <c r="N266" s="3" t="s">
        <v>173</v>
      </c>
      <c r="O266" s="3" t="s">
        <v>37</v>
      </c>
      <c r="P266" s="3" t="s">
        <v>38</v>
      </c>
      <c r="Q266" s="3" t="s">
        <v>39</v>
      </c>
      <c r="R266" s="3" t="s">
        <v>40</v>
      </c>
      <c r="S266" s="55">
        <v>149818.5</v>
      </c>
      <c r="T266" s="55">
        <v>115014.7699</v>
      </c>
      <c r="U266" s="55">
        <v>42102.715900000003</v>
      </c>
      <c r="V266" s="55">
        <v>34803.730100000001</v>
      </c>
      <c r="W266" s="3">
        <v>77</v>
      </c>
    </row>
    <row r="267" spans="1:23" x14ac:dyDescent="0.35">
      <c r="A267" s="3" t="s">
        <v>574</v>
      </c>
      <c r="B267" s="3" t="s">
        <v>575</v>
      </c>
      <c r="C267" s="3" t="s">
        <v>562</v>
      </c>
      <c r="D267" s="3" t="s">
        <v>165</v>
      </c>
      <c r="E267" s="3" t="s">
        <v>145</v>
      </c>
      <c r="F267" s="3" t="s">
        <v>28</v>
      </c>
      <c r="G267" s="3" t="s">
        <v>166</v>
      </c>
      <c r="H267" s="3" t="s">
        <v>139</v>
      </c>
      <c r="I267" s="3" t="s">
        <v>167</v>
      </c>
      <c r="J267" s="3" t="s">
        <v>168</v>
      </c>
      <c r="K267" s="3" t="s">
        <v>33</v>
      </c>
      <c r="L267" s="3" t="s">
        <v>51</v>
      </c>
      <c r="M267" s="3" t="s">
        <v>172</v>
      </c>
      <c r="N267" s="3" t="s">
        <v>173</v>
      </c>
      <c r="O267" s="3" t="s">
        <v>125</v>
      </c>
      <c r="P267" s="3" t="s">
        <v>126</v>
      </c>
      <c r="Q267" s="3" t="s">
        <v>39</v>
      </c>
      <c r="R267" s="3" t="s">
        <v>40</v>
      </c>
      <c r="S267" s="55">
        <v>2086.8000000000002</v>
      </c>
      <c r="T267" s="55">
        <v>2086.8000000000002</v>
      </c>
      <c r="U267" s="55">
        <v>0</v>
      </c>
      <c r="V267" s="55">
        <v>0</v>
      </c>
      <c r="W267" s="3">
        <v>100</v>
      </c>
    </row>
    <row r="268" spans="1:23" x14ac:dyDescent="0.35">
      <c r="A268" s="3" t="s">
        <v>574</v>
      </c>
      <c r="B268" s="3" t="s">
        <v>575</v>
      </c>
      <c r="C268" s="3" t="s">
        <v>174</v>
      </c>
      <c r="D268" s="3" t="s">
        <v>175</v>
      </c>
      <c r="E268" s="3" t="s">
        <v>145</v>
      </c>
      <c r="F268" s="3" t="s">
        <v>176</v>
      </c>
      <c r="G268" s="3" t="s">
        <v>177</v>
      </c>
      <c r="H268" s="3" t="s">
        <v>116</v>
      </c>
      <c r="I268" s="3" t="s">
        <v>148</v>
      </c>
      <c r="J268" s="3" t="s">
        <v>149</v>
      </c>
      <c r="K268" s="3" t="s">
        <v>33</v>
      </c>
      <c r="L268" s="3" t="s">
        <v>51</v>
      </c>
      <c r="M268" s="3" t="s">
        <v>178</v>
      </c>
      <c r="N268" s="3" t="s">
        <v>179</v>
      </c>
      <c r="O268" s="3" t="s">
        <v>96</v>
      </c>
      <c r="P268" s="3" t="s">
        <v>97</v>
      </c>
      <c r="Q268" s="3" t="s">
        <v>39</v>
      </c>
      <c r="R268" s="3" t="s">
        <v>40</v>
      </c>
      <c r="S268" s="55">
        <v>444482.6</v>
      </c>
      <c r="T268" s="55">
        <v>392699.72989999998</v>
      </c>
      <c r="U268" s="55">
        <v>35757.019999999997</v>
      </c>
      <c r="V268" s="55">
        <v>51782.8701</v>
      </c>
      <c r="W268" s="3">
        <v>88</v>
      </c>
    </row>
    <row r="269" spans="1:23" x14ac:dyDescent="0.35">
      <c r="A269" s="3" t="s">
        <v>574</v>
      </c>
      <c r="B269" s="3" t="s">
        <v>575</v>
      </c>
      <c r="C269" s="3" t="s">
        <v>180</v>
      </c>
      <c r="D269" s="3" t="s">
        <v>175</v>
      </c>
      <c r="E269" s="3" t="s">
        <v>145</v>
      </c>
      <c r="F269" s="3" t="s">
        <v>176</v>
      </c>
      <c r="G269" s="3" t="s">
        <v>177</v>
      </c>
      <c r="H269" s="3" t="s">
        <v>116</v>
      </c>
      <c r="I269" s="3" t="s">
        <v>148</v>
      </c>
      <c r="J269" s="3" t="s">
        <v>149</v>
      </c>
      <c r="K269" s="3" t="s">
        <v>33</v>
      </c>
      <c r="L269" s="3" t="s">
        <v>51</v>
      </c>
      <c r="M269" s="3" t="s">
        <v>178</v>
      </c>
      <c r="N269" s="3" t="s">
        <v>179</v>
      </c>
      <c r="O269" s="3" t="s">
        <v>99</v>
      </c>
      <c r="P269" s="3" t="s">
        <v>100</v>
      </c>
      <c r="Q269" s="3" t="s">
        <v>39</v>
      </c>
      <c r="R269" s="3" t="s">
        <v>40</v>
      </c>
      <c r="S269" s="55">
        <v>133447.4</v>
      </c>
      <c r="T269" s="55">
        <v>118848.3437</v>
      </c>
      <c r="U269" s="55">
        <v>9705.1329000000005</v>
      </c>
      <c r="V269" s="55">
        <v>14599.0563</v>
      </c>
      <c r="W269" s="3">
        <v>89</v>
      </c>
    </row>
    <row r="270" spans="1:23" x14ac:dyDescent="0.35">
      <c r="A270" s="3" t="s">
        <v>574</v>
      </c>
      <c r="B270" s="3" t="s">
        <v>575</v>
      </c>
      <c r="C270" s="3" t="s">
        <v>181</v>
      </c>
      <c r="D270" s="3" t="s">
        <v>175</v>
      </c>
      <c r="E270" s="3" t="s">
        <v>145</v>
      </c>
      <c r="F270" s="3" t="s">
        <v>176</v>
      </c>
      <c r="G270" s="3" t="s">
        <v>177</v>
      </c>
      <c r="H270" s="3" t="s">
        <v>116</v>
      </c>
      <c r="I270" s="3" t="s">
        <v>148</v>
      </c>
      <c r="J270" s="3" t="s">
        <v>149</v>
      </c>
      <c r="K270" s="3" t="s">
        <v>33</v>
      </c>
      <c r="L270" s="3" t="s">
        <v>51</v>
      </c>
      <c r="M270" s="3" t="s">
        <v>178</v>
      </c>
      <c r="N270" s="3" t="s">
        <v>179</v>
      </c>
      <c r="O270" s="3" t="s">
        <v>37</v>
      </c>
      <c r="P270" s="3" t="s">
        <v>38</v>
      </c>
      <c r="Q270" s="3" t="s">
        <v>39</v>
      </c>
      <c r="R270" s="3" t="s">
        <v>40</v>
      </c>
      <c r="S270" s="55">
        <v>139333.1</v>
      </c>
      <c r="T270" s="55">
        <v>89428.888000000006</v>
      </c>
      <c r="U270" s="55">
        <v>24472.9974</v>
      </c>
      <c r="V270" s="55">
        <v>49904.212</v>
      </c>
      <c r="W270" s="3">
        <v>64</v>
      </c>
    </row>
    <row r="271" spans="1:23" x14ac:dyDescent="0.35">
      <c r="A271" s="3" t="s">
        <v>574</v>
      </c>
      <c r="B271" s="3" t="s">
        <v>575</v>
      </c>
      <c r="C271" s="3" t="s">
        <v>182</v>
      </c>
      <c r="D271" s="3" t="s">
        <v>175</v>
      </c>
      <c r="E271" s="3" t="s">
        <v>145</v>
      </c>
      <c r="F271" s="3" t="s">
        <v>176</v>
      </c>
      <c r="G271" s="3" t="s">
        <v>177</v>
      </c>
      <c r="H271" s="3" t="s">
        <v>116</v>
      </c>
      <c r="I271" s="3" t="s">
        <v>148</v>
      </c>
      <c r="J271" s="3" t="s">
        <v>149</v>
      </c>
      <c r="K271" s="3" t="s">
        <v>33</v>
      </c>
      <c r="L271" s="3" t="s">
        <v>51</v>
      </c>
      <c r="M271" s="3" t="s">
        <v>178</v>
      </c>
      <c r="N271" s="3" t="s">
        <v>179</v>
      </c>
      <c r="O271" s="3" t="s">
        <v>42</v>
      </c>
      <c r="P271" s="3" t="s">
        <v>43</v>
      </c>
      <c r="Q271" s="3" t="s">
        <v>39</v>
      </c>
      <c r="R271" s="3" t="s">
        <v>40</v>
      </c>
      <c r="S271" s="55">
        <v>4461.7</v>
      </c>
      <c r="T271" s="55">
        <v>2803.2037</v>
      </c>
      <c r="U271" s="55">
        <v>402.56619999999998</v>
      </c>
      <c r="V271" s="55">
        <v>1658.4963</v>
      </c>
      <c r="W271" s="3">
        <v>63</v>
      </c>
    </row>
    <row r="272" spans="1:23" x14ac:dyDescent="0.35">
      <c r="A272" s="3" t="s">
        <v>574</v>
      </c>
      <c r="B272" s="3" t="s">
        <v>575</v>
      </c>
      <c r="C272" s="3" t="s">
        <v>486</v>
      </c>
      <c r="D272" s="3" t="s">
        <v>175</v>
      </c>
      <c r="E272" s="3" t="s">
        <v>145</v>
      </c>
      <c r="F272" s="3" t="s">
        <v>176</v>
      </c>
      <c r="G272" s="3" t="s">
        <v>177</v>
      </c>
      <c r="H272" s="3" t="s">
        <v>116</v>
      </c>
      <c r="I272" s="3" t="s">
        <v>148</v>
      </c>
      <c r="J272" s="3" t="s">
        <v>149</v>
      </c>
      <c r="K272" s="3" t="s">
        <v>33</v>
      </c>
      <c r="L272" s="3" t="s">
        <v>51</v>
      </c>
      <c r="M272" s="3" t="s">
        <v>178</v>
      </c>
      <c r="N272" s="3" t="s">
        <v>179</v>
      </c>
      <c r="O272" s="3" t="s">
        <v>91</v>
      </c>
      <c r="P272" s="3" t="s">
        <v>92</v>
      </c>
      <c r="Q272" s="3" t="s">
        <v>39</v>
      </c>
      <c r="R272" s="3" t="s">
        <v>40</v>
      </c>
      <c r="S272" s="55">
        <v>287.89999999999998</v>
      </c>
      <c r="T272" s="55">
        <v>283.87540000000001</v>
      </c>
      <c r="U272" s="55">
        <v>3.0026000000000002</v>
      </c>
      <c r="V272" s="55">
        <v>4.0246000000000004</v>
      </c>
      <c r="W272" s="3">
        <v>99</v>
      </c>
    </row>
    <row r="273" spans="1:23" x14ac:dyDescent="0.35">
      <c r="A273" s="3" t="s">
        <v>574</v>
      </c>
      <c r="B273" s="3" t="s">
        <v>575</v>
      </c>
      <c r="C273" s="3" t="s">
        <v>183</v>
      </c>
      <c r="D273" s="3" t="s">
        <v>175</v>
      </c>
      <c r="E273" s="3" t="s">
        <v>145</v>
      </c>
      <c r="F273" s="3" t="s">
        <v>176</v>
      </c>
      <c r="G273" s="3" t="s">
        <v>177</v>
      </c>
      <c r="H273" s="3" t="s">
        <v>116</v>
      </c>
      <c r="I273" s="3" t="s">
        <v>148</v>
      </c>
      <c r="J273" s="3" t="s">
        <v>149</v>
      </c>
      <c r="K273" s="3" t="s">
        <v>33</v>
      </c>
      <c r="L273" s="3" t="s">
        <v>51</v>
      </c>
      <c r="M273" s="3" t="s">
        <v>178</v>
      </c>
      <c r="N273" s="3" t="s">
        <v>179</v>
      </c>
      <c r="O273" s="3" t="s">
        <v>122</v>
      </c>
      <c r="P273" s="3" t="s">
        <v>123</v>
      </c>
      <c r="Q273" s="3" t="s">
        <v>39</v>
      </c>
      <c r="R273" s="3" t="s">
        <v>40</v>
      </c>
      <c r="S273" s="55">
        <v>183.2</v>
      </c>
      <c r="T273" s="55">
        <v>137.387</v>
      </c>
      <c r="U273" s="55">
        <v>0</v>
      </c>
      <c r="V273" s="55">
        <v>45.813000000000002</v>
      </c>
      <c r="W273" s="3">
        <v>75</v>
      </c>
    </row>
    <row r="274" spans="1:23" x14ac:dyDescent="0.35">
      <c r="A274" s="3" t="s">
        <v>574</v>
      </c>
      <c r="B274" s="3" t="s">
        <v>575</v>
      </c>
      <c r="C274" s="3" t="s">
        <v>184</v>
      </c>
      <c r="D274" s="3" t="s">
        <v>175</v>
      </c>
      <c r="E274" s="3" t="s">
        <v>145</v>
      </c>
      <c r="F274" s="3" t="s">
        <v>176</v>
      </c>
      <c r="G274" s="3" t="s">
        <v>177</v>
      </c>
      <c r="H274" s="3" t="s">
        <v>116</v>
      </c>
      <c r="I274" s="3" t="s">
        <v>148</v>
      </c>
      <c r="J274" s="3" t="s">
        <v>149</v>
      </c>
      <c r="K274" s="3" t="s">
        <v>33</v>
      </c>
      <c r="L274" s="3" t="s">
        <v>51</v>
      </c>
      <c r="M274" s="3" t="s">
        <v>178</v>
      </c>
      <c r="N274" s="3" t="s">
        <v>179</v>
      </c>
      <c r="O274" s="3" t="s">
        <v>103</v>
      </c>
      <c r="P274" s="3" t="s">
        <v>104</v>
      </c>
      <c r="Q274" s="3" t="s">
        <v>39</v>
      </c>
      <c r="R274" s="3" t="s">
        <v>40</v>
      </c>
      <c r="S274" s="55">
        <v>675.8</v>
      </c>
      <c r="T274" s="55">
        <v>639.55769999999995</v>
      </c>
      <c r="U274" s="55">
        <v>102</v>
      </c>
      <c r="V274" s="55">
        <v>36.2423</v>
      </c>
      <c r="W274" s="3">
        <v>95</v>
      </c>
    </row>
    <row r="275" spans="1:23" x14ac:dyDescent="0.35">
      <c r="A275" s="3" t="s">
        <v>574</v>
      </c>
      <c r="B275" s="3" t="s">
        <v>575</v>
      </c>
      <c r="C275" s="3" t="s">
        <v>563</v>
      </c>
      <c r="D275" s="3" t="s">
        <v>175</v>
      </c>
      <c r="E275" s="3" t="s">
        <v>145</v>
      </c>
      <c r="F275" s="3" t="s">
        <v>176</v>
      </c>
      <c r="G275" s="3" t="s">
        <v>177</v>
      </c>
      <c r="H275" s="3" t="s">
        <v>116</v>
      </c>
      <c r="I275" s="3" t="s">
        <v>148</v>
      </c>
      <c r="J275" s="3" t="s">
        <v>149</v>
      </c>
      <c r="K275" s="3" t="s">
        <v>33</v>
      </c>
      <c r="L275" s="3" t="s">
        <v>51</v>
      </c>
      <c r="M275" s="3" t="s">
        <v>178</v>
      </c>
      <c r="N275" s="3" t="s">
        <v>179</v>
      </c>
      <c r="O275" s="3" t="s">
        <v>125</v>
      </c>
      <c r="P275" s="3" t="s">
        <v>126</v>
      </c>
      <c r="Q275" s="3" t="s">
        <v>39</v>
      </c>
      <c r="R275" s="3" t="s">
        <v>40</v>
      </c>
      <c r="S275" s="55">
        <v>185</v>
      </c>
      <c r="T275" s="55">
        <v>185</v>
      </c>
      <c r="U275" s="55">
        <v>0</v>
      </c>
      <c r="V275" s="55">
        <v>0</v>
      </c>
      <c r="W275" s="3">
        <v>100</v>
      </c>
    </row>
    <row r="276" spans="1:23" x14ac:dyDescent="0.35">
      <c r="A276" s="3" t="s">
        <v>574</v>
      </c>
      <c r="B276" s="3" t="s">
        <v>575</v>
      </c>
      <c r="C276" s="3" t="s">
        <v>473</v>
      </c>
      <c r="D276" s="3" t="s">
        <v>175</v>
      </c>
      <c r="E276" s="3" t="s">
        <v>145</v>
      </c>
      <c r="F276" s="3" t="s">
        <v>176</v>
      </c>
      <c r="G276" s="3" t="s">
        <v>177</v>
      </c>
      <c r="H276" s="3" t="s">
        <v>116</v>
      </c>
      <c r="I276" s="3" t="s">
        <v>148</v>
      </c>
      <c r="J276" s="3" t="s">
        <v>149</v>
      </c>
      <c r="K276" s="3" t="s">
        <v>33</v>
      </c>
      <c r="L276" s="3" t="s">
        <v>51</v>
      </c>
      <c r="M276" s="3" t="s">
        <v>474</v>
      </c>
      <c r="N276" s="3" t="s">
        <v>475</v>
      </c>
      <c r="O276" s="3" t="s">
        <v>37</v>
      </c>
      <c r="P276" s="3" t="s">
        <v>38</v>
      </c>
      <c r="Q276" s="3" t="s">
        <v>39</v>
      </c>
      <c r="R276" s="3" t="s">
        <v>40</v>
      </c>
      <c r="S276" s="55">
        <v>2879.1</v>
      </c>
      <c r="T276" s="55">
        <v>2570.8843999999999</v>
      </c>
      <c r="U276" s="55">
        <v>0</v>
      </c>
      <c r="V276" s="55">
        <v>308.21559999999999</v>
      </c>
      <c r="W276" s="3">
        <v>89</v>
      </c>
    </row>
    <row r="277" spans="1:23" x14ac:dyDescent="0.35">
      <c r="A277" s="3" t="s">
        <v>574</v>
      </c>
      <c r="B277" s="3" t="s">
        <v>575</v>
      </c>
      <c r="C277" s="3" t="s">
        <v>185</v>
      </c>
      <c r="D277" s="3" t="s">
        <v>186</v>
      </c>
      <c r="E277" s="3" t="s">
        <v>187</v>
      </c>
      <c r="F277" s="3" t="s">
        <v>146</v>
      </c>
      <c r="G277" s="3" t="s">
        <v>188</v>
      </c>
      <c r="H277" s="3" t="s">
        <v>189</v>
      </c>
      <c r="I277" s="3" t="s">
        <v>190</v>
      </c>
      <c r="J277" s="3" t="s">
        <v>191</v>
      </c>
      <c r="K277" s="3" t="s">
        <v>33</v>
      </c>
      <c r="L277" s="3" t="s">
        <v>51</v>
      </c>
      <c r="M277" s="3" t="s">
        <v>192</v>
      </c>
      <c r="N277" s="3" t="s">
        <v>193</v>
      </c>
      <c r="O277" s="3" t="s">
        <v>108</v>
      </c>
      <c r="P277" s="3" t="s">
        <v>109</v>
      </c>
      <c r="Q277" s="3" t="s">
        <v>39</v>
      </c>
      <c r="R277" s="3" t="s">
        <v>40</v>
      </c>
      <c r="S277" s="55">
        <v>4991267.4000000004</v>
      </c>
      <c r="T277" s="55">
        <v>4377486.2565000001</v>
      </c>
      <c r="U277" s="55">
        <v>485956.38569999998</v>
      </c>
      <c r="V277" s="55">
        <v>613781.14350000001</v>
      </c>
      <c r="W277" s="3">
        <v>88</v>
      </c>
    </row>
    <row r="278" spans="1:23" x14ac:dyDescent="0.35">
      <c r="A278" s="3" t="s">
        <v>574</v>
      </c>
      <c r="B278" s="3" t="s">
        <v>575</v>
      </c>
      <c r="C278" s="3" t="s">
        <v>508</v>
      </c>
      <c r="D278" s="3" t="s">
        <v>186</v>
      </c>
      <c r="E278" s="3" t="s">
        <v>187</v>
      </c>
      <c r="F278" s="3" t="s">
        <v>146</v>
      </c>
      <c r="G278" s="3" t="s">
        <v>188</v>
      </c>
      <c r="H278" s="3" t="s">
        <v>189</v>
      </c>
      <c r="I278" s="3" t="s">
        <v>190</v>
      </c>
      <c r="J278" s="3" t="s">
        <v>191</v>
      </c>
      <c r="K278" s="3" t="s">
        <v>33</v>
      </c>
      <c r="L278" s="3" t="s">
        <v>51</v>
      </c>
      <c r="M278" s="3" t="s">
        <v>227</v>
      </c>
      <c r="N278" s="3" t="s">
        <v>228</v>
      </c>
      <c r="O278" s="3" t="s">
        <v>197</v>
      </c>
      <c r="P278" s="3" t="s">
        <v>198</v>
      </c>
      <c r="Q278" s="3" t="s">
        <v>39</v>
      </c>
      <c r="R278" s="3" t="s">
        <v>40</v>
      </c>
      <c r="S278" s="55">
        <v>29473.1</v>
      </c>
      <c r="T278" s="55">
        <v>8176.0011999999997</v>
      </c>
      <c r="U278" s="55">
        <v>0</v>
      </c>
      <c r="V278" s="55">
        <v>21297.0988</v>
      </c>
      <c r="W278" s="3">
        <v>28</v>
      </c>
    </row>
    <row r="279" spans="1:23" x14ac:dyDescent="0.35">
      <c r="A279" s="3" t="s">
        <v>574</v>
      </c>
      <c r="B279" s="3" t="s">
        <v>575</v>
      </c>
      <c r="C279" s="3" t="s">
        <v>194</v>
      </c>
      <c r="D279" s="3" t="s">
        <v>186</v>
      </c>
      <c r="E279" s="3" t="s">
        <v>187</v>
      </c>
      <c r="F279" s="3" t="s">
        <v>146</v>
      </c>
      <c r="G279" s="3" t="s">
        <v>188</v>
      </c>
      <c r="H279" s="3" t="s">
        <v>189</v>
      </c>
      <c r="I279" s="3" t="s">
        <v>190</v>
      </c>
      <c r="J279" s="3" t="s">
        <v>191</v>
      </c>
      <c r="K279" s="3" t="s">
        <v>33</v>
      </c>
      <c r="L279" s="3" t="s">
        <v>51</v>
      </c>
      <c r="M279" s="3" t="s">
        <v>195</v>
      </c>
      <c r="N279" s="3" t="s">
        <v>509</v>
      </c>
      <c r="O279" s="3" t="s">
        <v>197</v>
      </c>
      <c r="P279" s="3" t="s">
        <v>198</v>
      </c>
      <c r="Q279" s="3" t="s">
        <v>39</v>
      </c>
      <c r="R279" s="3" t="s">
        <v>40</v>
      </c>
      <c r="S279" s="55">
        <v>32937.4</v>
      </c>
      <c r="T279" s="55">
        <v>31841.935000000001</v>
      </c>
      <c r="U279" s="55">
        <v>704.23310000000004</v>
      </c>
      <c r="V279" s="55">
        <v>1095.4649999999999</v>
      </c>
      <c r="W279" s="3">
        <v>97</v>
      </c>
    </row>
    <row r="280" spans="1:23" x14ac:dyDescent="0.35">
      <c r="A280" s="3" t="s">
        <v>574</v>
      </c>
      <c r="B280" s="3" t="s">
        <v>575</v>
      </c>
      <c r="C280" s="3" t="s">
        <v>510</v>
      </c>
      <c r="D280" s="3" t="s">
        <v>200</v>
      </c>
      <c r="E280" s="3" t="s">
        <v>187</v>
      </c>
      <c r="F280" s="3" t="s">
        <v>189</v>
      </c>
      <c r="G280" s="3" t="s">
        <v>201</v>
      </c>
      <c r="H280" s="3" t="s">
        <v>189</v>
      </c>
      <c r="I280" s="3" t="s">
        <v>190</v>
      </c>
      <c r="J280" s="3" t="s">
        <v>202</v>
      </c>
      <c r="K280" s="3" t="s">
        <v>23</v>
      </c>
      <c r="L280" s="3" t="s">
        <v>203</v>
      </c>
      <c r="M280" s="3" t="s">
        <v>511</v>
      </c>
      <c r="N280" s="3" t="s">
        <v>205</v>
      </c>
      <c r="O280" s="3" t="s">
        <v>197</v>
      </c>
      <c r="P280" s="3" t="s">
        <v>198</v>
      </c>
      <c r="Q280" s="3" t="s">
        <v>39</v>
      </c>
      <c r="R280" s="3" t="s">
        <v>40</v>
      </c>
      <c r="S280" s="55">
        <v>21148</v>
      </c>
      <c r="T280" s="55">
        <v>19385.301800000001</v>
      </c>
      <c r="U280" s="55">
        <v>1762.2418</v>
      </c>
      <c r="V280" s="55">
        <v>1762.6982</v>
      </c>
      <c r="W280" s="3">
        <v>92</v>
      </c>
    </row>
    <row r="281" spans="1:23" x14ac:dyDescent="0.35">
      <c r="A281" s="3" t="s">
        <v>574</v>
      </c>
      <c r="B281" s="3" t="s">
        <v>575</v>
      </c>
      <c r="C281" s="3" t="s">
        <v>512</v>
      </c>
      <c r="D281" s="3" t="s">
        <v>200</v>
      </c>
      <c r="E281" s="3" t="s">
        <v>187</v>
      </c>
      <c r="F281" s="3" t="s">
        <v>189</v>
      </c>
      <c r="G281" s="3" t="s">
        <v>201</v>
      </c>
      <c r="H281" s="3" t="s">
        <v>189</v>
      </c>
      <c r="I281" s="3" t="s">
        <v>190</v>
      </c>
      <c r="J281" s="3" t="s">
        <v>202</v>
      </c>
      <c r="K281" s="3" t="s">
        <v>23</v>
      </c>
      <c r="L281" s="3" t="s">
        <v>203</v>
      </c>
      <c r="M281" s="3" t="s">
        <v>513</v>
      </c>
      <c r="N281" s="3" t="s">
        <v>514</v>
      </c>
      <c r="O281" s="3" t="s">
        <v>197</v>
      </c>
      <c r="P281" s="3" t="s">
        <v>198</v>
      </c>
      <c r="Q281" s="3" t="s">
        <v>39</v>
      </c>
      <c r="R281" s="3" t="s">
        <v>40</v>
      </c>
      <c r="S281" s="55">
        <v>1977.2</v>
      </c>
      <c r="T281" s="55">
        <v>1975.2195999999999</v>
      </c>
      <c r="U281" s="55">
        <v>0</v>
      </c>
      <c r="V281" s="55">
        <v>1.9803999999999999</v>
      </c>
      <c r="W281" s="3">
        <v>100</v>
      </c>
    </row>
    <row r="282" spans="1:23" x14ac:dyDescent="0.35">
      <c r="A282" s="3" t="s">
        <v>574</v>
      </c>
      <c r="B282" s="3" t="s">
        <v>575</v>
      </c>
      <c r="C282" s="3" t="s">
        <v>209</v>
      </c>
      <c r="D282" s="3" t="s">
        <v>200</v>
      </c>
      <c r="E282" s="3" t="s">
        <v>187</v>
      </c>
      <c r="F282" s="3" t="s">
        <v>189</v>
      </c>
      <c r="G282" s="3" t="s">
        <v>201</v>
      </c>
      <c r="H282" s="3" t="s">
        <v>189</v>
      </c>
      <c r="I282" s="3" t="s">
        <v>190</v>
      </c>
      <c r="J282" s="3" t="s">
        <v>191</v>
      </c>
      <c r="K282" s="3" t="s">
        <v>33</v>
      </c>
      <c r="L282" s="3" t="s">
        <v>51</v>
      </c>
      <c r="M282" s="3" t="s">
        <v>210</v>
      </c>
      <c r="N282" s="3" t="s">
        <v>211</v>
      </c>
      <c r="O282" s="3" t="s">
        <v>108</v>
      </c>
      <c r="P282" s="3" t="s">
        <v>109</v>
      </c>
      <c r="Q282" s="3" t="s">
        <v>39</v>
      </c>
      <c r="R282" s="3" t="s">
        <v>40</v>
      </c>
      <c r="S282" s="55">
        <v>4862478.5</v>
      </c>
      <c r="T282" s="55">
        <v>4286814.5844999999</v>
      </c>
      <c r="U282" s="55">
        <v>419842.67869999999</v>
      </c>
      <c r="V282" s="55">
        <v>575663.9155</v>
      </c>
      <c r="W282" s="3">
        <v>88</v>
      </c>
    </row>
    <row r="283" spans="1:23" x14ac:dyDescent="0.35">
      <c r="A283" s="3" t="s">
        <v>574</v>
      </c>
      <c r="B283" s="3" t="s">
        <v>575</v>
      </c>
      <c r="C283" s="3" t="s">
        <v>212</v>
      </c>
      <c r="D283" s="3" t="s">
        <v>200</v>
      </c>
      <c r="E283" s="3" t="s">
        <v>187</v>
      </c>
      <c r="F283" s="3" t="s">
        <v>189</v>
      </c>
      <c r="G283" s="3" t="s">
        <v>201</v>
      </c>
      <c r="H283" s="3" t="s">
        <v>189</v>
      </c>
      <c r="I283" s="3" t="s">
        <v>190</v>
      </c>
      <c r="J283" s="3" t="s">
        <v>191</v>
      </c>
      <c r="K283" s="3" t="s">
        <v>33</v>
      </c>
      <c r="L283" s="3" t="s">
        <v>51</v>
      </c>
      <c r="M283" s="3" t="s">
        <v>213</v>
      </c>
      <c r="N283" s="3" t="s">
        <v>214</v>
      </c>
      <c r="O283" s="3" t="s">
        <v>108</v>
      </c>
      <c r="P283" s="3" t="s">
        <v>109</v>
      </c>
      <c r="Q283" s="3" t="s">
        <v>39</v>
      </c>
      <c r="R283" s="3" t="s">
        <v>40</v>
      </c>
      <c r="S283" s="55">
        <v>168924.79999999999</v>
      </c>
      <c r="T283" s="55">
        <v>134420.11139999999</v>
      </c>
      <c r="U283" s="55">
        <v>15936.559499999999</v>
      </c>
      <c r="V283" s="55">
        <v>34504.688600000001</v>
      </c>
      <c r="W283" s="3">
        <v>80</v>
      </c>
    </row>
    <row r="284" spans="1:23" x14ac:dyDescent="0.35">
      <c r="A284" s="3" t="s">
        <v>574</v>
      </c>
      <c r="B284" s="3" t="s">
        <v>575</v>
      </c>
      <c r="C284" s="3" t="s">
        <v>215</v>
      </c>
      <c r="D284" s="3" t="s">
        <v>200</v>
      </c>
      <c r="E284" s="3" t="s">
        <v>187</v>
      </c>
      <c r="F284" s="3" t="s">
        <v>189</v>
      </c>
      <c r="G284" s="3" t="s">
        <v>201</v>
      </c>
      <c r="H284" s="3" t="s">
        <v>189</v>
      </c>
      <c r="I284" s="3" t="s">
        <v>190</v>
      </c>
      <c r="J284" s="3" t="s">
        <v>191</v>
      </c>
      <c r="K284" s="3" t="s">
        <v>33</v>
      </c>
      <c r="L284" s="3" t="s">
        <v>51</v>
      </c>
      <c r="M284" s="3" t="s">
        <v>216</v>
      </c>
      <c r="N284" s="3" t="s">
        <v>217</v>
      </c>
      <c r="O284" s="3" t="s">
        <v>108</v>
      </c>
      <c r="P284" s="3" t="s">
        <v>109</v>
      </c>
      <c r="Q284" s="3" t="s">
        <v>39</v>
      </c>
      <c r="R284" s="3" t="s">
        <v>40</v>
      </c>
      <c r="S284" s="55">
        <v>82110.3</v>
      </c>
      <c r="T284" s="55">
        <v>71005.143700000001</v>
      </c>
      <c r="U284" s="55">
        <v>6600.5156999999999</v>
      </c>
      <c r="V284" s="55">
        <v>11105.156300000001</v>
      </c>
      <c r="W284" s="3">
        <v>86</v>
      </c>
    </row>
    <row r="285" spans="1:23" x14ac:dyDescent="0.35">
      <c r="A285" s="3" t="s">
        <v>574</v>
      </c>
      <c r="B285" s="3" t="s">
        <v>575</v>
      </c>
      <c r="C285" s="3" t="s">
        <v>476</v>
      </c>
      <c r="D285" s="3" t="s">
        <v>200</v>
      </c>
      <c r="E285" s="3" t="s">
        <v>187</v>
      </c>
      <c r="F285" s="3" t="s">
        <v>189</v>
      </c>
      <c r="G285" s="3" t="s">
        <v>201</v>
      </c>
      <c r="H285" s="3" t="s">
        <v>189</v>
      </c>
      <c r="I285" s="3" t="s">
        <v>190</v>
      </c>
      <c r="J285" s="3" t="s">
        <v>191</v>
      </c>
      <c r="K285" s="3" t="s">
        <v>33</v>
      </c>
      <c r="L285" s="3" t="s">
        <v>51</v>
      </c>
      <c r="M285" s="3" t="s">
        <v>219</v>
      </c>
      <c r="N285" s="3" t="s">
        <v>220</v>
      </c>
      <c r="O285" s="3" t="s">
        <v>477</v>
      </c>
      <c r="P285" s="3" t="s">
        <v>478</v>
      </c>
      <c r="Q285" s="3" t="s">
        <v>39</v>
      </c>
      <c r="R285" s="3" t="s">
        <v>40</v>
      </c>
      <c r="S285" s="55">
        <v>1102.9000000000001</v>
      </c>
      <c r="T285" s="55">
        <v>827.17499999999995</v>
      </c>
      <c r="U285" s="55">
        <v>0</v>
      </c>
      <c r="V285" s="55">
        <v>275.72500000000002</v>
      </c>
      <c r="W285" s="3">
        <v>75</v>
      </c>
    </row>
    <row r="286" spans="1:23" x14ac:dyDescent="0.35">
      <c r="A286" s="3" t="s">
        <v>574</v>
      </c>
      <c r="B286" s="3" t="s">
        <v>575</v>
      </c>
      <c r="C286" s="3" t="s">
        <v>223</v>
      </c>
      <c r="D286" s="3" t="s">
        <v>200</v>
      </c>
      <c r="E286" s="3" t="s">
        <v>187</v>
      </c>
      <c r="F286" s="3" t="s">
        <v>189</v>
      </c>
      <c r="G286" s="3" t="s">
        <v>201</v>
      </c>
      <c r="H286" s="3" t="s">
        <v>189</v>
      </c>
      <c r="I286" s="3" t="s">
        <v>190</v>
      </c>
      <c r="J286" s="3" t="s">
        <v>191</v>
      </c>
      <c r="K286" s="3" t="s">
        <v>33</v>
      </c>
      <c r="L286" s="3" t="s">
        <v>51</v>
      </c>
      <c r="M286" s="3" t="s">
        <v>224</v>
      </c>
      <c r="N286" s="3" t="s">
        <v>564</v>
      </c>
      <c r="O286" s="3" t="s">
        <v>197</v>
      </c>
      <c r="P286" s="3" t="s">
        <v>198</v>
      </c>
      <c r="Q286" s="3" t="s">
        <v>39</v>
      </c>
      <c r="R286" s="3" t="s">
        <v>40</v>
      </c>
      <c r="S286" s="55">
        <v>107676.4</v>
      </c>
      <c r="T286" s="55">
        <v>107560.6026</v>
      </c>
      <c r="U286" s="55">
        <v>2274.7125999999998</v>
      </c>
      <c r="V286" s="55">
        <v>115.7974</v>
      </c>
      <c r="W286" s="3">
        <v>100</v>
      </c>
    </row>
    <row r="287" spans="1:23" x14ac:dyDescent="0.35">
      <c r="A287" s="3" t="s">
        <v>574</v>
      </c>
      <c r="B287" s="3" t="s">
        <v>575</v>
      </c>
      <c r="C287" s="3" t="s">
        <v>432</v>
      </c>
      <c r="D287" s="3" t="s">
        <v>200</v>
      </c>
      <c r="E287" s="3" t="s">
        <v>187</v>
      </c>
      <c r="F287" s="3" t="s">
        <v>189</v>
      </c>
      <c r="G287" s="3" t="s">
        <v>201</v>
      </c>
      <c r="H287" s="3" t="s">
        <v>189</v>
      </c>
      <c r="I287" s="3" t="s">
        <v>190</v>
      </c>
      <c r="J287" s="3" t="s">
        <v>191</v>
      </c>
      <c r="K287" s="3" t="s">
        <v>33</v>
      </c>
      <c r="L287" s="3" t="s">
        <v>51</v>
      </c>
      <c r="M287" s="3" t="s">
        <v>427</v>
      </c>
      <c r="N287" s="3" t="s">
        <v>565</v>
      </c>
      <c r="O287" s="3" t="s">
        <v>197</v>
      </c>
      <c r="P287" s="3" t="s">
        <v>198</v>
      </c>
      <c r="Q287" s="3" t="s">
        <v>39</v>
      </c>
      <c r="R287" s="3" t="s">
        <v>40</v>
      </c>
      <c r="S287" s="55">
        <v>20000</v>
      </c>
      <c r="T287" s="55">
        <v>19938.434000000001</v>
      </c>
      <c r="U287" s="55">
        <v>0</v>
      </c>
      <c r="V287" s="55">
        <v>61.566000000000003</v>
      </c>
      <c r="W287" s="3">
        <v>100</v>
      </c>
    </row>
    <row r="288" spans="1:23" x14ac:dyDescent="0.35">
      <c r="A288" s="3" t="s">
        <v>574</v>
      </c>
      <c r="B288" s="3" t="s">
        <v>575</v>
      </c>
      <c r="C288" s="3" t="s">
        <v>226</v>
      </c>
      <c r="D288" s="3" t="s">
        <v>200</v>
      </c>
      <c r="E288" s="3" t="s">
        <v>187</v>
      </c>
      <c r="F288" s="3" t="s">
        <v>189</v>
      </c>
      <c r="G288" s="3" t="s">
        <v>201</v>
      </c>
      <c r="H288" s="3" t="s">
        <v>189</v>
      </c>
      <c r="I288" s="3" t="s">
        <v>190</v>
      </c>
      <c r="J288" s="3" t="s">
        <v>191</v>
      </c>
      <c r="K288" s="3" t="s">
        <v>33</v>
      </c>
      <c r="L288" s="3" t="s">
        <v>51</v>
      </c>
      <c r="M288" s="3" t="s">
        <v>227</v>
      </c>
      <c r="N288" s="3" t="s">
        <v>228</v>
      </c>
      <c r="O288" s="3" t="s">
        <v>197</v>
      </c>
      <c r="P288" s="3" t="s">
        <v>198</v>
      </c>
      <c r="Q288" s="3" t="s">
        <v>39</v>
      </c>
      <c r="R288" s="3" t="s">
        <v>40</v>
      </c>
      <c r="S288" s="55">
        <v>127820.2</v>
      </c>
      <c r="T288" s="55">
        <v>37059.092799999999</v>
      </c>
      <c r="U288" s="55">
        <v>8146.9237999999996</v>
      </c>
      <c r="V288" s="55">
        <v>90761.107199999999</v>
      </c>
      <c r="W288" s="3">
        <v>29</v>
      </c>
    </row>
    <row r="289" spans="1:23" x14ac:dyDescent="0.35">
      <c r="A289" s="3" t="s">
        <v>574</v>
      </c>
      <c r="B289" s="3" t="s">
        <v>575</v>
      </c>
      <c r="C289" s="3" t="s">
        <v>229</v>
      </c>
      <c r="D289" s="3" t="s">
        <v>200</v>
      </c>
      <c r="E289" s="3" t="s">
        <v>187</v>
      </c>
      <c r="F289" s="3" t="s">
        <v>189</v>
      </c>
      <c r="G289" s="3" t="s">
        <v>201</v>
      </c>
      <c r="H289" s="3" t="s">
        <v>189</v>
      </c>
      <c r="I289" s="3" t="s">
        <v>190</v>
      </c>
      <c r="J289" s="3" t="s">
        <v>191</v>
      </c>
      <c r="K289" s="3" t="s">
        <v>33</v>
      </c>
      <c r="L289" s="3" t="s">
        <v>51</v>
      </c>
      <c r="M289" s="3" t="s">
        <v>195</v>
      </c>
      <c r="N289" s="3" t="s">
        <v>509</v>
      </c>
      <c r="O289" s="3" t="s">
        <v>197</v>
      </c>
      <c r="P289" s="3" t="s">
        <v>198</v>
      </c>
      <c r="Q289" s="3" t="s">
        <v>39</v>
      </c>
      <c r="R289" s="3" t="s">
        <v>40</v>
      </c>
      <c r="S289" s="55">
        <v>25956.9</v>
      </c>
      <c r="T289" s="55">
        <v>23231.191200000001</v>
      </c>
      <c r="U289" s="55">
        <v>2056.3924000000002</v>
      </c>
      <c r="V289" s="55">
        <v>2725.7087999999999</v>
      </c>
      <c r="W289" s="3">
        <v>89</v>
      </c>
    </row>
    <row r="290" spans="1:23" x14ac:dyDescent="0.35">
      <c r="A290" s="3" t="s">
        <v>574</v>
      </c>
      <c r="B290" s="3" t="s">
        <v>575</v>
      </c>
      <c r="C290" s="3" t="s">
        <v>433</v>
      </c>
      <c r="D290" s="3" t="s">
        <v>200</v>
      </c>
      <c r="E290" s="3" t="s">
        <v>187</v>
      </c>
      <c r="F290" s="3" t="s">
        <v>189</v>
      </c>
      <c r="G290" s="3" t="s">
        <v>201</v>
      </c>
      <c r="H290" s="3" t="s">
        <v>189</v>
      </c>
      <c r="I290" s="3" t="s">
        <v>190</v>
      </c>
      <c r="J290" s="3" t="s">
        <v>191</v>
      </c>
      <c r="K290" s="3" t="s">
        <v>33</v>
      </c>
      <c r="L290" s="3" t="s">
        <v>51</v>
      </c>
      <c r="M290" s="3" t="s">
        <v>434</v>
      </c>
      <c r="N290" s="3" t="s">
        <v>435</v>
      </c>
      <c r="O290" s="3" t="s">
        <v>197</v>
      </c>
      <c r="P290" s="3" t="s">
        <v>198</v>
      </c>
      <c r="Q290" s="3" t="s">
        <v>39</v>
      </c>
      <c r="R290" s="3" t="s">
        <v>40</v>
      </c>
      <c r="S290" s="55">
        <v>2923.6</v>
      </c>
      <c r="T290" s="55">
        <v>2729.7936</v>
      </c>
      <c r="U290" s="55">
        <v>190.47</v>
      </c>
      <c r="V290" s="55">
        <v>193.8064</v>
      </c>
      <c r="W290" s="3">
        <v>93</v>
      </c>
    </row>
    <row r="291" spans="1:23" x14ac:dyDescent="0.35">
      <c r="A291" s="3" t="s">
        <v>574</v>
      </c>
      <c r="B291" s="3" t="s">
        <v>575</v>
      </c>
      <c r="C291" s="3" t="s">
        <v>518</v>
      </c>
      <c r="D291" s="3" t="s">
        <v>200</v>
      </c>
      <c r="E291" s="3" t="s">
        <v>187</v>
      </c>
      <c r="F291" s="3" t="s">
        <v>189</v>
      </c>
      <c r="G291" s="3" t="s">
        <v>201</v>
      </c>
      <c r="H291" s="3" t="s">
        <v>189</v>
      </c>
      <c r="I291" s="3" t="s">
        <v>190</v>
      </c>
      <c r="J291" s="3" t="s">
        <v>191</v>
      </c>
      <c r="K291" s="3" t="s">
        <v>33</v>
      </c>
      <c r="L291" s="3" t="s">
        <v>51</v>
      </c>
      <c r="M291" s="3" t="s">
        <v>519</v>
      </c>
      <c r="N291" s="3" t="s">
        <v>208</v>
      </c>
      <c r="O291" s="3" t="s">
        <v>197</v>
      </c>
      <c r="P291" s="3" t="s">
        <v>198</v>
      </c>
      <c r="Q291" s="3" t="s">
        <v>39</v>
      </c>
      <c r="R291" s="3" t="s">
        <v>40</v>
      </c>
      <c r="S291" s="55">
        <v>104515.5</v>
      </c>
      <c r="T291" s="55">
        <v>101057.09</v>
      </c>
      <c r="U291" s="55">
        <v>10020.32</v>
      </c>
      <c r="V291" s="55">
        <v>3458.41</v>
      </c>
      <c r="W291" s="3">
        <v>97</v>
      </c>
    </row>
    <row r="292" spans="1:23" x14ac:dyDescent="0.35">
      <c r="A292" s="3" t="s">
        <v>574</v>
      </c>
      <c r="B292" s="3" t="s">
        <v>575</v>
      </c>
      <c r="C292" s="3" t="s">
        <v>230</v>
      </c>
      <c r="D292" s="3" t="s">
        <v>200</v>
      </c>
      <c r="E292" s="3" t="s">
        <v>187</v>
      </c>
      <c r="F292" s="3" t="s">
        <v>189</v>
      </c>
      <c r="G292" s="3" t="s">
        <v>201</v>
      </c>
      <c r="H292" s="3" t="s">
        <v>28</v>
      </c>
      <c r="I292" s="3" t="s">
        <v>231</v>
      </c>
      <c r="J292" s="3" t="s">
        <v>232</v>
      </c>
      <c r="K292" s="3" t="s">
        <v>33</v>
      </c>
      <c r="L292" s="3" t="s">
        <v>51</v>
      </c>
      <c r="M292" s="3" t="s">
        <v>233</v>
      </c>
      <c r="N292" s="3" t="s">
        <v>234</v>
      </c>
      <c r="O292" s="3" t="s">
        <v>197</v>
      </c>
      <c r="P292" s="3" t="s">
        <v>198</v>
      </c>
      <c r="Q292" s="3" t="s">
        <v>39</v>
      </c>
      <c r="R292" s="3" t="s">
        <v>40</v>
      </c>
      <c r="S292" s="55">
        <v>261384</v>
      </c>
      <c r="T292" s="55">
        <v>233674.66159999999</v>
      </c>
      <c r="U292" s="55">
        <v>28851.887599999998</v>
      </c>
      <c r="V292" s="55">
        <v>27709.338400000001</v>
      </c>
      <c r="W292" s="3">
        <v>89</v>
      </c>
    </row>
    <row r="293" spans="1:23" x14ac:dyDescent="0.35">
      <c r="A293" s="3" t="s">
        <v>574</v>
      </c>
      <c r="B293" s="3" t="s">
        <v>575</v>
      </c>
      <c r="C293" s="3" t="s">
        <v>235</v>
      </c>
      <c r="D293" s="3" t="s">
        <v>200</v>
      </c>
      <c r="E293" s="3" t="s">
        <v>187</v>
      </c>
      <c r="F293" s="3" t="s">
        <v>189</v>
      </c>
      <c r="G293" s="3" t="s">
        <v>201</v>
      </c>
      <c r="H293" s="3" t="s">
        <v>28</v>
      </c>
      <c r="I293" s="3" t="s">
        <v>231</v>
      </c>
      <c r="J293" s="3" t="s">
        <v>232</v>
      </c>
      <c r="K293" s="3" t="s">
        <v>33</v>
      </c>
      <c r="L293" s="3" t="s">
        <v>51</v>
      </c>
      <c r="M293" s="3" t="s">
        <v>236</v>
      </c>
      <c r="N293" s="3" t="s">
        <v>237</v>
      </c>
      <c r="O293" s="3" t="s">
        <v>197</v>
      </c>
      <c r="P293" s="3" t="s">
        <v>198</v>
      </c>
      <c r="Q293" s="3" t="s">
        <v>39</v>
      </c>
      <c r="R293" s="3" t="s">
        <v>40</v>
      </c>
      <c r="S293" s="55">
        <v>138374.70000000001</v>
      </c>
      <c r="T293" s="55">
        <v>135109.2726</v>
      </c>
      <c r="U293" s="55">
        <v>8246.1924999999992</v>
      </c>
      <c r="V293" s="55">
        <v>3265.4274</v>
      </c>
      <c r="W293" s="3">
        <v>98</v>
      </c>
    </row>
    <row r="294" spans="1:23" x14ac:dyDescent="0.35">
      <c r="A294" s="3" t="s">
        <v>574</v>
      </c>
      <c r="B294" s="3" t="s">
        <v>575</v>
      </c>
      <c r="C294" s="3" t="s">
        <v>238</v>
      </c>
      <c r="D294" s="3" t="s">
        <v>239</v>
      </c>
      <c r="E294" s="3" t="s">
        <v>187</v>
      </c>
      <c r="F294" s="3" t="s">
        <v>28</v>
      </c>
      <c r="G294" s="3" t="s">
        <v>240</v>
      </c>
      <c r="H294" s="3" t="s">
        <v>189</v>
      </c>
      <c r="I294" s="3" t="s">
        <v>190</v>
      </c>
      <c r="J294" s="3" t="s">
        <v>191</v>
      </c>
      <c r="K294" s="3" t="s">
        <v>33</v>
      </c>
      <c r="L294" s="3" t="s">
        <v>51</v>
      </c>
      <c r="M294" s="3" t="s">
        <v>241</v>
      </c>
      <c r="N294" s="3" t="s">
        <v>242</v>
      </c>
      <c r="O294" s="3" t="s">
        <v>108</v>
      </c>
      <c r="P294" s="3" t="s">
        <v>109</v>
      </c>
      <c r="Q294" s="3" t="s">
        <v>39</v>
      </c>
      <c r="R294" s="3" t="s">
        <v>40</v>
      </c>
      <c r="S294" s="55">
        <v>253686.6</v>
      </c>
      <c r="T294" s="55">
        <v>237740.87349999999</v>
      </c>
      <c r="U294" s="55">
        <v>19556.328099999999</v>
      </c>
      <c r="V294" s="55">
        <v>15945.726500000001</v>
      </c>
      <c r="W294" s="3">
        <v>94</v>
      </c>
    </row>
    <row r="295" spans="1:23" x14ac:dyDescent="0.35">
      <c r="A295" s="3" t="s">
        <v>574</v>
      </c>
      <c r="B295" s="3" t="s">
        <v>575</v>
      </c>
      <c r="C295" s="3" t="s">
        <v>520</v>
      </c>
      <c r="D295" s="3" t="s">
        <v>239</v>
      </c>
      <c r="E295" s="3" t="s">
        <v>187</v>
      </c>
      <c r="F295" s="3" t="s">
        <v>28</v>
      </c>
      <c r="G295" s="3" t="s">
        <v>240</v>
      </c>
      <c r="H295" s="3" t="s">
        <v>189</v>
      </c>
      <c r="I295" s="3" t="s">
        <v>190</v>
      </c>
      <c r="J295" s="3" t="s">
        <v>191</v>
      </c>
      <c r="K295" s="3" t="s">
        <v>33</v>
      </c>
      <c r="L295" s="3" t="s">
        <v>51</v>
      </c>
      <c r="M295" s="3" t="s">
        <v>521</v>
      </c>
      <c r="N295" s="3" t="s">
        <v>522</v>
      </c>
      <c r="O295" s="3" t="s">
        <v>523</v>
      </c>
      <c r="P295" s="3" t="s">
        <v>524</v>
      </c>
      <c r="Q295" s="3" t="s">
        <v>39</v>
      </c>
      <c r="R295" s="3" t="s">
        <v>40</v>
      </c>
      <c r="S295" s="55">
        <v>100</v>
      </c>
      <c r="T295" s="55">
        <v>0</v>
      </c>
      <c r="U295" s="55">
        <v>0</v>
      </c>
      <c r="V295" s="55">
        <v>100</v>
      </c>
      <c r="W295" s="3">
        <v>0</v>
      </c>
    </row>
    <row r="296" spans="1:23" x14ac:dyDescent="0.35">
      <c r="A296" s="3" t="s">
        <v>574</v>
      </c>
      <c r="B296" s="3" t="s">
        <v>575</v>
      </c>
      <c r="C296" s="3" t="s">
        <v>525</v>
      </c>
      <c r="D296" s="3" t="s">
        <v>526</v>
      </c>
      <c r="E296" s="3" t="s">
        <v>187</v>
      </c>
      <c r="F296" s="3" t="s">
        <v>176</v>
      </c>
      <c r="G296" s="3" t="s">
        <v>527</v>
      </c>
      <c r="H296" s="3" t="s">
        <v>189</v>
      </c>
      <c r="I296" s="3" t="s">
        <v>190</v>
      </c>
      <c r="J296" s="3" t="s">
        <v>191</v>
      </c>
      <c r="K296" s="3" t="s">
        <v>33</v>
      </c>
      <c r="L296" s="3" t="s">
        <v>51</v>
      </c>
      <c r="M296" s="3" t="s">
        <v>528</v>
      </c>
      <c r="N296" s="3" t="s">
        <v>529</v>
      </c>
      <c r="O296" s="3" t="s">
        <v>197</v>
      </c>
      <c r="P296" s="3" t="s">
        <v>198</v>
      </c>
      <c r="Q296" s="3" t="s">
        <v>39</v>
      </c>
      <c r="R296" s="3" t="s">
        <v>40</v>
      </c>
      <c r="S296" s="55">
        <v>1003.3</v>
      </c>
      <c r="T296" s="55">
        <v>878.7672</v>
      </c>
      <c r="U296" s="55">
        <v>228.55690000000001</v>
      </c>
      <c r="V296" s="55">
        <v>124.53279999999999</v>
      </c>
      <c r="W296" s="3">
        <v>88</v>
      </c>
    </row>
    <row r="297" spans="1:23" x14ac:dyDescent="0.35">
      <c r="A297" s="3" t="s">
        <v>574</v>
      </c>
      <c r="B297" s="3" t="s">
        <v>575</v>
      </c>
      <c r="C297" s="3" t="s">
        <v>243</v>
      </c>
      <c r="D297" s="3" t="s">
        <v>244</v>
      </c>
      <c r="E297" s="3" t="s">
        <v>187</v>
      </c>
      <c r="F297" s="3" t="s">
        <v>245</v>
      </c>
      <c r="G297" s="3" t="s">
        <v>246</v>
      </c>
      <c r="H297" s="3" t="s">
        <v>66</v>
      </c>
      <c r="I297" s="3" t="s">
        <v>67</v>
      </c>
      <c r="J297" s="3" t="s">
        <v>68</v>
      </c>
      <c r="K297" s="3" t="s">
        <v>33</v>
      </c>
      <c r="L297" s="3" t="s">
        <v>51</v>
      </c>
      <c r="M297" s="3" t="s">
        <v>247</v>
      </c>
      <c r="N297" s="3" t="s">
        <v>248</v>
      </c>
      <c r="O297" s="3" t="s">
        <v>108</v>
      </c>
      <c r="P297" s="3" t="s">
        <v>109</v>
      </c>
      <c r="Q297" s="3" t="s">
        <v>39</v>
      </c>
      <c r="R297" s="3" t="s">
        <v>40</v>
      </c>
      <c r="S297" s="55">
        <v>224582.9</v>
      </c>
      <c r="T297" s="55">
        <v>175431.8254</v>
      </c>
      <c r="U297" s="55">
        <v>20817.124299999999</v>
      </c>
      <c r="V297" s="55">
        <v>49151.0746</v>
      </c>
      <c r="W297" s="3">
        <v>78</v>
      </c>
    </row>
    <row r="298" spans="1:23" x14ac:dyDescent="0.35">
      <c r="A298" s="3" t="s">
        <v>574</v>
      </c>
      <c r="B298" s="3" t="s">
        <v>575</v>
      </c>
      <c r="C298" s="3" t="s">
        <v>249</v>
      </c>
      <c r="D298" s="3" t="s">
        <v>244</v>
      </c>
      <c r="E298" s="3" t="s">
        <v>187</v>
      </c>
      <c r="F298" s="3" t="s">
        <v>245</v>
      </c>
      <c r="G298" s="3" t="s">
        <v>246</v>
      </c>
      <c r="H298" s="3" t="s">
        <v>66</v>
      </c>
      <c r="I298" s="3" t="s">
        <v>67</v>
      </c>
      <c r="J298" s="3" t="s">
        <v>68</v>
      </c>
      <c r="K298" s="3" t="s">
        <v>33</v>
      </c>
      <c r="L298" s="3" t="s">
        <v>51</v>
      </c>
      <c r="M298" s="3" t="s">
        <v>250</v>
      </c>
      <c r="N298" s="3" t="s">
        <v>251</v>
      </c>
      <c r="O298" s="3" t="s">
        <v>197</v>
      </c>
      <c r="P298" s="3" t="s">
        <v>198</v>
      </c>
      <c r="Q298" s="3" t="s">
        <v>39</v>
      </c>
      <c r="R298" s="3" t="s">
        <v>40</v>
      </c>
      <c r="S298" s="55">
        <v>11946.1</v>
      </c>
      <c r="T298" s="55">
        <v>3058.694</v>
      </c>
      <c r="U298" s="55">
        <v>3058.694</v>
      </c>
      <c r="V298" s="55">
        <v>8887.4060000000009</v>
      </c>
      <c r="W298" s="3">
        <v>26</v>
      </c>
    </row>
    <row r="299" spans="1:23" x14ac:dyDescent="0.35">
      <c r="A299" s="3" t="s">
        <v>574</v>
      </c>
      <c r="B299" s="3" t="s">
        <v>575</v>
      </c>
      <c r="C299" s="3" t="s">
        <v>252</v>
      </c>
      <c r="D299" s="3" t="s">
        <v>244</v>
      </c>
      <c r="E299" s="3" t="s">
        <v>187</v>
      </c>
      <c r="F299" s="3" t="s">
        <v>245</v>
      </c>
      <c r="G299" s="3" t="s">
        <v>246</v>
      </c>
      <c r="H299" s="3" t="s">
        <v>66</v>
      </c>
      <c r="I299" s="3" t="s">
        <v>67</v>
      </c>
      <c r="J299" s="3" t="s">
        <v>68</v>
      </c>
      <c r="K299" s="3" t="s">
        <v>33</v>
      </c>
      <c r="L299" s="3" t="s">
        <v>51</v>
      </c>
      <c r="M299" s="3" t="s">
        <v>253</v>
      </c>
      <c r="N299" s="3" t="s">
        <v>254</v>
      </c>
      <c r="O299" s="3" t="s">
        <v>197</v>
      </c>
      <c r="P299" s="3" t="s">
        <v>198</v>
      </c>
      <c r="Q299" s="3" t="s">
        <v>39</v>
      </c>
      <c r="R299" s="3" t="s">
        <v>40</v>
      </c>
      <c r="S299" s="55">
        <v>1648.3</v>
      </c>
      <c r="T299" s="55">
        <v>676.66660000000002</v>
      </c>
      <c r="U299" s="55">
        <v>676.66660000000002</v>
      </c>
      <c r="V299" s="55">
        <v>971.63340000000005</v>
      </c>
      <c r="W299" s="3">
        <v>41</v>
      </c>
    </row>
    <row r="300" spans="1:23" x14ac:dyDescent="0.35">
      <c r="A300" s="3" t="s">
        <v>574</v>
      </c>
      <c r="B300" s="3" t="s">
        <v>575</v>
      </c>
      <c r="C300" s="3" t="s">
        <v>255</v>
      </c>
      <c r="D300" s="3" t="s">
        <v>244</v>
      </c>
      <c r="E300" s="3" t="s">
        <v>187</v>
      </c>
      <c r="F300" s="3" t="s">
        <v>245</v>
      </c>
      <c r="G300" s="3" t="s">
        <v>246</v>
      </c>
      <c r="H300" s="3" t="s">
        <v>66</v>
      </c>
      <c r="I300" s="3" t="s">
        <v>67</v>
      </c>
      <c r="J300" s="3" t="s">
        <v>68</v>
      </c>
      <c r="K300" s="3" t="s">
        <v>33</v>
      </c>
      <c r="L300" s="3" t="s">
        <v>51</v>
      </c>
      <c r="M300" s="3" t="s">
        <v>256</v>
      </c>
      <c r="N300" s="3" t="s">
        <v>257</v>
      </c>
      <c r="O300" s="3" t="s">
        <v>197</v>
      </c>
      <c r="P300" s="3" t="s">
        <v>198</v>
      </c>
      <c r="Q300" s="3" t="s">
        <v>39</v>
      </c>
      <c r="R300" s="3" t="s">
        <v>40</v>
      </c>
      <c r="S300" s="55">
        <v>10032.799999999999</v>
      </c>
      <c r="T300" s="55">
        <v>6998.9593000000004</v>
      </c>
      <c r="U300" s="55">
        <v>0</v>
      </c>
      <c r="V300" s="55">
        <v>3033.8407000000002</v>
      </c>
      <c r="W300" s="3">
        <v>70</v>
      </c>
    </row>
    <row r="301" spans="1:23" x14ac:dyDescent="0.35">
      <c r="A301" s="3" t="s">
        <v>574</v>
      </c>
      <c r="B301" s="3" t="s">
        <v>575</v>
      </c>
      <c r="C301" s="3" t="s">
        <v>566</v>
      </c>
      <c r="D301" s="3" t="s">
        <v>259</v>
      </c>
      <c r="E301" s="3" t="s">
        <v>187</v>
      </c>
      <c r="F301" s="3" t="s">
        <v>116</v>
      </c>
      <c r="G301" s="3" t="s">
        <v>260</v>
      </c>
      <c r="H301" s="3" t="s">
        <v>189</v>
      </c>
      <c r="I301" s="3" t="s">
        <v>190</v>
      </c>
      <c r="J301" s="3" t="s">
        <v>202</v>
      </c>
      <c r="K301" s="3" t="s">
        <v>23</v>
      </c>
      <c r="L301" s="3" t="s">
        <v>203</v>
      </c>
      <c r="M301" s="3" t="s">
        <v>567</v>
      </c>
      <c r="N301" s="3" t="s">
        <v>568</v>
      </c>
      <c r="O301" s="3" t="s">
        <v>197</v>
      </c>
      <c r="P301" s="3" t="s">
        <v>198</v>
      </c>
      <c r="Q301" s="3" t="s">
        <v>39</v>
      </c>
      <c r="R301" s="3" t="s">
        <v>40</v>
      </c>
      <c r="S301" s="55">
        <v>13914.4</v>
      </c>
      <c r="T301" s="55">
        <v>13914.3143</v>
      </c>
      <c r="U301" s="55">
        <v>0</v>
      </c>
      <c r="V301" s="55">
        <v>8.5699999999999998E-2</v>
      </c>
      <c r="W301" s="3">
        <v>100</v>
      </c>
    </row>
    <row r="302" spans="1:23" x14ac:dyDescent="0.35">
      <c r="A302" s="3" t="s">
        <v>574</v>
      </c>
      <c r="B302" s="3" t="s">
        <v>575</v>
      </c>
      <c r="C302" s="3" t="s">
        <v>569</v>
      </c>
      <c r="D302" s="3" t="s">
        <v>259</v>
      </c>
      <c r="E302" s="3" t="s">
        <v>187</v>
      </c>
      <c r="F302" s="3" t="s">
        <v>116</v>
      </c>
      <c r="G302" s="3" t="s">
        <v>260</v>
      </c>
      <c r="H302" s="3" t="s">
        <v>189</v>
      </c>
      <c r="I302" s="3" t="s">
        <v>190</v>
      </c>
      <c r="J302" s="3" t="s">
        <v>202</v>
      </c>
      <c r="K302" s="3" t="s">
        <v>23</v>
      </c>
      <c r="L302" s="3" t="s">
        <v>203</v>
      </c>
      <c r="M302" s="3" t="s">
        <v>570</v>
      </c>
      <c r="N302" s="3" t="s">
        <v>568</v>
      </c>
      <c r="O302" s="3" t="s">
        <v>197</v>
      </c>
      <c r="P302" s="3" t="s">
        <v>198</v>
      </c>
      <c r="Q302" s="3" t="s">
        <v>39</v>
      </c>
      <c r="R302" s="3" t="s">
        <v>40</v>
      </c>
      <c r="S302" s="55">
        <v>19077.8</v>
      </c>
      <c r="T302" s="55">
        <v>18996.112499999999</v>
      </c>
      <c r="U302" s="55">
        <v>2186.0279999999998</v>
      </c>
      <c r="V302" s="55">
        <v>81.6875</v>
      </c>
      <c r="W302" s="3">
        <v>100</v>
      </c>
    </row>
    <row r="303" spans="1:23" x14ac:dyDescent="0.35">
      <c r="A303" s="3" t="s">
        <v>574</v>
      </c>
      <c r="B303" s="3" t="s">
        <v>575</v>
      </c>
      <c r="C303" s="3" t="s">
        <v>263</v>
      </c>
      <c r="D303" s="3" t="s">
        <v>259</v>
      </c>
      <c r="E303" s="3" t="s">
        <v>187</v>
      </c>
      <c r="F303" s="3" t="s">
        <v>116</v>
      </c>
      <c r="G303" s="3" t="s">
        <v>260</v>
      </c>
      <c r="H303" s="3" t="s">
        <v>189</v>
      </c>
      <c r="I303" s="3" t="s">
        <v>190</v>
      </c>
      <c r="J303" s="3" t="s">
        <v>191</v>
      </c>
      <c r="K303" s="3" t="s">
        <v>33</v>
      </c>
      <c r="L303" s="3" t="s">
        <v>51</v>
      </c>
      <c r="M303" s="3" t="s">
        <v>264</v>
      </c>
      <c r="N303" s="3" t="s">
        <v>265</v>
      </c>
      <c r="O303" s="3" t="s">
        <v>197</v>
      </c>
      <c r="P303" s="3" t="s">
        <v>198</v>
      </c>
      <c r="Q303" s="3" t="s">
        <v>39</v>
      </c>
      <c r="R303" s="3" t="s">
        <v>40</v>
      </c>
      <c r="S303" s="55">
        <v>1642.6</v>
      </c>
      <c r="T303" s="55">
        <v>1642.6</v>
      </c>
      <c r="U303" s="55">
        <v>0</v>
      </c>
      <c r="V303" s="55">
        <v>0</v>
      </c>
      <c r="W303" s="3">
        <v>100</v>
      </c>
    </row>
    <row r="304" spans="1:23" x14ac:dyDescent="0.35">
      <c r="A304" s="3" t="s">
        <v>574</v>
      </c>
      <c r="B304" s="3" t="s">
        <v>575</v>
      </c>
      <c r="C304" s="3" t="s">
        <v>266</v>
      </c>
      <c r="D304" s="3" t="s">
        <v>259</v>
      </c>
      <c r="E304" s="3" t="s">
        <v>187</v>
      </c>
      <c r="F304" s="3" t="s">
        <v>116</v>
      </c>
      <c r="G304" s="3" t="s">
        <v>260</v>
      </c>
      <c r="H304" s="3" t="s">
        <v>189</v>
      </c>
      <c r="I304" s="3" t="s">
        <v>190</v>
      </c>
      <c r="J304" s="3" t="s">
        <v>191</v>
      </c>
      <c r="K304" s="3" t="s">
        <v>33</v>
      </c>
      <c r="L304" s="3" t="s">
        <v>51</v>
      </c>
      <c r="M304" s="3" t="s">
        <v>267</v>
      </c>
      <c r="N304" s="3" t="s">
        <v>268</v>
      </c>
      <c r="O304" s="3" t="s">
        <v>37</v>
      </c>
      <c r="P304" s="3" t="s">
        <v>38</v>
      </c>
      <c r="Q304" s="3" t="s">
        <v>39</v>
      </c>
      <c r="R304" s="3" t="s">
        <v>40</v>
      </c>
      <c r="S304" s="55">
        <v>92351.4</v>
      </c>
      <c r="T304" s="55">
        <v>87129.216700000004</v>
      </c>
      <c r="U304" s="55">
        <v>2686.1777000000002</v>
      </c>
      <c r="V304" s="55">
        <v>5222.1832999999997</v>
      </c>
      <c r="W304" s="3">
        <v>94</v>
      </c>
    </row>
    <row r="305" spans="1:23" x14ac:dyDescent="0.35">
      <c r="A305" s="3" t="s">
        <v>574</v>
      </c>
      <c r="B305" s="3" t="s">
        <v>575</v>
      </c>
      <c r="C305" s="3" t="s">
        <v>269</v>
      </c>
      <c r="D305" s="3" t="s">
        <v>259</v>
      </c>
      <c r="E305" s="3" t="s">
        <v>187</v>
      </c>
      <c r="F305" s="3" t="s">
        <v>116</v>
      </c>
      <c r="G305" s="3" t="s">
        <v>260</v>
      </c>
      <c r="H305" s="3" t="s">
        <v>189</v>
      </c>
      <c r="I305" s="3" t="s">
        <v>190</v>
      </c>
      <c r="J305" s="3" t="s">
        <v>191</v>
      </c>
      <c r="K305" s="3" t="s">
        <v>33</v>
      </c>
      <c r="L305" s="3" t="s">
        <v>51</v>
      </c>
      <c r="M305" s="3" t="s">
        <v>267</v>
      </c>
      <c r="N305" s="3" t="s">
        <v>268</v>
      </c>
      <c r="O305" s="3" t="s">
        <v>197</v>
      </c>
      <c r="P305" s="3" t="s">
        <v>198</v>
      </c>
      <c r="Q305" s="3" t="s">
        <v>39</v>
      </c>
      <c r="R305" s="3" t="s">
        <v>40</v>
      </c>
      <c r="S305" s="55">
        <v>14681.8</v>
      </c>
      <c r="T305" s="55">
        <v>13986.1607</v>
      </c>
      <c r="U305" s="55">
        <v>323.3306</v>
      </c>
      <c r="V305" s="55">
        <v>695.63930000000005</v>
      </c>
      <c r="W305" s="3">
        <v>95</v>
      </c>
    </row>
    <row r="306" spans="1:23" x14ac:dyDescent="0.35">
      <c r="A306" s="3" t="s">
        <v>574</v>
      </c>
      <c r="B306" s="3" t="s">
        <v>575</v>
      </c>
      <c r="C306" s="3" t="s">
        <v>270</v>
      </c>
      <c r="D306" s="3" t="s">
        <v>259</v>
      </c>
      <c r="E306" s="3" t="s">
        <v>187</v>
      </c>
      <c r="F306" s="3" t="s">
        <v>116</v>
      </c>
      <c r="G306" s="3" t="s">
        <v>260</v>
      </c>
      <c r="H306" s="3" t="s">
        <v>189</v>
      </c>
      <c r="I306" s="3" t="s">
        <v>190</v>
      </c>
      <c r="J306" s="3" t="s">
        <v>191</v>
      </c>
      <c r="K306" s="3" t="s">
        <v>33</v>
      </c>
      <c r="L306" s="3" t="s">
        <v>51</v>
      </c>
      <c r="M306" s="3" t="s">
        <v>271</v>
      </c>
      <c r="N306" s="3" t="s">
        <v>272</v>
      </c>
      <c r="O306" s="3" t="s">
        <v>108</v>
      </c>
      <c r="P306" s="3" t="s">
        <v>109</v>
      </c>
      <c r="Q306" s="3" t="s">
        <v>39</v>
      </c>
      <c r="R306" s="3" t="s">
        <v>40</v>
      </c>
      <c r="S306" s="55">
        <v>43320.4</v>
      </c>
      <c r="T306" s="55">
        <v>37153.619100000004</v>
      </c>
      <c r="U306" s="55">
        <v>3597.9978999999998</v>
      </c>
      <c r="V306" s="55">
        <v>6166.7808999999997</v>
      </c>
      <c r="W306" s="3">
        <v>86</v>
      </c>
    </row>
    <row r="307" spans="1:23" x14ac:dyDescent="0.35">
      <c r="A307" s="3" t="s">
        <v>574</v>
      </c>
      <c r="B307" s="3" t="s">
        <v>575</v>
      </c>
      <c r="C307" s="3" t="s">
        <v>273</v>
      </c>
      <c r="D307" s="3" t="s">
        <v>259</v>
      </c>
      <c r="E307" s="3" t="s">
        <v>187</v>
      </c>
      <c r="F307" s="3" t="s">
        <v>116</v>
      </c>
      <c r="G307" s="3" t="s">
        <v>260</v>
      </c>
      <c r="H307" s="3" t="s">
        <v>189</v>
      </c>
      <c r="I307" s="3" t="s">
        <v>190</v>
      </c>
      <c r="J307" s="3" t="s">
        <v>191</v>
      </c>
      <c r="K307" s="3" t="s">
        <v>33</v>
      </c>
      <c r="L307" s="3" t="s">
        <v>51</v>
      </c>
      <c r="M307" s="3" t="s">
        <v>274</v>
      </c>
      <c r="N307" s="3" t="s">
        <v>275</v>
      </c>
      <c r="O307" s="3" t="s">
        <v>108</v>
      </c>
      <c r="P307" s="3" t="s">
        <v>109</v>
      </c>
      <c r="Q307" s="3" t="s">
        <v>39</v>
      </c>
      <c r="R307" s="3" t="s">
        <v>40</v>
      </c>
      <c r="S307" s="55">
        <v>59928.7</v>
      </c>
      <c r="T307" s="55">
        <v>52498.877899999999</v>
      </c>
      <c r="U307" s="55">
        <v>4819.9818999999998</v>
      </c>
      <c r="V307" s="55">
        <v>7429.8221000000003</v>
      </c>
      <c r="W307" s="3">
        <v>88</v>
      </c>
    </row>
    <row r="308" spans="1:23" x14ac:dyDescent="0.35">
      <c r="A308" s="3" t="s">
        <v>574</v>
      </c>
      <c r="B308" s="3" t="s">
        <v>575</v>
      </c>
      <c r="C308" s="3" t="s">
        <v>530</v>
      </c>
      <c r="D308" s="3" t="s">
        <v>259</v>
      </c>
      <c r="E308" s="3" t="s">
        <v>187</v>
      </c>
      <c r="F308" s="3" t="s">
        <v>116</v>
      </c>
      <c r="G308" s="3" t="s">
        <v>260</v>
      </c>
      <c r="H308" s="3" t="s">
        <v>189</v>
      </c>
      <c r="I308" s="3" t="s">
        <v>190</v>
      </c>
      <c r="J308" s="3" t="s">
        <v>191</v>
      </c>
      <c r="K308" s="3" t="s">
        <v>33</v>
      </c>
      <c r="L308" s="3" t="s">
        <v>51</v>
      </c>
      <c r="M308" s="3" t="s">
        <v>531</v>
      </c>
      <c r="N308" s="3" t="s">
        <v>532</v>
      </c>
      <c r="O308" s="3" t="s">
        <v>197</v>
      </c>
      <c r="P308" s="3" t="s">
        <v>198</v>
      </c>
      <c r="Q308" s="3" t="s">
        <v>39</v>
      </c>
      <c r="R308" s="3" t="s">
        <v>40</v>
      </c>
      <c r="S308" s="55">
        <v>7027.2</v>
      </c>
      <c r="T308" s="55">
        <v>7027.2</v>
      </c>
      <c r="U308" s="55">
        <v>0</v>
      </c>
      <c r="V308" s="55">
        <v>0</v>
      </c>
      <c r="W308" s="3">
        <v>100</v>
      </c>
    </row>
    <row r="309" spans="1:23" x14ac:dyDescent="0.35">
      <c r="A309" s="3" t="s">
        <v>574</v>
      </c>
      <c r="B309" s="3" t="s">
        <v>575</v>
      </c>
      <c r="C309" s="3" t="s">
        <v>460</v>
      </c>
      <c r="D309" s="3" t="s">
        <v>259</v>
      </c>
      <c r="E309" s="3" t="s">
        <v>187</v>
      </c>
      <c r="F309" s="3" t="s">
        <v>116</v>
      </c>
      <c r="G309" s="3" t="s">
        <v>260</v>
      </c>
      <c r="H309" s="3" t="s">
        <v>189</v>
      </c>
      <c r="I309" s="3" t="s">
        <v>190</v>
      </c>
      <c r="J309" s="3" t="s">
        <v>191</v>
      </c>
      <c r="K309" s="3" t="s">
        <v>33</v>
      </c>
      <c r="L309" s="3" t="s">
        <v>51</v>
      </c>
      <c r="M309" s="3" t="s">
        <v>461</v>
      </c>
      <c r="N309" s="3" t="s">
        <v>462</v>
      </c>
      <c r="O309" s="3" t="s">
        <v>197</v>
      </c>
      <c r="P309" s="3" t="s">
        <v>198</v>
      </c>
      <c r="Q309" s="3" t="s">
        <v>39</v>
      </c>
      <c r="R309" s="3" t="s">
        <v>40</v>
      </c>
      <c r="S309" s="55">
        <v>20202.099999999999</v>
      </c>
      <c r="T309" s="55">
        <v>16828.032599999999</v>
      </c>
      <c r="U309" s="55">
        <v>571.90539999999999</v>
      </c>
      <c r="V309" s="55">
        <v>3374.0673999999999</v>
      </c>
      <c r="W309" s="3">
        <v>83</v>
      </c>
    </row>
    <row r="310" spans="1:23" x14ac:dyDescent="0.35">
      <c r="A310" s="3" t="s">
        <v>574</v>
      </c>
      <c r="B310" s="3" t="s">
        <v>575</v>
      </c>
      <c r="C310" s="3" t="s">
        <v>276</v>
      </c>
      <c r="D310" s="3" t="s">
        <v>259</v>
      </c>
      <c r="E310" s="3" t="s">
        <v>187</v>
      </c>
      <c r="F310" s="3" t="s">
        <v>116</v>
      </c>
      <c r="G310" s="3" t="s">
        <v>260</v>
      </c>
      <c r="H310" s="3" t="s">
        <v>189</v>
      </c>
      <c r="I310" s="3" t="s">
        <v>190</v>
      </c>
      <c r="J310" s="3" t="s">
        <v>191</v>
      </c>
      <c r="K310" s="3" t="s">
        <v>33</v>
      </c>
      <c r="L310" s="3" t="s">
        <v>51</v>
      </c>
      <c r="M310" s="3" t="s">
        <v>277</v>
      </c>
      <c r="N310" s="3" t="s">
        <v>533</v>
      </c>
      <c r="O310" s="3" t="s">
        <v>197</v>
      </c>
      <c r="P310" s="3" t="s">
        <v>198</v>
      </c>
      <c r="Q310" s="3" t="s">
        <v>39</v>
      </c>
      <c r="R310" s="3" t="s">
        <v>40</v>
      </c>
      <c r="S310" s="55">
        <v>44012.1</v>
      </c>
      <c r="T310" s="55">
        <v>27645.074199999999</v>
      </c>
      <c r="U310" s="55">
        <v>1856.8946000000001</v>
      </c>
      <c r="V310" s="55">
        <v>16367.025799999999</v>
      </c>
      <c r="W310" s="3">
        <v>63</v>
      </c>
    </row>
    <row r="311" spans="1:23" x14ac:dyDescent="0.35">
      <c r="A311" s="3" t="s">
        <v>574</v>
      </c>
      <c r="B311" s="3" t="s">
        <v>575</v>
      </c>
      <c r="C311" s="3" t="s">
        <v>571</v>
      </c>
      <c r="D311" s="3" t="s">
        <v>259</v>
      </c>
      <c r="E311" s="3" t="s">
        <v>187</v>
      </c>
      <c r="F311" s="3" t="s">
        <v>116</v>
      </c>
      <c r="G311" s="3" t="s">
        <v>260</v>
      </c>
      <c r="H311" s="3" t="s">
        <v>189</v>
      </c>
      <c r="I311" s="3" t="s">
        <v>190</v>
      </c>
      <c r="J311" s="3" t="s">
        <v>191</v>
      </c>
      <c r="K311" s="3" t="s">
        <v>33</v>
      </c>
      <c r="L311" s="3" t="s">
        <v>51</v>
      </c>
      <c r="M311" s="3" t="s">
        <v>572</v>
      </c>
      <c r="N311" s="3" t="s">
        <v>262</v>
      </c>
      <c r="O311" s="3" t="s">
        <v>197</v>
      </c>
      <c r="P311" s="3" t="s">
        <v>198</v>
      </c>
      <c r="Q311" s="3" t="s">
        <v>39</v>
      </c>
      <c r="R311" s="3" t="s">
        <v>40</v>
      </c>
      <c r="S311" s="55">
        <v>1142.5</v>
      </c>
      <c r="T311" s="55">
        <v>856.8</v>
      </c>
      <c r="U311" s="55">
        <v>285.60000000000002</v>
      </c>
      <c r="V311" s="55">
        <v>285.7</v>
      </c>
      <c r="W311" s="3">
        <v>75</v>
      </c>
    </row>
    <row r="312" spans="1:23" x14ac:dyDescent="0.35">
      <c r="A312" s="3" t="s">
        <v>574</v>
      </c>
      <c r="B312" s="3" t="s">
        <v>575</v>
      </c>
      <c r="C312" s="3" t="s">
        <v>282</v>
      </c>
      <c r="D312" s="3" t="s">
        <v>259</v>
      </c>
      <c r="E312" s="3" t="s">
        <v>187</v>
      </c>
      <c r="F312" s="3" t="s">
        <v>116</v>
      </c>
      <c r="G312" s="3" t="s">
        <v>260</v>
      </c>
      <c r="H312" s="3" t="s">
        <v>66</v>
      </c>
      <c r="I312" s="3" t="s">
        <v>67</v>
      </c>
      <c r="J312" s="3" t="s">
        <v>68</v>
      </c>
      <c r="K312" s="3" t="s">
        <v>33</v>
      </c>
      <c r="L312" s="3" t="s">
        <v>51</v>
      </c>
      <c r="M312" s="3" t="s">
        <v>283</v>
      </c>
      <c r="N312" s="3" t="s">
        <v>284</v>
      </c>
      <c r="O312" s="3" t="s">
        <v>197</v>
      </c>
      <c r="P312" s="3" t="s">
        <v>198</v>
      </c>
      <c r="Q312" s="3" t="s">
        <v>39</v>
      </c>
      <c r="R312" s="3" t="s">
        <v>40</v>
      </c>
      <c r="S312" s="55">
        <v>500</v>
      </c>
      <c r="T312" s="55">
        <v>452.7</v>
      </c>
      <c r="U312" s="55">
        <v>19.5</v>
      </c>
      <c r="V312" s="55">
        <v>47.3</v>
      </c>
      <c r="W312" s="3">
        <v>91</v>
      </c>
    </row>
    <row r="313" spans="1:23" x14ac:dyDescent="0.35">
      <c r="A313" s="3" t="s">
        <v>574</v>
      </c>
      <c r="B313" s="3" t="s">
        <v>575</v>
      </c>
      <c r="C313" s="3" t="s">
        <v>289</v>
      </c>
      <c r="D313" s="3" t="s">
        <v>290</v>
      </c>
      <c r="E313" s="3" t="s">
        <v>291</v>
      </c>
      <c r="F313" s="3" t="s">
        <v>146</v>
      </c>
      <c r="G313" s="3" t="s">
        <v>534</v>
      </c>
      <c r="H313" s="3" t="s">
        <v>293</v>
      </c>
      <c r="I313" s="3" t="s">
        <v>294</v>
      </c>
      <c r="J313" s="3" t="s">
        <v>295</v>
      </c>
      <c r="K313" s="3" t="s">
        <v>33</v>
      </c>
      <c r="L313" s="3" t="s">
        <v>51</v>
      </c>
      <c r="M313" s="3" t="s">
        <v>296</v>
      </c>
      <c r="N313" s="3" t="s">
        <v>535</v>
      </c>
      <c r="O313" s="3" t="s">
        <v>108</v>
      </c>
      <c r="P313" s="3" t="s">
        <v>109</v>
      </c>
      <c r="Q313" s="3" t="s">
        <v>39</v>
      </c>
      <c r="R313" s="3" t="s">
        <v>40</v>
      </c>
      <c r="S313" s="55">
        <v>232336.9</v>
      </c>
      <c r="T313" s="55">
        <v>217128.30979999999</v>
      </c>
      <c r="U313" s="55">
        <v>16748.555499999999</v>
      </c>
      <c r="V313" s="55">
        <v>15208.590200000001</v>
      </c>
      <c r="W313" s="3">
        <v>93</v>
      </c>
    </row>
    <row r="314" spans="1:23" x14ac:dyDescent="0.35">
      <c r="A314" s="3" t="s">
        <v>574</v>
      </c>
      <c r="B314" s="3" t="s">
        <v>575</v>
      </c>
      <c r="C314" s="3" t="s">
        <v>298</v>
      </c>
      <c r="D314" s="3" t="s">
        <v>290</v>
      </c>
      <c r="E314" s="3" t="s">
        <v>291</v>
      </c>
      <c r="F314" s="3" t="s">
        <v>146</v>
      </c>
      <c r="G314" s="3" t="s">
        <v>534</v>
      </c>
      <c r="H314" s="3" t="s">
        <v>293</v>
      </c>
      <c r="I314" s="3" t="s">
        <v>294</v>
      </c>
      <c r="J314" s="3" t="s">
        <v>295</v>
      </c>
      <c r="K314" s="3" t="s">
        <v>33</v>
      </c>
      <c r="L314" s="3" t="s">
        <v>51</v>
      </c>
      <c r="M314" s="3" t="s">
        <v>299</v>
      </c>
      <c r="N314" s="3" t="s">
        <v>536</v>
      </c>
      <c r="O314" s="3" t="s">
        <v>108</v>
      </c>
      <c r="P314" s="3" t="s">
        <v>109</v>
      </c>
      <c r="Q314" s="3" t="s">
        <v>39</v>
      </c>
      <c r="R314" s="3" t="s">
        <v>40</v>
      </c>
      <c r="S314" s="55">
        <v>86322.7</v>
      </c>
      <c r="T314" s="55">
        <v>76397.717699999994</v>
      </c>
      <c r="U314" s="55">
        <v>6175.0319</v>
      </c>
      <c r="V314" s="55">
        <v>9924.9822999999997</v>
      </c>
      <c r="W314" s="3">
        <v>89</v>
      </c>
    </row>
    <row r="315" spans="1:23" x14ac:dyDescent="0.35">
      <c r="A315" s="3" t="s">
        <v>574</v>
      </c>
      <c r="B315" s="3" t="s">
        <v>575</v>
      </c>
      <c r="C315" s="3" t="s">
        <v>301</v>
      </c>
      <c r="D315" s="3" t="s">
        <v>290</v>
      </c>
      <c r="E315" s="3" t="s">
        <v>291</v>
      </c>
      <c r="F315" s="3" t="s">
        <v>146</v>
      </c>
      <c r="G315" s="3" t="s">
        <v>534</v>
      </c>
      <c r="H315" s="3" t="s">
        <v>293</v>
      </c>
      <c r="I315" s="3" t="s">
        <v>294</v>
      </c>
      <c r="J315" s="3" t="s">
        <v>295</v>
      </c>
      <c r="K315" s="3" t="s">
        <v>33</v>
      </c>
      <c r="L315" s="3" t="s">
        <v>51</v>
      </c>
      <c r="M315" s="3" t="s">
        <v>302</v>
      </c>
      <c r="N315" s="3" t="s">
        <v>537</v>
      </c>
      <c r="O315" s="3" t="s">
        <v>108</v>
      </c>
      <c r="P315" s="3" t="s">
        <v>109</v>
      </c>
      <c r="Q315" s="3" t="s">
        <v>39</v>
      </c>
      <c r="R315" s="3" t="s">
        <v>40</v>
      </c>
      <c r="S315" s="55">
        <v>192328.9</v>
      </c>
      <c r="T315" s="55">
        <v>157882.38459999999</v>
      </c>
      <c r="U315" s="55">
        <v>15134.3483</v>
      </c>
      <c r="V315" s="55">
        <v>34446.515399999997</v>
      </c>
      <c r="W315" s="3">
        <v>82</v>
      </c>
    </row>
    <row r="316" spans="1:23" x14ac:dyDescent="0.35">
      <c r="A316" s="3" t="s">
        <v>574</v>
      </c>
      <c r="B316" s="3" t="s">
        <v>575</v>
      </c>
      <c r="C316" s="3" t="s">
        <v>304</v>
      </c>
      <c r="D316" s="3" t="s">
        <v>290</v>
      </c>
      <c r="E316" s="3" t="s">
        <v>291</v>
      </c>
      <c r="F316" s="3" t="s">
        <v>146</v>
      </c>
      <c r="G316" s="3" t="s">
        <v>534</v>
      </c>
      <c r="H316" s="3" t="s">
        <v>293</v>
      </c>
      <c r="I316" s="3" t="s">
        <v>294</v>
      </c>
      <c r="J316" s="3" t="s">
        <v>295</v>
      </c>
      <c r="K316" s="3" t="s">
        <v>33</v>
      </c>
      <c r="L316" s="3" t="s">
        <v>51</v>
      </c>
      <c r="M316" s="3" t="s">
        <v>305</v>
      </c>
      <c r="N316" s="3" t="s">
        <v>538</v>
      </c>
      <c r="O316" s="3" t="s">
        <v>108</v>
      </c>
      <c r="P316" s="3" t="s">
        <v>109</v>
      </c>
      <c r="Q316" s="3" t="s">
        <v>39</v>
      </c>
      <c r="R316" s="3" t="s">
        <v>40</v>
      </c>
      <c r="S316" s="55">
        <v>73563</v>
      </c>
      <c r="T316" s="55">
        <v>62855.756200000003</v>
      </c>
      <c r="U316" s="55">
        <v>4250.7461000000003</v>
      </c>
      <c r="V316" s="55">
        <v>10707.2438</v>
      </c>
      <c r="W316" s="3">
        <v>85</v>
      </c>
    </row>
    <row r="317" spans="1:23" x14ac:dyDescent="0.35">
      <c r="A317" s="3" t="s">
        <v>574</v>
      </c>
      <c r="B317" s="3" t="s">
        <v>575</v>
      </c>
      <c r="C317" s="3" t="s">
        <v>307</v>
      </c>
      <c r="D317" s="3" t="s">
        <v>290</v>
      </c>
      <c r="E317" s="3" t="s">
        <v>291</v>
      </c>
      <c r="F317" s="3" t="s">
        <v>146</v>
      </c>
      <c r="G317" s="3" t="s">
        <v>534</v>
      </c>
      <c r="H317" s="3" t="s">
        <v>293</v>
      </c>
      <c r="I317" s="3" t="s">
        <v>294</v>
      </c>
      <c r="J317" s="3" t="s">
        <v>295</v>
      </c>
      <c r="K317" s="3" t="s">
        <v>33</v>
      </c>
      <c r="L317" s="3" t="s">
        <v>51</v>
      </c>
      <c r="M317" s="3" t="s">
        <v>308</v>
      </c>
      <c r="N317" s="3" t="s">
        <v>309</v>
      </c>
      <c r="O317" s="3" t="s">
        <v>37</v>
      </c>
      <c r="P317" s="3" t="s">
        <v>38</v>
      </c>
      <c r="Q317" s="3" t="s">
        <v>39</v>
      </c>
      <c r="R317" s="3" t="s">
        <v>40</v>
      </c>
      <c r="S317" s="55">
        <v>14867.8</v>
      </c>
      <c r="T317" s="55">
        <v>4514.6163999999999</v>
      </c>
      <c r="U317" s="55">
        <v>600</v>
      </c>
      <c r="V317" s="55">
        <v>10353.1836</v>
      </c>
      <c r="W317" s="3">
        <v>30</v>
      </c>
    </row>
    <row r="318" spans="1:23" x14ac:dyDescent="0.35">
      <c r="A318" s="3" t="s">
        <v>574</v>
      </c>
      <c r="B318" s="3" t="s">
        <v>575</v>
      </c>
      <c r="C318" s="3" t="s">
        <v>436</v>
      </c>
      <c r="D318" s="3" t="s">
        <v>290</v>
      </c>
      <c r="E318" s="3" t="s">
        <v>291</v>
      </c>
      <c r="F318" s="3" t="s">
        <v>146</v>
      </c>
      <c r="G318" s="3" t="s">
        <v>534</v>
      </c>
      <c r="H318" s="3" t="s">
        <v>293</v>
      </c>
      <c r="I318" s="3" t="s">
        <v>294</v>
      </c>
      <c r="J318" s="3" t="s">
        <v>295</v>
      </c>
      <c r="K318" s="3" t="s">
        <v>33</v>
      </c>
      <c r="L318" s="3" t="s">
        <v>51</v>
      </c>
      <c r="M318" s="3" t="s">
        <v>308</v>
      </c>
      <c r="N318" s="3" t="s">
        <v>309</v>
      </c>
      <c r="O318" s="3" t="s">
        <v>197</v>
      </c>
      <c r="P318" s="3" t="s">
        <v>198</v>
      </c>
      <c r="Q318" s="3" t="s">
        <v>39</v>
      </c>
      <c r="R318" s="3" t="s">
        <v>40</v>
      </c>
      <c r="S318" s="55">
        <v>3639.8</v>
      </c>
      <c r="T318" s="55">
        <v>3639.7981</v>
      </c>
      <c r="U318" s="55">
        <v>57.09</v>
      </c>
      <c r="V318" s="55">
        <v>1.9E-3</v>
      </c>
      <c r="W318" s="3">
        <v>100</v>
      </c>
    </row>
    <row r="319" spans="1:23" x14ac:dyDescent="0.35">
      <c r="A319" s="3" t="s">
        <v>574</v>
      </c>
      <c r="B319" s="3" t="s">
        <v>575</v>
      </c>
      <c r="C319" s="3" t="s">
        <v>310</v>
      </c>
      <c r="D319" s="3" t="s">
        <v>290</v>
      </c>
      <c r="E319" s="3" t="s">
        <v>291</v>
      </c>
      <c r="F319" s="3" t="s">
        <v>146</v>
      </c>
      <c r="G319" s="3" t="s">
        <v>534</v>
      </c>
      <c r="H319" s="3" t="s">
        <v>293</v>
      </c>
      <c r="I319" s="3" t="s">
        <v>294</v>
      </c>
      <c r="J319" s="3" t="s">
        <v>295</v>
      </c>
      <c r="K319" s="3" t="s">
        <v>33</v>
      </c>
      <c r="L319" s="3" t="s">
        <v>51</v>
      </c>
      <c r="M319" s="3" t="s">
        <v>311</v>
      </c>
      <c r="N319" s="3" t="s">
        <v>312</v>
      </c>
      <c r="O319" s="3" t="s">
        <v>197</v>
      </c>
      <c r="P319" s="3" t="s">
        <v>198</v>
      </c>
      <c r="Q319" s="3" t="s">
        <v>39</v>
      </c>
      <c r="R319" s="3" t="s">
        <v>40</v>
      </c>
      <c r="S319" s="55">
        <v>40101.9</v>
      </c>
      <c r="T319" s="55">
        <v>38999.914700000001</v>
      </c>
      <c r="U319" s="55">
        <v>873.71870000000001</v>
      </c>
      <c r="V319" s="55">
        <v>1101.9853000000001</v>
      </c>
      <c r="W319" s="3">
        <v>97</v>
      </c>
    </row>
    <row r="320" spans="1:23" x14ac:dyDescent="0.35">
      <c r="A320" s="3" t="s">
        <v>574</v>
      </c>
      <c r="B320" s="3" t="s">
        <v>575</v>
      </c>
      <c r="C320" s="3" t="s">
        <v>313</v>
      </c>
      <c r="D320" s="3" t="s">
        <v>290</v>
      </c>
      <c r="E320" s="3" t="s">
        <v>291</v>
      </c>
      <c r="F320" s="3" t="s">
        <v>146</v>
      </c>
      <c r="G320" s="3" t="s">
        <v>534</v>
      </c>
      <c r="H320" s="3" t="s">
        <v>293</v>
      </c>
      <c r="I320" s="3" t="s">
        <v>294</v>
      </c>
      <c r="J320" s="3" t="s">
        <v>295</v>
      </c>
      <c r="K320" s="3" t="s">
        <v>33</v>
      </c>
      <c r="L320" s="3" t="s">
        <v>51</v>
      </c>
      <c r="M320" s="3" t="s">
        <v>314</v>
      </c>
      <c r="N320" s="3" t="s">
        <v>315</v>
      </c>
      <c r="O320" s="3" t="s">
        <v>197</v>
      </c>
      <c r="P320" s="3" t="s">
        <v>198</v>
      </c>
      <c r="Q320" s="3" t="s">
        <v>39</v>
      </c>
      <c r="R320" s="3" t="s">
        <v>40</v>
      </c>
      <c r="S320" s="55">
        <v>712.6</v>
      </c>
      <c r="T320" s="55">
        <v>712.53840000000002</v>
      </c>
      <c r="U320" s="55">
        <v>0</v>
      </c>
      <c r="V320" s="55">
        <v>6.1600000000000002E-2</v>
      </c>
      <c r="W320" s="3">
        <v>100</v>
      </c>
    </row>
    <row r="321" spans="1:23" x14ac:dyDescent="0.35">
      <c r="A321" s="3" t="s">
        <v>574</v>
      </c>
      <c r="B321" s="3" t="s">
        <v>575</v>
      </c>
      <c r="C321" s="3" t="s">
        <v>539</v>
      </c>
      <c r="D321" s="3" t="s">
        <v>290</v>
      </c>
      <c r="E321" s="3" t="s">
        <v>291</v>
      </c>
      <c r="F321" s="3" t="s">
        <v>146</v>
      </c>
      <c r="G321" s="3" t="s">
        <v>534</v>
      </c>
      <c r="H321" s="3" t="s">
        <v>293</v>
      </c>
      <c r="I321" s="3" t="s">
        <v>294</v>
      </c>
      <c r="J321" s="3" t="s">
        <v>295</v>
      </c>
      <c r="K321" s="3" t="s">
        <v>33</v>
      </c>
      <c r="L321" s="3" t="s">
        <v>51</v>
      </c>
      <c r="M321" s="3" t="s">
        <v>540</v>
      </c>
      <c r="N321" s="3" t="s">
        <v>541</v>
      </c>
      <c r="O321" s="3" t="s">
        <v>197</v>
      </c>
      <c r="P321" s="3" t="s">
        <v>198</v>
      </c>
      <c r="Q321" s="3" t="s">
        <v>39</v>
      </c>
      <c r="R321" s="3" t="s">
        <v>40</v>
      </c>
      <c r="S321" s="55">
        <v>30745.7</v>
      </c>
      <c r="T321" s="55">
        <v>28613.554599999999</v>
      </c>
      <c r="U321" s="55">
        <v>3779.2811999999999</v>
      </c>
      <c r="V321" s="55">
        <v>2132.1453999999999</v>
      </c>
      <c r="W321" s="3">
        <v>93</v>
      </c>
    </row>
    <row r="322" spans="1:23" x14ac:dyDescent="0.35">
      <c r="A322" s="3" t="s">
        <v>574</v>
      </c>
      <c r="B322" s="3" t="s">
        <v>575</v>
      </c>
      <c r="C322" s="3" t="s">
        <v>322</v>
      </c>
      <c r="D322" s="3" t="s">
        <v>317</v>
      </c>
      <c r="E322" s="3" t="s">
        <v>291</v>
      </c>
      <c r="F322" s="3" t="s">
        <v>318</v>
      </c>
      <c r="G322" s="3" t="s">
        <v>319</v>
      </c>
      <c r="H322" s="3" t="s">
        <v>293</v>
      </c>
      <c r="I322" s="3" t="s">
        <v>294</v>
      </c>
      <c r="J322" s="3" t="s">
        <v>295</v>
      </c>
      <c r="K322" s="3" t="s">
        <v>33</v>
      </c>
      <c r="L322" s="3" t="s">
        <v>51</v>
      </c>
      <c r="M322" s="3" t="s">
        <v>323</v>
      </c>
      <c r="N322" s="3" t="s">
        <v>324</v>
      </c>
      <c r="O322" s="3" t="s">
        <v>197</v>
      </c>
      <c r="P322" s="3" t="s">
        <v>198</v>
      </c>
      <c r="Q322" s="3" t="s">
        <v>39</v>
      </c>
      <c r="R322" s="3" t="s">
        <v>40</v>
      </c>
      <c r="S322" s="55">
        <v>12167.5</v>
      </c>
      <c r="T322" s="55">
        <v>3061.3195999999998</v>
      </c>
      <c r="U322" s="55">
        <v>0</v>
      </c>
      <c r="V322" s="55">
        <v>9106.1803999999993</v>
      </c>
      <c r="W322" s="3">
        <v>25</v>
      </c>
    </row>
    <row r="323" spans="1:23" x14ac:dyDescent="0.35">
      <c r="A323" s="3" t="s">
        <v>574</v>
      </c>
      <c r="B323" s="3" t="s">
        <v>575</v>
      </c>
      <c r="C323" s="3" t="s">
        <v>325</v>
      </c>
      <c r="D323" s="3" t="s">
        <v>326</v>
      </c>
      <c r="E323" s="3" t="s">
        <v>327</v>
      </c>
      <c r="F323" s="3" t="s">
        <v>189</v>
      </c>
      <c r="G323" s="3" t="s">
        <v>328</v>
      </c>
      <c r="H323" s="3" t="s">
        <v>146</v>
      </c>
      <c r="I323" s="3" t="s">
        <v>329</v>
      </c>
      <c r="J323" s="3" t="s">
        <v>330</v>
      </c>
      <c r="K323" s="3" t="s">
        <v>33</v>
      </c>
      <c r="L323" s="3" t="s">
        <v>51</v>
      </c>
      <c r="M323" s="3" t="s">
        <v>331</v>
      </c>
      <c r="N323" s="3" t="s">
        <v>332</v>
      </c>
      <c r="O323" s="3" t="s">
        <v>108</v>
      </c>
      <c r="P323" s="3" t="s">
        <v>109</v>
      </c>
      <c r="Q323" s="3" t="s">
        <v>39</v>
      </c>
      <c r="R323" s="3" t="s">
        <v>40</v>
      </c>
      <c r="S323" s="55">
        <v>607335</v>
      </c>
      <c r="T323" s="55">
        <v>475912.2928</v>
      </c>
      <c r="U323" s="55">
        <v>54216.471899999997</v>
      </c>
      <c r="V323" s="55">
        <v>131422.7072</v>
      </c>
      <c r="W323" s="3">
        <v>78</v>
      </c>
    </row>
    <row r="324" spans="1:23" x14ac:dyDescent="0.35">
      <c r="A324" s="3" t="s">
        <v>574</v>
      </c>
      <c r="B324" s="3" t="s">
        <v>575</v>
      </c>
      <c r="C324" s="3" t="s">
        <v>333</v>
      </c>
      <c r="D324" s="3" t="s">
        <v>326</v>
      </c>
      <c r="E324" s="3" t="s">
        <v>327</v>
      </c>
      <c r="F324" s="3" t="s">
        <v>189</v>
      </c>
      <c r="G324" s="3" t="s">
        <v>328</v>
      </c>
      <c r="H324" s="3" t="s">
        <v>146</v>
      </c>
      <c r="I324" s="3" t="s">
        <v>329</v>
      </c>
      <c r="J324" s="3" t="s">
        <v>330</v>
      </c>
      <c r="K324" s="3" t="s">
        <v>33</v>
      </c>
      <c r="L324" s="3" t="s">
        <v>51</v>
      </c>
      <c r="M324" s="3" t="s">
        <v>331</v>
      </c>
      <c r="N324" s="3" t="s">
        <v>332</v>
      </c>
      <c r="O324" s="3" t="s">
        <v>334</v>
      </c>
      <c r="P324" s="3" t="s">
        <v>335</v>
      </c>
      <c r="Q324" s="3" t="s">
        <v>39</v>
      </c>
      <c r="R324" s="3" t="s">
        <v>40</v>
      </c>
      <c r="S324" s="55">
        <v>5154.6000000000004</v>
      </c>
      <c r="T324" s="55">
        <v>3301.5349000000001</v>
      </c>
      <c r="U324" s="55">
        <v>205.1103</v>
      </c>
      <c r="V324" s="55">
        <v>1853.0651</v>
      </c>
      <c r="W324" s="3">
        <v>64</v>
      </c>
    </row>
    <row r="325" spans="1:23" x14ac:dyDescent="0.35">
      <c r="A325" s="3" t="s">
        <v>574</v>
      </c>
      <c r="B325" s="3" t="s">
        <v>575</v>
      </c>
      <c r="C325" s="3" t="s">
        <v>542</v>
      </c>
      <c r="D325" s="3" t="s">
        <v>337</v>
      </c>
      <c r="E325" s="3" t="s">
        <v>327</v>
      </c>
      <c r="F325" s="3" t="s">
        <v>116</v>
      </c>
      <c r="G325" s="3" t="s">
        <v>338</v>
      </c>
      <c r="H325" s="3" t="s">
        <v>146</v>
      </c>
      <c r="I325" s="3" t="s">
        <v>329</v>
      </c>
      <c r="J325" s="3" t="s">
        <v>339</v>
      </c>
      <c r="K325" s="3" t="s">
        <v>23</v>
      </c>
      <c r="L325" s="3" t="s">
        <v>203</v>
      </c>
      <c r="M325" s="3" t="s">
        <v>543</v>
      </c>
      <c r="N325" s="3" t="s">
        <v>341</v>
      </c>
      <c r="O325" s="3" t="s">
        <v>197</v>
      </c>
      <c r="P325" s="3" t="s">
        <v>198</v>
      </c>
      <c r="Q325" s="3" t="s">
        <v>39</v>
      </c>
      <c r="R325" s="3" t="s">
        <v>40</v>
      </c>
      <c r="S325" s="55">
        <v>79182.8</v>
      </c>
      <c r="T325" s="55">
        <v>78118.276500000007</v>
      </c>
      <c r="U325" s="55">
        <v>9131.9793000000009</v>
      </c>
      <c r="V325" s="55">
        <v>1064.5235</v>
      </c>
      <c r="W325" s="3">
        <v>99</v>
      </c>
    </row>
    <row r="326" spans="1:23" x14ac:dyDescent="0.35">
      <c r="A326" s="3" t="s">
        <v>574</v>
      </c>
      <c r="B326" s="3" t="s">
        <v>575</v>
      </c>
      <c r="C326" s="3" t="s">
        <v>544</v>
      </c>
      <c r="D326" s="3" t="s">
        <v>337</v>
      </c>
      <c r="E326" s="3" t="s">
        <v>327</v>
      </c>
      <c r="F326" s="3" t="s">
        <v>116</v>
      </c>
      <c r="G326" s="3" t="s">
        <v>338</v>
      </c>
      <c r="H326" s="3" t="s">
        <v>146</v>
      </c>
      <c r="I326" s="3" t="s">
        <v>329</v>
      </c>
      <c r="J326" s="3" t="s">
        <v>339</v>
      </c>
      <c r="K326" s="3" t="s">
        <v>23</v>
      </c>
      <c r="L326" s="3" t="s">
        <v>203</v>
      </c>
      <c r="M326" s="3" t="s">
        <v>545</v>
      </c>
      <c r="N326" s="3" t="s">
        <v>359</v>
      </c>
      <c r="O326" s="3" t="s">
        <v>197</v>
      </c>
      <c r="P326" s="3" t="s">
        <v>198</v>
      </c>
      <c r="Q326" s="3" t="s">
        <v>39</v>
      </c>
      <c r="R326" s="3" t="s">
        <v>40</v>
      </c>
      <c r="S326" s="55">
        <v>50.1</v>
      </c>
      <c r="T326" s="55">
        <v>50.1</v>
      </c>
      <c r="U326" s="55">
        <v>0</v>
      </c>
      <c r="V326" s="55">
        <v>0</v>
      </c>
      <c r="W326" s="3">
        <v>100</v>
      </c>
    </row>
    <row r="327" spans="1:23" x14ac:dyDescent="0.35">
      <c r="A327" s="3" t="s">
        <v>574</v>
      </c>
      <c r="B327" s="3" t="s">
        <v>575</v>
      </c>
      <c r="C327" s="3" t="s">
        <v>437</v>
      </c>
      <c r="D327" s="3" t="s">
        <v>337</v>
      </c>
      <c r="E327" s="3" t="s">
        <v>327</v>
      </c>
      <c r="F327" s="3" t="s">
        <v>116</v>
      </c>
      <c r="G327" s="3" t="s">
        <v>338</v>
      </c>
      <c r="H327" s="3" t="s">
        <v>146</v>
      </c>
      <c r="I327" s="3" t="s">
        <v>329</v>
      </c>
      <c r="J327" s="3" t="s">
        <v>330</v>
      </c>
      <c r="K327" s="3" t="s">
        <v>33</v>
      </c>
      <c r="L327" s="3" t="s">
        <v>51</v>
      </c>
      <c r="M327" s="3" t="s">
        <v>438</v>
      </c>
      <c r="N327" s="3" t="s">
        <v>439</v>
      </c>
      <c r="O327" s="3" t="s">
        <v>197</v>
      </c>
      <c r="P327" s="3" t="s">
        <v>198</v>
      </c>
      <c r="Q327" s="3" t="s">
        <v>39</v>
      </c>
      <c r="R327" s="3" t="s">
        <v>40</v>
      </c>
      <c r="S327" s="55">
        <v>48923.9</v>
      </c>
      <c r="T327" s="55">
        <v>41346.857400000001</v>
      </c>
      <c r="U327" s="55">
        <v>15267.0267</v>
      </c>
      <c r="V327" s="55">
        <v>7577.0425999999998</v>
      </c>
      <c r="W327" s="3">
        <v>85</v>
      </c>
    </row>
    <row r="328" spans="1:23" x14ac:dyDescent="0.35">
      <c r="A328" s="3" t="s">
        <v>574</v>
      </c>
      <c r="B328" s="3" t="s">
        <v>575</v>
      </c>
      <c r="C328" s="3" t="s">
        <v>342</v>
      </c>
      <c r="D328" s="3" t="s">
        <v>337</v>
      </c>
      <c r="E328" s="3" t="s">
        <v>327</v>
      </c>
      <c r="F328" s="3" t="s">
        <v>116</v>
      </c>
      <c r="G328" s="3" t="s">
        <v>338</v>
      </c>
      <c r="H328" s="3" t="s">
        <v>146</v>
      </c>
      <c r="I328" s="3" t="s">
        <v>329</v>
      </c>
      <c r="J328" s="3" t="s">
        <v>330</v>
      </c>
      <c r="K328" s="3" t="s">
        <v>33</v>
      </c>
      <c r="L328" s="3" t="s">
        <v>51</v>
      </c>
      <c r="M328" s="3" t="s">
        <v>343</v>
      </c>
      <c r="N328" s="3" t="s">
        <v>344</v>
      </c>
      <c r="O328" s="3" t="s">
        <v>37</v>
      </c>
      <c r="P328" s="3" t="s">
        <v>38</v>
      </c>
      <c r="Q328" s="3" t="s">
        <v>39</v>
      </c>
      <c r="R328" s="3" t="s">
        <v>40</v>
      </c>
      <c r="S328" s="55">
        <v>36.200000000000003</v>
      </c>
      <c r="T328" s="55">
        <v>36.159500000000001</v>
      </c>
      <c r="U328" s="55">
        <v>0</v>
      </c>
      <c r="V328" s="55">
        <v>4.0500000000000001E-2</v>
      </c>
      <c r="W328" s="3">
        <v>100</v>
      </c>
    </row>
    <row r="329" spans="1:23" x14ac:dyDescent="0.35">
      <c r="A329" s="3" t="s">
        <v>574</v>
      </c>
      <c r="B329" s="3" t="s">
        <v>575</v>
      </c>
      <c r="C329" s="3" t="s">
        <v>345</v>
      </c>
      <c r="D329" s="3" t="s">
        <v>337</v>
      </c>
      <c r="E329" s="3" t="s">
        <v>327</v>
      </c>
      <c r="F329" s="3" t="s">
        <v>116</v>
      </c>
      <c r="G329" s="3" t="s">
        <v>338</v>
      </c>
      <c r="H329" s="3" t="s">
        <v>146</v>
      </c>
      <c r="I329" s="3" t="s">
        <v>329</v>
      </c>
      <c r="J329" s="3" t="s">
        <v>330</v>
      </c>
      <c r="K329" s="3" t="s">
        <v>33</v>
      </c>
      <c r="L329" s="3" t="s">
        <v>51</v>
      </c>
      <c r="M329" s="3" t="s">
        <v>346</v>
      </c>
      <c r="N329" s="3" t="s">
        <v>347</v>
      </c>
      <c r="O329" s="3" t="s">
        <v>197</v>
      </c>
      <c r="P329" s="3" t="s">
        <v>198</v>
      </c>
      <c r="Q329" s="3" t="s">
        <v>39</v>
      </c>
      <c r="R329" s="3" t="s">
        <v>40</v>
      </c>
      <c r="S329" s="55">
        <v>109042.9</v>
      </c>
      <c r="T329" s="55">
        <v>24111.636500000001</v>
      </c>
      <c r="U329" s="55">
        <v>9894.7070999999996</v>
      </c>
      <c r="V329" s="55">
        <v>84931.263500000001</v>
      </c>
      <c r="W329" s="3">
        <v>22</v>
      </c>
    </row>
    <row r="330" spans="1:23" x14ac:dyDescent="0.35">
      <c r="A330" s="3" t="s">
        <v>574</v>
      </c>
      <c r="B330" s="3" t="s">
        <v>575</v>
      </c>
      <c r="C330" s="3" t="s">
        <v>489</v>
      </c>
      <c r="D330" s="3" t="s">
        <v>337</v>
      </c>
      <c r="E330" s="3" t="s">
        <v>327</v>
      </c>
      <c r="F330" s="3" t="s">
        <v>116</v>
      </c>
      <c r="G330" s="3" t="s">
        <v>338</v>
      </c>
      <c r="H330" s="3" t="s">
        <v>146</v>
      </c>
      <c r="I330" s="3" t="s">
        <v>329</v>
      </c>
      <c r="J330" s="3" t="s">
        <v>330</v>
      </c>
      <c r="K330" s="3" t="s">
        <v>33</v>
      </c>
      <c r="L330" s="3" t="s">
        <v>51</v>
      </c>
      <c r="M330" s="3" t="s">
        <v>490</v>
      </c>
      <c r="N330" s="3" t="s">
        <v>491</v>
      </c>
      <c r="O330" s="3" t="s">
        <v>197</v>
      </c>
      <c r="P330" s="3" t="s">
        <v>198</v>
      </c>
      <c r="Q330" s="3" t="s">
        <v>39</v>
      </c>
      <c r="R330" s="3" t="s">
        <v>40</v>
      </c>
      <c r="S330" s="55">
        <v>14237.2</v>
      </c>
      <c r="T330" s="55">
        <v>13660</v>
      </c>
      <c r="U330" s="55">
        <v>0</v>
      </c>
      <c r="V330" s="55">
        <v>577.20000000000005</v>
      </c>
      <c r="W330" s="3">
        <v>96</v>
      </c>
    </row>
    <row r="331" spans="1:23" x14ac:dyDescent="0.35">
      <c r="A331" s="3" t="s">
        <v>574</v>
      </c>
      <c r="B331" s="3" t="s">
        <v>575</v>
      </c>
      <c r="C331" s="3" t="s">
        <v>348</v>
      </c>
      <c r="D331" s="3" t="s">
        <v>337</v>
      </c>
      <c r="E331" s="3" t="s">
        <v>327</v>
      </c>
      <c r="F331" s="3" t="s">
        <v>116</v>
      </c>
      <c r="G331" s="3" t="s">
        <v>338</v>
      </c>
      <c r="H331" s="3" t="s">
        <v>146</v>
      </c>
      <c r="I331" s="3" t="s">
        <v>329</v>
      </c>
      <c r="J331" s="3" t="s">
        <v>330</v>
      </c>
      <c r="K331" s="3" t="s">
        <v>33</v>
      </c>
      <c r="L331" s="3" t="s">
        <v>51</v>
      </c>
      <c r="M331" s="3" t="s">
        <v>349</v>
      </c>
      <c r="N331" s="3" t="s">
        <v>350</v>
      </c>
      <c r="O331" s="3" t="s">
        <v>197</v>
      </c>
      <c r="P331" s="3" t="s">
        <v>198</v>
      </c>
      <c r="Q331" s="3" t="s">
        <v>39</v>
      </c>
      <c r="R331" s="3" t="s">
        <v>40</v>
      </c>
      <c r="S331" s="55">
        <v>100</v>
      </c>
      <c r="T331" s="55">
        <v>0</v>
      </c>
      <c r="U331" s="55">
        <v>0</v>
      </c>
      <c r="V331" s="55">
        <v>100</v>
      </c>
      <c r="W331" s="3">
        <v>0</v>
      </c>
    </row>
    <row r="332" spans="1:23" x14ac:dyDescent="0.35">
      <c r="A332" s="3" t="s">
        <v>574</v>
      </c>
      <c r="B332" s="3" t="s">
        <v>575</v>
      </c>
      <c r="C332" s="3" t="s">
        <v>546</v>
      </c>
      <c r="D332" s="3" t="s">
        <v>337</v>
      </c>
      <c r="E332" s="3" t="s">
        <v>327</v>
      </c>
      <c r="F332" s="3" t="s">
        <v>116</v>
      </c>
      <c r="G332" s="3" t="s">
        <v>338</v>
      </c>
      <c r="H332" s="3" t="s">
        <v>146</v>
      </c>
      <c r="I332" s="3" t="s">
        <v>329</v>
      </c>
      <c r="J332" s="3" t="s">
        <v>330</v>
      </c>
      <c r="K332" s="3" t="s">
        <v>33</v>
      </c>
      <c r="L332" s="3" t="s">
        <v>51</v>
      </c>
      <c r="M332" s="3" t="s">
        <v>547</v>
      </c>
      <c r="N332" s="3" t="s">
        <v>548</v>
      </c>
      <c r="O332" s="3" t="s">
        <v>197</v>
      </c>
      <c r="P332" s="3" t="s">
        <v>198</v>
      </c>
      <c r="Q332" s="3" t="s">
        <v>39</v>
      </c>
      <c r="R332" s="3" t="s">
        <v>40</v>
      </c>
      <c r="S332" s="55">
        <v>8607.7000000000007</v>
      </c>
      <c r="T332" s="55">
        <v>8309.9735999999994</v>
      </c>
      <c r="U332" s="55">
        <v>8309.9735999999994</v>
      </c>
      <c r="V332" s="55">
        <v>297.72640000000001</v>
      </c>
      <c r="W332" s="3">
        <v>97</v>
      </c>
    </row>
    <row r="333" spans="1:23" x14ac:dyDescent="0.35">
      <c r="A333" s="3" t="s">
        <v>574</v>
      </c>
      <c r="B333" s="3" t="s">
        <v>575</v>
      </c>
      <c r="C333" s="3" t="s">
        <v>455</v>
      </c>
      <c r="D333" s="3" t="s">
        <v>337</v>
      </c>
      <c r="E333" s="3" t="s">
        <v>327</v>
      </c>
      <c r="F333" s="3" t="s">
        <v>116</v>
      </c>
      <c r="G333" s="3" t="s">
        <v>338</v>
      </c>
      <c r="H333" s="3" t="s">
        <v>146</v>
      </c>
      <c r="I333" s="3" t="s">
        <v>329</v>
      </c>
      <c r="J333" s="3" t="s">
        <v>330</v>
      </c>
      <c r="K333" s="3" t="s">
        <v>33</v>
      </c>
      <c r="L333" s="3" t="s">
        <v>51</v>
      </c>
      <c r="M333" s="3" t="s">
        <v>456</v>
      </c>
      <c r="N333" s="3" t="s">
        <v>457</v>
      </c>
      <c r="O333" s="3" t="s">
        <v>197</v>
      </c>
      <c r="P333" s="3" t="s">
        <v>198</v>
      </c>
      <c r="Q333" s="3" t="s">
        <v>39</v>
      </c>
      <c r="R333" s="3" t="s">
        <v>40</v>
      </c>
      <c r="S333" s="55">
        <v>2903.1</v>
      </c>
      <c r="T333" s="55">
        <v>1880.499</v>
      </c>
      <c r="U333" s="55">
        <v>3.9203000000000001</v>
      </c>
      <c r="V333" s="55">
        <v>1022.601</v>
      </c>
      <c r="W333" s="3">
        <v>65</v>
      </c>
    </row>
    <row r="334" spans="1:23" x14ac:dyDescent="0.35">
      <c r="A334" s="3" t="s">
        <v>574</v>
      </c>
      <c r="B334" s="3" t="s">
        <v>575</v>
      </c>
      <c r="C334" s="3" t="s">
        <v>354</v>
      </c>
      <c r="D334" s="3" t="s">
        <v>337</v>
      </c>
      <c r="E334" s="3" t="s">
        <v>327</v>
      </c>
      <c r="F334" s="3" t="s">
        <v>116</v>
      </c>
      <c r="G334" s="3" t="s">
        <v>338</v>
      </c>
      <c r="H334" s="3" t="s">
        <v>146</v>
      </c>
      <c r="I334" s="3" t="s">
        <v>329</v>
      </c>
      <c r="J334" s="3" t="s">
        <v>330</v>
      </c>
      <c r="K334" s="3" t="s">
        <v>33</v>
      </c>
      <c r="L334" s="3" t="s">
        <v>51</v>
      </c>
      <c r="M334" s="3" t="s">
        <v>355</v>
      </c>
      <c r="N334" s="3" t="s">
        <v>356</v>
      </c>
      <c r="O334" s="3" t="s">
        <v>197</v>
      </c>
      <c r="P334" s="3" t="s">
        <v>198</v>
      </c>
      <c r="Q334" s="3" t="s">
        <v>39</v>
      </c>
      <c r="R334" s="3" t="s">
        <v>40</v>
      </c>
      <c r="S334" s="55">
        <v>43694.2</v>
      </c>
      <c r="T334" s="55">
        <v>28989.203699999998</v>
      </c>
      <c r="U334" s="55">
        <v>2215.9802</v>
      </c>
      <c r="V334" s="55">
        <v>14704.996300000001</v>
      </c>
      <c r="W334" s="3">
        <v>66</v>
      </c>
    </row>
    <row r="335" spans="1:23" x14ac:dyDescent="0.35">
      <c r="A335" s="3" t="s">
        <v>574</v>
      </c>
      <c r="B335" s="3" t="s">
        <v>575</v>
      </c>
      <c r="C335" s="3" t="s">
        <v>463</v>
      </c>
      <c r="D335" s="3" t="s">
        <v>337</v>
      </c>
      <c r="E335" s="3" t="s">
        <v>327</v>
      </c>
      <c r="F335" s="3" t="s">
        <v>116</v>
      </c>
      <c r="G335" s="3" t="s">
        <v>338</v>
      </c>
      <c r="H335" s="3" t="s">
        <v>146</v>
      </c>
      <c r="I335" s="3" t="s">
        <v>329</v>
      </c>
      <c r="J335" s="3" t="s">
        <v>330</v>
      </c>
      <c r="K335" s="3" t="s">
        <v>33</v>
      </c>
      <c r="L335" s="3" t="s">
        <v>51</v>
      </c>
      <c r="M335" s="3" t="s">
        <v>464</v>
      </c>
      <c r="N335" s="3" t="s">
        <v>465</v>
      </c>
      <c r="O335" s="3" t="s">
        <v>197</v>
      </c>
      <c r="P335" s="3" t="s">
        <v>198</v>
      </c>
      <c r="Q335" s="3" t="s">
        <v>39</v>
      </c>
      <c r="R335" s="3" t="s">
        <v>40</v>
      </c>
      <c r="S335" s="55">
        <v>300289.59999999998</v>
      </c>
      <c r="T335" s="55">
        <v>194088.435</v>
      </c>
      <c r="U335" s="55">
        <v>0</v>
      </c>
      <c r="V335" s="55">
        <v>106201.16499999999</v>
      </c>
      <c r="W335" s="3">
        <v>65</v>
      </c>
    </row>
    <row r="336" spans="1:23" x14ac:dyDescent="0.35">
      <c r="A336" s="3" t="s">
        <v>574</v>
      </c>
      <c r="B336" s="3" t="s">
        <v>575</v>
      </c>
      <c r="C336" s="3" t="s">
        <v>363</v>
      </c>
      <c r="D336" s="3" t="s">
        <v>364</v>
      </c>
      <c r="E336" s="3" t="s">
        <v>365</v>
      </c>
      <c r="F336" s="3" t="s">
        <v>189</v>
      </c>
      <c r="G336" s="3" t="s">
        <v>366</v>
      </c>
      <c r="H336" s="3" t="s">
        <v>28</v>
      </c>
      <c r="I336" s="3" t="s">
        <v>231</v>
      </c>
      <c r="J336" s="3" t="s">
        <v>232</v>
      </c>
      <c r="K336" s="3" t="s">
        <v>33</v>
      </c>
      <c r="L336" s="3" t="s">
        <v>51</v>
      </c>
      <c r="M336" s="3" t="s">
        <v>367</v>
      </c>
      <c r="N336" s="3" t="s">
        <v>368</v>
      </c>
      <c r="O336" s="3" t="s">
        <v>108</v>
      </c>
      <c r="P336" s="3" t="s">
        <v>109</v>
      </c>
      <c r="Q336" s="3" t="s">
        <v>39</v>
      </c>
      <c r="R336" s="3" t="s">
        <v>40</v>
      </c>
      <c r="S336" s="55">
        <v>181890.3</v>
      </c>
      <c r="T336" s="55">
        <v>166313.0092</v>
      </c>
      <c r="U336" s="55">
        <v>14237.6674</v>
      </c>
      <c r="V336" s="55">
        <v>15577.290800000001</v>
      </c>
      <c r="W336" s="3">
        <v>91</v>
      </c>
    </row>
    <row r="337" spans="1:23" x14ac:dyDescent="0.35">
      <c r="A337" s="3" t="s">
        <v>574</v>
      </c>
      <c r="B337" s="3" t="s">
        <v>575</v>
      </c>
      <c r="C337" s="3" t="s">
        <v>369</v>
      </c>
      <c r="D337" s="3" t="s">
        <v>364</v>
      </c>
      <c r="E337" s="3" t="s">
        <v>365</v>
      </c>
      <c r="F337" s="3" t="s">
        <v>189</v>
      </c>
      <c r="G337" s="3" t="s">
        <v>366</v>
      </c>
      <c r="H337" s="3" t="s">
        <v>28</v>
      </c>
      <c r="I337" s="3" t="s">
        <v>231</v>
      </c>
      <c r="J337" s="3" t="s">
        <v>232</v>
      </c>
      <c r="K337" s="3" t="s">
        <v>33</v>
      </c>
      <c r="L337" s="3" t="s">
        <v>51</v>
      </c>
      <c r="M337" s="3" t="s">
        <v>367</v>
      </c>
      <c r="N337" s="3" t="s">
        <v>368</v>
      </c>
      <c r="O337" s="3" t="s">
        <v>334</v>
      </c>
      <c r="P337" s="3" t="s">
        <v>335</v>
      </c>
      <c r="Q337" s="3" t="s">
        <v>39</v>
      </c>
      <c r="R337" s="3" t="s">
        <v>40</v>
      </c>
      <c r="S337" s="55">
        <v>18356.2</v>
      </c>
      <c r="T337" s="55">
        <v>14908.3398</v>
      </c>
      <c r="U337" s="55">
        <v>910.4212</v>
      </c>
      <c r="V337" s="55">
        <v>3447.8602000000001</v>
      </c>
      <c r="W337" s="3">
        <v>81</v>
      </c>
    </row>
    <row r="338" spans="1:23" x14ac:dyDescent="0.35">
      <c r="A338" s="3" t="s">
        <v>574</v>
      </c>
      <c r="B338" s="3" t="s">
        <v>575</v>
      </c>
      <c r="C338" s="3" t="s">
        <v>373</v>
      </c>
      <c r="D338" s="3" t="s">
        <v>364</v>
      </c>
      <c r="E338" s="3" t="s">
        <v>365</v>
      </c>
      <c r="F338" s="3" t="s">
        <v>189</v>
      </c>
      <c r="G338" s="3" t="s">
        <v>366</v>
      </c>
      <c r="H338" s="3" t="s">
        <v>28</v>
      </c>
      <c r="I338" s="3" t="s">
        <v>231</v>
      </c>
      <c r="J338" s="3" t="s">
        <v>232</v>
      </c>
      <c r="K338" s="3" t="s">
        <v>33</v>
      </c>
      <c r="L338" s="3" t="s">
        <v>51</v>
      </c>
      <c r="M338" s="3" t="s">
        <v>371</v>
      </c>
      <c r="N338" s="3" t="s">
        <v>372</v>
      </c>
      <c r="O338" s="3" t="s">
        <v>334</v>
      </c>
      <c r="P338" s="3" t="s">
        <v>335</v>
      </c>
      <c r="Q338" s="3" t="s">
        <v>39</v>
      </c>
      <c r="R338" s="3" t="s">
        <v>40</v>
      </c>
      <c r="S338" s="55">
        <v>109470.6</v>
      </c>
      <c r="T338" s="55">
        <v>103195.6759</v>
      </c>
      <c r="U338" s="55">
        <v>6900.973</v>
      </c>
      <c r="V338" s="55">
        <v>6274.9241000000002</v>
      </c>
      <c r="W338" s="3">
        <v>94</v>
      </c>
    </row>
    <row r="339" spans="1:23" x14ac:dyDescent="0.35">
      <c r="A339" s="3" t="s">
        <v>574</v>
      </c>
      <c r="B339" s="3" t="s">
        <v>575</v>
      </c>
      <c r="C339" s="3" t="s">
        <v>374</v>
      </c>
      <c r="D339" s="3" t="s">
        <v>364</v>
      </c>
      <c r="E339" s="3" t="s">
        <v>365</v>
      </c>
      <c r="F339" s="3" t="s">
        <v>189</v>
      </c>
      <c r="G339" s="3" t="s">
        <v>366</v>
      </c>
      <c r="H339" s="3" t="s">
        <v>28</v>
      </c>
      <c r="I339" s="3" t="s">
        <v>231</v>
      </c>
      <c r="J339" s="3" t="s">
        <v>232</v>
      </c>
      <c r="K339" s="3" t="s">
        <v>33</v>
      </c>
      <c r="L339" s="3" t="s">
        <v>51</v>
      </c>
      <c r="M339" s="3" t="s">
        <v>375</v>
      </c>
      <c r="N339" s="3" t="s">
        <v>376</v>
      </c>
      <c r="O339" s="3" t="s">
        <v>197</v>
      </c>
      <c r="P339" s="3" t="s">
        <v>198</v>
      </c>
      <c r="Q339" s="3" t="s">
        <v>39</v>
      </c>
      <c r="R339" s="3" t="s">
        <v>40</v>
      </c>
      <c r="S339" s="55">
        <v>9825.9</v>
      </c>
      <c r="T339" s="55">
        <v>0</v>
      </c>
      <c r="U339" s="55">
        <v>0</v>
      </c>
      <c r="V339" s="55">
        <v>9825.9</v>
      </c>
      <c r="W339" s="3">
        <v>0</v>
      </c>
    </row>
    <row r="340" spans="1:23" x14ac:dyDescent="0.35">
      <c r="A340" s="3" t="s">
        <v>574</v>
      </c>
      <c r="B340" s="3" t="s">
        <v>575</v>
      </c>
      <c r="C340" s="3" t="s">
        <v>377</v>
      </c>
      <c r="D340" s="3" t="s">
        <v>364</v>
      </c>
      <c r="E340" s="3" t="s">
        <v>365</v>
      </c>
      <c r="F340" s="3" t="s">
        <v>189</v>
      </c>
      <c r="G340" s="3" t="s">
        <v>366</v>
      </c>
      <c r="H340" s="3" t="s">
        <v>28</v>
      </c>
      <c r="I340" s="3" t="s">
        <v>231</v>
      </c>
      <c r="J340" s="3" t="s">
        <v>232</v>
      </c>
      <c r="K340" s="3" t="s">
        <v>33</v>
      </c>
      <c r="L340" s="3" t="s">
        <v>51</v>
      </c>
      <c r="M340" s="3" t="s">
        <v>378</v>
      </c>
      <c r="N340" s="3" t="s">
        <v>549</v>
      </c>
      <c r="O340" s="3" t="s">
        <v>108</v>
      </c>
      <c r="P340" s="3" t="s">
        <v>109</v>
      </c>
      <c r="Q340" s="3" t="s">
        <v>39</v>
      </c>
      <c r="R340" s="3" t="s">
        <v>40</v>
      </c>
      <c r="S340" s="55">
        <v>9809.2000000000007</v>
      </c>
      <c r="T340" s="55">
        <v>9809.2000000000007</v>
      </c>
      <c r="U340" s="55">
        <v>0</v>
      </c>
      <c r="V340" s="55">
        <v>0</v>
      </c>
      <c r="W340" s="3">
        <v>100</v>
      </c>
    </row>
    <row r="341" spans="1:23" x14ac:dyDescent="0.35">
      <c r="A341" s="3" t="s">
        <v>574</v>
      </c>
      <c r="B341" s="3" t="s">
        <v>575</v>
      </c>
      <c r="C341" s="3" t="s">
        <v>380</v>
      </c>
      <c r="D341" s="3" t="s">
        <v>364</v>
      </c>
      <c r="E341" s="3" t="s">
        <v>365</v>
      </c>
      <c r="F341" s="3" t="s">
        <v>189</v>
      </c>
      <c r="G341" s="3" t="s">
        <v>366</v>
      </c>
      <c r="H341" s="3" t="s">
        <v>28</v>
      </c>
      <c r="I341" s="3" t="s">
        <v>231</v>
      </c>
      <c r="J341" s="3" t="s">
        <v>232</v>
      </c>
      <c r="K341" s="3" t="s">
        <v>33</v>
      </c>
      <c r="L341" s="3" t="s">
        <v>51</v>
      </c>
      <c r="M341" s="3" t="s">
        <v>378</v>
      </c>
      <c r="N341" s="3" t="s">
        <v>549</v>
      </c>
      <c r="O341" s="3" t="s">
        <v>334</v>
      </c>
      <c r="P341" s="3" t="s">
        <v>335</v>
      </c>
      <c r="Q341" s="3" t="s">
        <v>39</v>
      </c>
      <c r="R341" s="3" t="s">
        <v>40</v>
      </c>
      <c r="S341" s="55">
        <v>446513.8</v>
      </c>
      <c r="T341" s="55">
        <v>413100.20610000001</v>
      </c>
      <c r="U341" s="55">
        <v>39340.214</v>
      </c>
      <c r="V341" s="55">
        <v>33413.5939</v>
      </c>
      <c r="W341" s="3">
        <v>93</v>
      </c>
    </row>
    <row r="342" spans="1:23" x14ac:dyDescent="0.35">
      <c r="A342" s="3" t="s">
        <v>574</v>
      </c>
      <c r="B342" s="3" t="s">
        <v>575</v>
      </c>
      <c r="C342" s="3" t="s">
        <v>384</v>
      </c>
      <c r="D342" s="3" t="s">
        <v>364</v>
      </c>
      <c r="E342" s="3" t="s">
        <v>365</v>
      </c>
      <c r="F342" s="3" t="s">
        <v>189</v>
      </c>
      <c r="G342" s="3" t="s">
        <v>366</v>
      </c>
      <c r="H342" s="3" t="s">
        <v>28</v>
      </c>
      <c r="I342" s="3" t="s">
        <v>231</v>
      </c>
      <c r="J342" s="3" t="s">
        <v>232</v>
      </c>
      <c r="K342" s="3" t="s">
        <v>33</v>
      </c>
      <c r="L342" s="3" t="s">
        <v>51</v>
      </c>
      <c r="M342" s="3" t="s">
        <v>382</v>
      </c>
      <c r="N342" s="3" t="s">
        <v>383</v>
      </c>
      <c r="O342" s="3" t="s">
        <v>334</v>
      </c>
      <c r="P342" s="3" t="s">
        <v>335</v>
      </c>
      <c r="Q342" s="3" t="s">
        <v>39</v>
      </c>
      <c r="R342" s="3" t="s">
        <v>40</v>
      </c>
      <c r="S342" s="55">
        <v>51444.7</v>
      </c>
      <c r="T342" s="55">
        <v>46544.292399999998</v>
      </c>
      <c r="U342" s="55">
        <v>4436.1782999999996</v>
      </c>
      <c r="V342" s="55">
        <v>4900.4075999999995</v>
      </c>
      <c r="W342" s="3">
        <v>90</v>
      </c>
    </row>
    <row r="343" spans="1:23" x14ac:dyDescent="0.35">
      <c r="A343" s="3" t="s">
        <v>574</v>
      </c>
      <c r="B343" s="3" t="s">
        <v>575</v>
      </c>
      <c r="C343" s="3" t="s">
        <v>391</v>
      </c>
      <c r="D343" s="3" t="s">
        <v>392</v>
      </c>
      <c r="E343" s="3" t="s">
        <v>365</v>
      </c>
      <c r="F343" s="3" t="s">
        <v>28</v>
      </c>
      <c r="G343" s="3" t="s">
        <v>393</v>
      </c>
      <c r="H343" s="3" t="s">
        <v>28</v>
      </c>
      <c r="I343" s="3" t="s">
        <v>231</v>
      </c>
      <c r="J343" s="3" t="s">
        <v>232</v>
      </c>
      <c r="K343" s="3" t="s">
        <v>33</v>
      </c>
      <c r="L343" s="3" t="s">
        <v>51</v>
      </c>
      <c r="M343" s="3" t="s">
        <v>394</v>
      </c>
      <c r="N343" s="3" t="s">
        <v>395</v>
      </c>
      <c r="O343" s="3" t="s">
        <v>197</v>
      </c>
      <c r="P343" s="3" t="s">
        <v>198</v>
      </c>
      <c r="Q343" s="3" t="s">
        <v>39</v>
      </c>
      <c r="R343" s="3" t="s">
        <v>40</v>
      </c>
      <c r="S343" s="55">
        <v>48948.800000000003</v>
      </c>
      <c r="T343" s="55">
        <v>45685.069499999998</v>
      </c>
      <c r="U343" s="55">
        <v>1135.0574999999999</v>
      </c>
      <c r="V343" s="55">
        <v>3263.7305000000001</v>
      </c>
      <c r="W343" s="3">
        <v>93</v>
      </c>
    </row>
    <row r="344" spans="1:23" x14ac:dyDescent="0.35">
      <c r="A344" s="3" t="s">
        <v>574</v>
      </c>
      <c r="B344" s="3" t="s">
        <v>575</v>
      </c>
      <c r="C344" s="3" t="s">
        <v>550</v>
      </c>
      <c r="D344" s="3" t="s">
        <v>397</v>
      </c>
      <c r="E344" s="3" t="s">
        <v>365</v>
      </c>
      <c r="F344" s="3" t="s">
        <v>318</v>
      </c>
      <c r="G344" s="3" t="s">
        <v>398</v>
      </c>
      <c r="H344" s="3" t="s">
        <v>28</v>
      </c>
      <c r="I344" s="3" t="s">
        <v>231</v>
      </c>
      <c r="J344" s="3" t="s">
        <v>232</v>
      </c>
      <c r="K344" s="3" t="s">
        <v>33</v>
      </c>
      <c r="L344" s="3" t="s">
        <v>51</v>
      </c>
      <c r="M344" s="3" t="s">
        <v>551</v>
      </c>
      <c r="N344" s="3" t="s">
        <v>552</v>
      </c>
      <c r="O344" s="3" t="s">
        <v>108</v>
      </c>
      <c r="P344" s="3" t="s">
        <v>109</v>
      </c>
      <c r="Q344" s="3" t="s">
        <v>39</v>
      </c>
      <c r="R344" s="3" t="s">
        <v>40</v>
      </c>
      <c r="S344" s="55">
        <v>32359.3</v>
      </c>
      <c r="T344" s="55">
        <v>20149.405200000001</v>
      </c>
      <c r="U344" s="55">
        <v>2890.4576999999999</v>
      </c>
      <c r="V344" s="55">
        <v>12209.8948</v>
      </c>
      <c r="W344" s="3">
        <v>62</v>
      </c>
    </row>
    <row r="345" spans="1:23" x14ac:dyDescent="0.35">
      <c r="A345" s="3" t="s">
        <v>574</v>
      </c>
      <c r="B345" s="3" t="s">
        <v>575</v>
      </c>
      <c r="C345" s="3" t="s">
        <v>396</v>
      </c>
      <c r="D345" s="3" t="s">
        <v>397</v>
      </c>
      <c r="E345" s="3" t="s">
        <v>365</v>
      </c>
      <c r="F345" s="3" t="s">
        <v>318</v>
      </c>
      <c r="G345" s="3" t="s">
        <v>398</v>
      </c>
      <c r="H345" s="3" t="s">
        <v>116</v>
      </c>
      <c r="I345" s="3" t="s">
        <v>148</v>
      </c>
      <c r="J345" s="3" t="s">
        <v>149</v>
      </c>
      <c r="K345" s="3" t="s">
        <v>33</v>
      </c>
      <c r="L345" s="3" t="s">
        <v>51</v>
      </c>
      <c r="M345" s="3" t="s">
        <v>399</v>
      </c>
      <c r="N345" s="3" t="s">
        <v>573</v>
      </c>
      <c r="O345" s="3" t="s">
        <v>401</v>
      </c>
      <c r="P345" s="3" t="s">
        <v>402</v>
      </c>
      <c r="Q345" s="3" t="s">
        <v>39</v>
      </c>
      <c r="R345" s="3" t="s">
        <v>40</v>
      </c>
      <c r="S345" s="55">
        <v>1552.3</v>
      </c>
      <c r="T345" s="55">
        <v>0</v>
      </c>
      <c r="U345" s="55">
        <v>0</v>
      </c>
      <c r="V345" s="55">
        <v>1552.3</v>
      </c>
      <c r="W345" s="3">
        <v>0</v>
      </c>
    </row>
    <row r="346" spans="1:23" x14ac:dyDescent="0.35">
      <c r="A346" s="3" t="s">
        <v>574</v>
      </c>
      <c r="B346" s="3" t="s">
        <v>575</v>
      </c>
      <c r="C346" s="3" t="s">
        <v>553</v>
      </c>
      <c r="D346" s="3" t="s">
        <v>404</v>
      </c>
      <c r="E346" s="3" t="s">
        <v>405</v>
      </c>
      <c r="F346" s="3" t="s">
        <v>146</v>
      </c>
      <c r="G346" s="3" t="s">
        <v>406</v>
      </c>
      <c r="H346" s="3" t="s">
        <v>318</v>
      </c>
      <c r="I346" s="3" t="s">
        <v>407</v>
      </c>
      <c r="J346" s="3" t="s">
        <v>554</v>
      </c>
      <c r="K346" s="3" t="s">
        <v>23</v>
      </c>
      <c r="L346" s="3" t="s">
        <v>203</v>
      </c>
      <c r="M346" s="3" t="s">
        <v>555</v>
      </c>
      <c r="N346" s="3" t="s">
        <v>442</v>
      </c>
      <c r="O346" s="3" t="s">
        <v>197</v>
      </c>
      <c r="P346" s="3" t="s">
        <v>198</v>
      </c>
      <c r="Q346" s="3" t="s">
        <v>39</v>
      </c>
      <c r="R346" s="3" t="s">
        <v>40</v>
      </c>
      <c r="S346" s="55">
        <v>9879.5</v>
      </c>
      <c r="T346" s="55">
        <v>9208.0640999999996</v>
      </c>
      <c r="U346" s="55">
        <v>0</v>
      </c>
      <c r="V346" s="55">
        <v>671.43589999999995</v>
      </c>
      <c r="W346" s="3">
        <v>93</v>
      </c>
    </row>
    <row r="347" spans="1:23" x14ac:dyDescent="0.35">
      <c r="A347" s="3" t="s">
        <v>574</v>
      </c>
      <c r="B347" s="3" t="s">
        <v>575</v>
      </c>
      <c r="C347" s="3" t="s">
        <v>403</v>
      </c>
      <c r="D347" s="3" t="s">
        <v>404</v>
      </c>
      <c r="E347" s="3" t="s">
        <v>405</v>
      </c>
      <c r="F347" s="3" t="s">
        <v>146</v>
      </c>
      <c r="G347" s="3" t="s">
        <v>406</v>
      </c>
      <c r="H347" s="3" t="s">
        <v>318</v>
      </c>
      <c r="I347" s="3" t="s">
        <v>407</v>
      </c>
      <c r="J347" s="3" t="s">
        <v>408</v>
      </c>
      <c r="K347" s="3" t="s">
        <v>33</v>
      </c>
      <c r="L347" s="3" t="s">
        <v>51</v>
      </c>
      <c r="M347" s="3" t="s">
        <v>409</v>
      </c>
      <c r="N347" s="3" t="s">
        <v>410</v>
      </c>
      <c r="O347" s="3" t="s">
        <v>108</v>
      </c>
      <c r="P347" s="3" t="s">
        <v>109</v>
      </c>
      <c r="Q347" s="3" t="s">
        <v>39</v>
      </c>
      <c r="R347" s="3" t="s">
        <v>40</v>
      </c>
      <c r="S347" s="55">
        <v>183125.7</v>
      </c>
      <c r="T347" s="55">
        <v>156190.61060000001</v>
      </c>
      <c r="U347" s="55">
        <v>15716.8667</v>
      </c>
      <c r="V347" s="55">
        <v>26935.089400000001</v>
      </c>
      <c r="W347" s="3">
        <v>85</v>
      </c>
    </row>
    <row r="348" spans="1:23" x14ac:dyDescent="0.35">
      <c r="A348" s="3" t="s">
        <v>574</v>
      </c>
      <c r="B348" s="3" t="s">
        <v>575</v>
      </c>
      <c r="C348" s="3" t="s">
        <v>556</v>
      </c>
      <c r="D348" s="3" t="s">
        <v>412</v>
      </c>
      <c r="E348" s="3" t="s">
        <v>405</v>
      </c>
      <c r="F348" s="3" t="s">
        <v>189</v>
      </c>
      <c r="G348" s="3" t="s">
        <v>413</v>
      </c>
      <c r="H348" s="3" t="s">
        <v>318</v>
      </c>
      <c r="I348" s="3" t="s">
        <v>407</v>
      </c>
      <c r="J348" s="3" t="s">
        <v>554</v>
      </c>
      <c r="K348" s="3" t="s">
        <v>23</v>
      </c>
      <c r="L348" s="3" t="s">
        <v>203</v>
      </c>
      <c r="M348" s="3" t="s">
        <v>557</v>
      </c>
      <c r="N348" s="3" t="s">
        <v>415</v>
      </c>
      <c r="O348" s="3" t="s">
        <v>197</v>
      </c>
      <c r="P348" s="3" t="s">
        <v>198</v>
      </c>
      <c r="Q348" s="3" t="s">
        <v>39</v>
      </c>
      <c r="R348" s="3" t="s">
        <v>40</v>
      </c>
      <c r="S348" s="55">
        <v>3545.6</v>
      </c>
      <c r="T348" s="55">
        <v>2881.6381999999999</v>
      </c>
      <c r="U348" s="55">
        <v>283.13330000000002</v>
      </c>
      <c r="V348" s="55">
        <v>663.96180000000004</v>
      </c>
      <c r="W348" s="3">
        <v>81</v>
      </c>
    </row>
    <row r="349" spans="1:23" x14ac:dyDescent="0.35">
      <c r="A349" s="3" t="s">
        <v>574</v>
      </c>
      <c r="B349" s="3" t="s">
        <v>575</v>
      </c>
      <c r="C349" s="3" t="s">
        <v>416</v>
      </c>
      <c r="D349" s="3" t="s">
        <v>417</v>
      </c>
      <c r="E349" s="3" t="s">
        <v>405</v>
      </c>
      <c r="F349" s="3" t="s">
        <v>28</v>
      </c>
      <c r="G349" s="3" t="s">
        <v>418</v>
      </c>
      <c r="H349" s="3" t="s">
        <v>318</v>
      </c>
      <c r="I349" s="3" t="s">
        <v>407</v>
      </c>
      <c r="J349" s="3" t="s">
        <v>408</v>
      </c>
      <c r="K349" s="3" t="s">
        <v>33</v>
      </c>
      <c r="L349" s="3" t="s">
        <v>51</v>
      </c>
      <c r="M349" s="3" t="s">
        <v>419</v>
      </c>
      <c r="N349" s="3" t="s">
        <v>420</v>
      </c>
      <c r="O349" s="3" t="s">
        <v>108</v>
      </c>
      <c r="P349" s="3" t="s">
        <v>109</v>
      </c>
      <c r="Q349" s="3" t="s">
        <v>39</v>
      </c>
      <c r="R349" s="3" t="s">
        <v>40</v>
      </c>
      <c r="S349" s="55">
        <v>324843.3</v>
      </c>
      <c r="T349" s="55">
        <v>297001.74489999999</v>
      </c>
      <c r="U349" s="55">
        <v>23662.7837</v>
      </c>
      <c r="V349" s="55">
        <v>27841.555100000001</v>
      </c>
      <c r="W349" s="3">
        <v>91</v>
      </c>
    </row>
    <row r="350" spans="1:23" x14ac:dyDescent="0.35">
      <c r="A350" s="3" t="s">
        <v>576</v>
      </c>
      <c r="B350" s="3" t="s">
        <v>577</v>
      </c>
      <c r="C350" s="3" t="s">
        <v>25</v>
      </c>
      <c r="D350" s="3" t="s">
        <v>26</v>
      </c>
      <c r="E350" s="3" t="s">
        <v>27</v>
      </c>
      <c r="F350" s="3" t="s">
        <v>28</v>
      </c>
      <c r="G350" s="3" t="s">
        <v>29</v>
      </c>
      <c r="H350" s="3" t="s">
        <v>30</v>
      </c>
      <c r="I350" s="3" t="s">
        <v>31</v>
      </c>
      <c r="J350" s="3" t="s">
        <v>32</v>
      </c>
      <c r="K350" s="3" t="s">
        <v>33</v>
      </c>
      <c r="L350" s="3" t="s">
        <v>51</v>
      </c>
      <c r="M350" s="3" t="s">
        <v>35</v>
      </c>
      <c r="N350" s="3" t="s">
        <v>36</v>
      </c>
      <c r="O350" s="3" t="s">
        <v>37</v>
      </c>
      <c r="P350" s="3" t="s">
        <v>38</v>
      </c>
      <c r="Q350" s="3" t="s">
        <v>39</v>
      </c>
      <c r="R350" s="3" t="s">
        <v>40</v>
      </c>
      <c r="S350" s="55">
        <v>310.89999999999998</v>
      </c>
      <c r="T350" s="55">
        <v>128.5992</v>
      </c>
      <c r="U350" s="55">
        <v>54.617899999999999</v>
      </c>
      <c r="V350" s="55">
        <v>182.30080000000001</v>
      </c>
      <c r="W350" s="3">
        <v>41</v>
      </c>
    </row>
    <row r="351" spans="1:23" x14ac:dyDescent="0.35">
      <c r="A351" s="3" t="s">
        <v>576</v>
      </c>
      <c r="B351" s="3" t="s">
        <v>577</v>
      </c>
      <c r="C351" s="3" t="s">
        <v>41</v>
      </c>
      <c r="D351" s="3" t="s">
        <v>26</v>
      </c>
      <c r="E351" s="3" t="s">
        <v>27</v>
      </c>
      <c r="F351" s="3" t="s">
        <v>28</v>
      </c>
      <c r="G351" s="3" t="s">
        <v>29</v>
      </c>
      <c r="H351" s="3" t="s">
        <v>30</v>
      </c>
      <c r="I351" s="3" t="s">
        <v>31</v>
      </c>
      <c r="J351" s="3" t="s">
        <v>32</v>
      </c>
      <c r="K351" s="3" t="s">
        <v>33</v>
      </c>
      <c r="L351" s="3" t="s">
        <v>51</v>
      </c>
      <c r="M351" s="3" t="s">
        <v>35</v>
      </c>
      <c r="N351" s="3" t="s">
        <v>36</v>
      </c>
      <c r="O351" s="3" t="s">
        <v>42</v>
      </c>
      <c r="P351" s="3" t="s">
        <v>43</v>
      </c>
      <c r="Q351" s="3" t="s">
        <v>39</v>
      </c>
      <c r="R351" s="3" t="s">
        <v>40</v>
      </c>
      <c r="S351" s="55">
        <v>8.3000000000000007</v>
      </c>
      <c r="T351" s="55">
        <v>1.7666999999999999</v>
      </c>
      <c r="U351" s="55">
        <v>0</v>
      </c>
      <c r="V351" s="55">
        <v>6.5332999999999997</v>
      </c>
      <c r="W351" s="3">
        <v>21</v>
      </c>
    </row>
    <row r="352" spans="1:23" x14ac:dyDescent="0.35">
      <c r="A352" s="3" t="s">
        <v>576</v>
      </c>
      <c r="B352" s="3" t="s">
        <v>577</v>
      </c>
      <c r="C352" s="3" t="s">
        <v>44</v>
      </c>
      <c r="D352" s="3" t="s">
        <v>45</v>
      </c>
      <c r="E352" s="3" t="s">
        <v>27</v>
      </c>
      <c r="F352" s="3" t="s">
        <v>46</v>
      </c>
      <c r="G352" s="3" t="s">
        <v>47</v>
      </c>
      <c r="H352" s="3" t="s">
        <v>48</v>
      </c>
      <c r="I352" s="3" t="s">
        <v>49</v>
      </c>
      <c r="J352" s="3" t="s">
        <v>50</v>
      </c>
      <c r="K352" s="3" t="s">
        <v>33</v>
      </c>
      <c r="L352" s="3" t="s">
        <v>51</v>
      </c>
      <c r="M352" s="3" t="s">
        <v>52</v>
      </c>
      <c r="N352" s="3" t="s">
        <v>53</v>
      </c>
      <c r="O352" s="3" t="s">
        <v>54</v>
      </c>
      <c r="P352" s="3" t="s">
        <v>55</v>
      </c>
      <c r="Q352" s="3" t="s">
        <v>39</v>
      </c>
      <c r="R352" s="3" t="s">
        <v>40</v>
      </c>
      <c r="S352" s="55">
        <v>64.400000000000006</v>
      </c>
      <c r="T352" s="55">
        <v>0</v>
      </c>
      <c r="U352" s="55">
        <v>0</v>
      </c>
      <c r="V352" s="55">
        <v>64.400000000000006</v>
      </c>
      <c r="W352" s="3">
        <v>0</v>
      </c>
    </row>
    <row r="353" spans="1:23" x14ac:dyDescent="0.35">
      <c r="A353" s="3" t="s">
        <v>576</v>
      </c>
      <c r="B353" s="3" t="s">
        <v>577</v>
      </c>
      <c r="C353" s="3" t="s">
        <v>59</v>
      </c>
      <c r="D353" s="3" t="s">
        <v>45</v>
      </c>
      <c r="E353" s="3" t="s">
        <v>27</v>
      </c>
      <c r="F353" s="3" t="s">
        <v>46</v>
      </c>
      <c r="G353" s="3" t="s">
        <v>47</v>
      </c>
      <c r="H353" s="3" t="s">
        <v>60</v>
      </c>
      <c r="I353" s="3" t="s">
        <v>61</v>
      </c>
      <c r="J353" s="3" t="s">
        <v>62</v>
      </c>
      <c r="K353" s="3" t="s">
        <v>33</v>
      </c>
      <c r="L353" s="3" t="s">
        <v>51</v>
      </c>
      <c r="M353" s="3" t="s">
        <v>63</v>
      </c>
      <c r="N353" s="3" t="s">
        <v>64</v>
      </c>
      <c r="O353" s="3" t="s">
        <v>37</v>
      </c>
      <c r="P353" s="3" t="s">
        <v>38</v>
      </c>
      <c r="Q353" s="3" t="s">
        <v>39</v>
      </c>
      <c r="R353" s="3" t="s">
        <v>40</v>
      </c>
      <c r="S353" s="55">
        <v>157.5</v>
      </c>
      <c r="T353" s="55">
        <v>157.49</v>
      </c>
      <c r="U353" s="55">
        <v>35.5</v>
      </c>
      <c r="V353" s="55">
        <v>0.01</v>
      </c>
      <c r="W353" s="3">
        <v>100</v>
      </c>
    </row>
    <row r="354" spans="1:23" x14ac:dyDescent="0.35">
      <c r="A354" s="3" t="s">
        <v>576</v>
      </c>
      <c r="B354" s="3" t="s">
        <v>577</v>
      </c>
      <c r="C354" s="3" t="s">
        <v>65</v>
      </c>
      <c r="D354" s="3" t="s">
        <v>45</v>
      </c>
      <c r="E354" s="3" t="s">
        <v>27</v>
      </c>
      <c r="F354" s="3" t="s">
        <v>46</v>
      </c>
      <c r="G354" s="3" t="s">
        <v>47</v>
      </c>
      <c r="H354" s="3" t="s">
        <v>66</v>
      </c>
      <c r="I354" s="3" t="s">
        <v>67</v>
      </c>
      <c r="J354" s="3" t="s">
        <v>68</v>
      </c>
      <c r="K354" s="3" t="s">
        <v>33</v>
      </c>
      <c r="L354" s="3" t="s">
        <v>51</v>
      </c>
      <c r="M354" s="3" t="s">
        <v>69</v>
      </c>
      <c r="N354" s="3" t="s">
        <v>70</v>
      </c>
      <c r="O354" s="3" t="s">
        <v>37</v>
      </c>
      <c r="P354" s="3" t="s">
        <v>38</v>
      </c>
      <c r="Q354" s="3" t="s">
        <v>39</v>
      </c>
      <c r="R354" s="3" t="s">
        <v>40</v>
      </c>
      <c r="S354" s="55">
        <v>567.1</v>
      </c>
      <c r="T354" s="55">
        <v>567.0752</v>
      </c>
      <c r="U354" s="55">
        <v>299.5</v>
      </c>
      <c r="V354" s="55">
        <v>2.4799999999999999E-2</v>
      </c>
      <c r="W354" s="3">
        <v>100</v>
      </c>
    </row>
    <row r="355" spans="1:23" x14ac:dyDescent="0.35">
      <c r="A355" s="3" t="s">
        <v>576</v>
      </c>
      <c r="B355" s="3" t="s">
        <v>577</v>
      </c>
      <c r="C355" s="3" t="s">
        <v>71</v>
      </c>
      <c r="D355" s="3" t="s">
        <v>45</v>
      </c>
      <c r="E355" s="3" t="s">
        <v>27</v>
      </c>
      <c r="F355" s="3" t="s">
        <v>46</v>
      </c>
      <c r="G355" s="3" t="s">
        <v>47</v>
      </c>
      <c r="H355" s="3" t="s">
        <v>30</v>
      </c>
      <c r="I355" s="3" t="s">
        <v>31</v>
      </c>
      <c r="J355" s="3" t="s">
        <v>32</v>
      </c>
      <c r="K355" s="3" t="s">
        <v>33</v>
      </c>
      <c r="L355" s="3" t="s">
        <v>51</v>
      </c>
      <c r="M355" s="3" t="s">
        <v>72</v>
      </c>
      <c r="N355" s="3" t="s">
        <v>73</v>
      </c>
      <c r="O355" s="3" t="s">
        <v>74</v>
      </c>
      <c r="P355" s="3" t="s">
        <v>75</v>
      </c>
      <c r="Q355" s="3" t="s">
        <v>39</v>
      </c>
      <c r="R355" s="3" t="s">
        <v>40</v>
      </c>
      <c r="S355" s="55">
        <v>246128.1</v>
      </c>
      <c r="T355" s="55">
        <v>246128.06030000001</v>
      </c>
      <c r="U355" s="55">
        <v>29520.0694</v>
      </c>
      <c r="V355" s="55">
        <v>3.9699999999999999E-2</v>
      </c>
      <c r="W355" s="3">
        <v>100</v>
      </c>
    </row>
    <row r="356" spans="1:23" x14ac:dyDescent="0.35">
      <c r="A356" s="3" t="s">
        <v>576</v>
      </c>
      <c r="B356" s="3" t="s">
        <v>577</v>
      </c>
      <c r="C356" s="3" t="s">
        <v>76</v>
      </c>
      <c r="D356" s="3" t="s">
        <v>45</v>
      </c>
      <c r="E356" s="3" t="s">
        <v>27</v>
      </c>
      <c r="F356" s="3" t="s">
        <v>46</v>
      </c>
      <c r="G356" s="3" t="s">
        <v>47</v>
      </c>
      <c r="H356" s="3" t="s">
        <v>30</v>
      </c>
      <c r="I356" s="3" t="s">
        <v>31</v>
      </c>
      <c r="J356" s="3" t="s">
        <v>32</v>
      </c>
      <c r="K356" s="3" t="s">
        <v>33</v>
      </c>
      <c r="L356" s="3" t="s">
        <v>51</v>
      </c>
      <c r="M356" s="3" t="s">
        <v>72</v>
      </c>
      <c r="N356" s="3" t="s">
        <v>73</v>
      </c>
      <c r="O356" s="3" t="s">
        <v>77</v>
      </c>
      <c r="P356" s="3" t="s">
        <v>78</v>
      </c>
      <c r="Q356" s="3" t="s">
        <v>39</v>
      </c>
      <c r="R356" s="3" t="s">
        <v>40</v>
      </c>
      <c r="S356" s="55">
        <v>124.9</v>
      </c>
      <c r="T356" s="55">
        <v>124.8695</v>
      </c>
      <c r="U356" s="55">
        <v>39.243499999999997</v>
      </c>
      <c r="V356" s="55">
        <v>3.0499999999999999E-2</v>
      </c>
      <c r="W356" s="3">
        <v>100</v>
      </c>
    </row>
    <row r="357" spans="1:23" x14ac:dyDescent="0.35">
      <c r="A357" s="3" t="s">
        <v>576</v>
      </c>
      <c r="B357" s="3" t="s">
        <v>577</v>
      </c>
      <c r="C357" s="3" t="s">
        <v>79</v>
      </c>
      <c r="D357" s="3" t="s">
        <v>45</v>
      </c>
      <c r="E357" s="3" t="s">
        <v>27</v>
      </c>
      <c r="F357" s="3" t="s">
        <v>46</v>
      </c>
      <c r="G357" s="3" t="s">
        <v>47</v>
      </c>
      <c r="H357" s="3" t="s">
        <v>30</v>
      </c>
      <c r="I357" s="3" t="s">
        <v>31</v>
      </c>
      <c r="J357" s="3" t="s">
        <v>32</v>
      </c>
      <c r="K357" s="3" t="s">
        <v>33</v>
      </c>
      <c r="L357" s="3" t="s">
        <v>51</v>
      </c>
      <c r="M357" s="3" t="s">
        <v>72</v>
      </c>
      <c r="N357" s="3" t="s">
        <v>73</v>
      </c>
      <c r="O357" s="3" t="s">
        <v>80</v>
      </c>
      <c r="P357" s="3" t="s">
        <v>81</v>
      </c>
      <c r="Q357" s="3" t="s">
        <v>39</v>
      </c>
      <c r="R357" s="3" t="s">
        <v>40</v>
      </c>
      <c r="S357" s="55">
        <v>73726.399999999994</v>
      </c>
      <c r="T357" s="55">
        <v>73726.399999999994</v>
      </c>
      <c r="U357" s="55">
        <v>6924.12</v>
      </c>
      <c r="V357" s="55">
        <v>0</v>
      </c>
      <c r="W357" s="3">
        <v>100</v>
      </c>
    </row>
    <row r="358" spans="1:23" x14ac:dyDescent="0.35">
      <c r="A358" s="3" t="s">
        <v>576</v>
      </c>
      <c r="B358" s="3" t="s">
        <v>577</v>
      </c>
      <c r="C358" s="3" t="s">
        <v>82</v>
      </c>
      <c r="D358" s="3" t="s">
        <v>45</v>
      </c>
      <c r="E358" s="3" t="s">
        <v>27</v>
      </c>
      <c r="F358" s="3" t="s">
        <v>46</v>
      </c>
      <c r="G358" s="3" t="s">
        <v>47</v>
      </c>
      <c r="H358" s="3" t="s">
        <v>30</v>
      </c>
      <c r="I358" s="3" t="s">
        <v>31</v>
      </c>
      <c r="J358" s="3" t="s">
        <v>32</v>
      </c>
      <c r="K358" s="3" t="s">
        <v>33</v>
      </c>
      <c r="L358" s="3" t="s">
        <v>51</v>
      </c>
      <c r="M358" s="3" t="s">
        <v>72</v>
      </c>
      <c r="N358" s="3" t="s">
        <v>73</v>
      </c>
      <c r="O358" s="3" t="s">
        <v>83</v>
      </c>
      <c r="P358" s="3" t="s">
        <v>84</v>
      </c>
      <c r="Q358" s="3" t="s">
        <v>39</v>
      </c>
      <c r="R358" s="3" t="s">
        <v>40</v>
      </c>
      <c r="S358" s="55">
        <v>300</v>
      </c>
      <c r="T358" s="55">
        <v>200</v>
      </c>
      <c r="U358" s="55">
        <v>37.031500000000001</v>
      </c>
      <c r="V358" s="55">
        <v>100</v>
      </c>
      <c r="W358" s="3">
        <v>67</v>
      </c>
    </row>
    <row r="359" spans="1:23" x14ac:dyDescent="0.35">
      <c r="A359" s="3" t="s">
        <v>576</v>
      </c>
      <c r="B359" s="3" t="s">
        <v>577</v>
      </c>
      <c r="C359" s="3" t="s">
        <v>88</v>
      </c>
      <c r="D359" s="3" t="s">
        <v>45</v>
      </c>
      <c r="E359" s="3" t="s">
        <v>27</v>
      </c>
      <c r="F359" s="3" t="s">
        <v>46</v>
      </c>
      <c r="G359" s="3" t="s">
        <v>47</v>
      </c>
      <c r="H359" s="3" t="s">
        <v>30</v>
      </c>
      <c r="I359" s="3" t="s">
        <v>31</v>
      </c>
      <c r="J359" s="3" t="s">
        <v>32</v>
      </c>
      <c r="K359" s="3" t="s">
        <v>33</v>
      </c>
      <c r="L359" s="3" t="s">
        <v>51</v>
      </c>
      <c r="M359" s="3" t="s">
        <v>72</v>
      </c>
      <c r="N359" s="3" t="s">
        <v>73</v>
      </c>
      <c r="O359" s="3" t="s">
        <v>37</v>
      </c>
      <c r="P359" s="3" t="s">
        <v>38</v>
      </c>
      <c r="Q359" s="3" t="s">
        <v>39</v>
      </c>
      <c r="R359" s="3" t="s">
        <v>40</v>
      </c>
      <c r="S359" s="55">
        <v>96825.600000000006</v>
      </c>
      <c r="T359" s="55">
        <v>95256.777400000006</v>
      </c>
      <c r="U359" s="55">
        <v>27104.5926</v>
      </c>
      <c r="V359" s="55">
        <v>1568.8226</v>
      </c>
      <c r="W359" s="3">
        <v>98</v>
      </c>
    </row>
    <row r="360" spans="1:23" x14ac:dyDescent="0.35">
      <c r="A360" s="3" t="s">
        <v>576</v>
      </c>
      <c r="B360" s="3" t="s">
        <v>577</v>
      </c>
      <c r="C360" s="3" t="s">
        <v>89</v>
      </c>
      <c r="D360" s="3" t="s">
        <v>45</v>
      </c>
      <c r="E360" s="3" t="s">
        <v>27</v>
      </c>
      <c r="F360" s="3" t="s">
        <v>46</v>
      </c>
      <c r="G360" s="3" t="s">
        <v>47</v>
      </c>
      <c r="H360" s="3" t="s">
        <v>30</v>
      </c>
      <c r="I360" s="3" t="s">
        <v>31</v>
      </c>
      <c r="J360" s="3" t="s">
        <v>32</v>
      </c>
      <c r="K360" s="3" t="s">
        <v>33</v>
      </c>
      <c r="L360" s="3" t="s">
        <v>51</v>
      </c>
      <c r="M360" s="3" t="s">
        <v>72</v>
      </c>
      <c r="N360" s="3" t="s">
        <v>73</v>
      </c>
      <c r="O360" s="3" t="s">
        <v>42</v>
      </c>
      <c r="P360" s="3" t="s">
        <v>43</v>
      </c>
      <c r="Q360" s="3" t="s">
        <v>39</v>
      </c>
      <c r="R360" s="3" t="s">
        <v>40</v>
      </c>
      <c r="S360" s="55">
        <v>16160.9</v>
      </c>
      <c r="T360" s="55">
        <v>16160.9</v>
      </c>
      <c r="U360" s="55">
        <v>3082.5544</v>
      </c>
      <c r="V360" s="55">
        <v>0</v>
      </c>
      <c r="W360" s="3">
        <v>100</v>
      </c>
    </row>
    <row r="361" spans="1:23" x14ac:dyDescent="0.35">
      <c r="A361" s="3" t="s">
        <v>576</v>
      </c>
      <c r="B361" s="3" t="s">
        <v>577</v>
      </c>
      <c r="C361" s="3" t="s">
        <v>90</v>
      </c>
      <c r="D361" s="3" t="s">
        <v>45</v>
      </c>
      <c r="E361" s="3" t="s">
        <v>27</v>
      </c>
      <c r="F361" s="3" t="s">
        <v>46</v>
      </c>
      <c r="G361" s="3" t="s">
        <v>47</v>
      </c>
      <c r="H361" s="3" t="s">
        <v>30</v>
      </c>
      <c r="I361" s="3" t="s">
        <v>31</v>
      </c>
      <c r="J361" s="3" t="s">
        <v>32</v>
      </c>
      <c r="K361" s="3" t="s">
        <v>33</v>
      </c>
      <c r="L361" s="3" t="s">
        <v>51</v>
      </c>
      <c r="M361" s="3" t="s">
        <v>72</v>
      </c>
      <c r="N361" s="3" t="s">
        <v>73</v>
      </c>
      <c r="O361" s="3" t="s">
        <v>91</v>
      </c>
      <c r="P361" s="3" t="s">
        <v>92</v>
      </c>
      <c r="Q361" s="3" t="s">
        <v>39</v>
      </c>
      <c r="R361" s="3" t="s">
        <v>40</v>
      </c>
      <c r="S361" s="55">
        <v>1288.7</v>
      </c>
      <c r="T361" s="55">
        <v>1288.4321</v>
      </c>
      <c r="U361" s="55">
        <v>785.51959999999997</v>
      </c>
      <c r="V361" s="55">
        <v>0.26790000000000003</v>
      </c>
      <c r="W361" s="3">
        <v>100</v>
      </c>
    </row>
    <row r="362" spans="1:23" x14ac:dyDescent="0.35">
      <c r="A362" s="3" t="s">
        <v>576</v>
      </c>
      <c r="B362" s="3" t="s">
        <v>577</v>
      </c>
      <c r="C362" s="3" t="s">
        <v>559</v>
      </c>
      <c r="D362" s="3" t="s">
        <v>45</v>
      </c>
      <c r="E362" s="3" t="s">
        <v>27</v>
      </c>
      <c r="F362" s="3" t="s">
        <v>46</v>
      </c>
      <c r="G362" s="3" t="s">
        <v>47</v>
      </c>
      <c r="H362" s="3" t="s">
        <v>30</v>
      </c>
      <c r="I362" s="3" t="s">
        <v>31</v>
      </c>
      <c r="J362" s="3" t="s">
        <v>32</v>
      </c>
      <c r="K362" s="3" t="s">
        <v>33</v>
      </c>
      <c r="L362" s="3" t="s">
        <v>51</v>
      </c>
      <c r="M362" s="3" t="s">
        <v>72</v>
      </c>
      <c r="N362" s="3" t="s">
        <v>73</v>
      </c>
      <c r="O362" s="3" t="s">
        <v>125</v>
      </c>
      <c r="P362" s="3" t="s">
        <v>126</v>
      </c>
      <c r="Q362" s="3" t="s">
        <v>39</v>
      </c>
      <c r="R362" s="3" t="s">
        <v>40</v>
      </c>
      <c r="S362" s="55">
        <v>179.8</v>
      </c>
      <c r="T362" s="55">
        <v>179.71199999999999</v>
      </c>
      <c r="U362" s="55">
        <v>0</v>
      </c>
      <c r="V362" s="55">
        <v>8.7999999999999995E-2</v>
      </c>
      <c r="W362" s="3">
        <v>100</v>
      </c>
    </row>
    <row r="363" spans="1:23" x14ac:dyDescent="0.35">
      <c r="A363" s="3" t="s">
        <v>576</v>
      </c>
      <c r="B363" s="3" t="s">
        <v>577</v>
      </c>
      <c r="C363" s="3" t="s">
        <v>93</v>
      </c>
      <c r="D363" s="3" t="s">
        <v>45</v>
      </c>
      <c r="E363" s="3" t="s">
        <v>27</v>
      </c>
      <c r="F363" s="3" t="s">
        <v>46</v>
      </c>
      <c r="G363" s="3" t="s">
        <v>47</v>
      </c>
      <c r="H363" s="3" t="s">
        <v>30</v>
      </c>
      <c r="I363" s="3" t="s">
        <v>31</v>
      </c>
      <c r="J363" s="3" t="s">
        <v>32</v>
      </c>
      <c r="K363" s="3" t="s">
        <v>33</v>
      </c>
      <c r="L363" s="3" t="s">
        <v>51</v>
      </c>
      <c r="M363" s="3" t="s">
        <v>94</v>
      </c>
      <c r="N363" s="3" t="s">
        <v>95</v>
      </c>
      <c r="O363" s="3" t="s">
        <v>96</v>
      </c>
      <c r="P363" s="3" t="s">
        <v>97</v>
      </c>
      <c r="Q363" s="3" t="s">
        <v>39</v>
      </c>
      <c r="R363" s="3" t="s">
        <v>40</v>
      </c>
      <c r="S363" s="55">
        <v>186070.5</v>
      </c>
      <c r="T363" s="55">
        <v>186024.9817</v>
      </c>
      <c r="U363" s="55">
        <v>22449.632600000001</v>
      </c>
      <c r="V363" s="55">
        <v>45.518300000000004</v>
      </c>
      <c r="W363" s="3">
        <v>100</v>
      </c>
    </row>
    <row r="364" spans="1:23" x14ac:dyDescent="0.35">
      <c r="A364" s="3" t="s">
        <v>576</v>
      </c>
      <c r="B364" s="3" t="s">
        <v>577</v>
      </c>
      <c r="C364" s="3" t="s">
        <v>98</v>
      </c>
      <c r="D364" s="3" t="s">
        <v>45</v>
      </c>
      <c r="E364" s="3" t="s">
        <v>27</v>
      </c>
      <c r="F364" s="3" t="s">
        <v>46</v>
      </c>
      <c r="G364" s="3" t="s">
        <v>47</v>
      </c>
      <c r="H364" s="3" t="s">
        <v>30</v>
      </c>
      <c r="I364" s="3" t="s">
        <v>31</v>
      </c>
      <c r="J364" s="3" t="s">
        <v>32</v>
      </c>
      <c r="K364" s="3" t="s">
        <v>33</v>
      </c>
      <c r="L364" s="3" t="s">
        <v>51</v>
      </c>
      <c r="M364" s="3" t="s">
        <v>94</v>
      </c>
      <c r="N364" s="3" t="s">
        <v>95</v>
      </c>
      <c r="O364" s="3" t="s">
        <v>99</v>
      </c>
      <c r="P364" s="3" t="s">
        <v>100</v>
      </c>
      <c r="Q364" s="3" t="s">
        <v>39</v>
      </c>
      <c r="R364" s="3" t="s">
        <v>40</v>
      </c>
      <c r="S364" s="55">
        <v>56013.7</v>
      </c>
      <c r="T364" s="55">
        <v>55957.261200000001</v>
      </c>
      <c r="U364" s="55">
        <v>8861.2782000000007</v>
      </c>
      <c r="V364" s="55">
        <v>56.438800000000001</v>
      </c>
      <c r="W364" s="3">
        <v>100</v>
      </c>
    </row>
    <row r="365" spans="1:23" x14ac:dyDescent="0.35">
      <c r="A365" s="3" t="s">
        <v>576</v>
      </c>
      <c r="B365" s="3" t="s">
        <v>577</v>
      </c>
      <c r="C365" s="3" t="s">
        <v>101</v>
      </c>
      <c r="D365" s="3" t="s">
        <v>45</v>
      </c>
      <c r="E365" s="3" t="s">
        <v>27</v>
      </c>
      <c r="F365" s="3" t="s">
        <v>46</v>
      </c>
      <c r="G365" s="3" t="s">
        <v>47</v>
      </c>
      <c r="H365" s="3" t="s">
        <v>30</v>
      </c>
      <c r="I365" s="3" t="s">
        <v>31</v>
      </c>
      <c r="J365" s="3" t="s">
        <v>32</v>
      </c>
      <c r="K365" s="3" t="s">
        <v>33</v>
      </c>
      <c r="L365" s="3" t="s">
        <v>51</v>
      </c>
      <c r="M365" s="3" t="s">
        <v>94</v>
      </c>
      <c r="N365" s="3" t="s">
        <v>95</v>
      </c>
      <c r="O365" s="3" t="s">
        <v>37</v>
      </c>
      <c r="P365" s="3" t="s">
        <v>38</v>
      </c>
      <c r="Q365" s="3" t="s">
        <v>39</v>
      </c>
      <c r="R365" s="3" t="s">
        <v>40</v>
      </c>
      <c r="S365" s="55">
        <v>2617</v>
      </c>
      <c r="T365" s="55">
        <v>2601.3679000000002</v>
      </c>
      <c r="U365" s="55">
        <v>78.321799999999996</v>
      </c>
      <c r="V365" s="55">
        <v>15.632099999999999</v>
      </c>
      <c r="W365" s="3">
        <v>99</v>
      </c>
    </row>
    <row r="366" spans="1:23" x14ac:dyDescent="0.35">
      <c r="A366" s="3" t="s">
        <v>576</v>
      </c>
      <c r="B366" s="3" t="s">
        <v>577</v>
      </c>
      <c r="C366" s="3" t="s">
        <v>467</v>
      </c>
      <c r="D366" s="3" t="s">
        <v>45</v>
      </c>
      <c r="E366" s="3" t="s">
        <v>27</v>
      </c>
      <c r="F366" s="3" t="s">
        <v>46</v>
      </c>
      <c r="G366" s="3" t="s">
        <v>47</v>
      </c>
      <c r="H366" s="3" t="s">
        <v>30</v>
      </c>
      <c r="I366" s="3" t="s">
        <v>31</v>
      </c>
      <c r="J366" s="3" t="s">
        <v>32</v>
      </c>
      <c r="K366" s="3" t="s">
        <v>33</v>
      </c>
      <c r="L366" s="3" t="s">
        <v>51</v>
      </c>
      <c r="M366" s="3" t="s">
        <v>94</v>
      </c>
      <c r="N366" s="3" t="s">
        <v>95</v>
      </c>
      <c r="O366" s="3" t="s">
        <v>468</v>
      </c>
      <c r="P366" s="3" t="s">
        <v>469</v>
      </c>
      <c r="Q366" s="3" t="s">
        <v>39</v>
      </c>
      <c r="R366" s="3" t="s">
        <v>40</v>
      </c>
      <c r="S366" s="55">
        <v>2</v>
      </c>
      <c r="T366" s="55">
        <v>1.9904999999999999</v>
      </c>
      <c r="U366" s="55">
        <v>0</v>
      </c>
      <c r="V366" s="55">
        <v>9.4999999999999998E-3</v>
      </c>
      <c r="W366" s="3">
        <v>100</v>
      </c>
    </row>
    <row r="367" spans="1:23" x14ac:dyDescent="0.35">
      <c r="A367" s="3" t="s">
        <v>576</v>
      </c>
      <c r="B367" s="3" t="s">
        <v>577</v>
      </c>
      <c r="C367" s="3" t="s">
        <v>102</v>
      </c>
      <c r="D367" s="3" t="s">
        <v>45</v>
      </c>
      <c r="E367" s="3" t="s">
        <v>27</v>
      </c>
      <c r="F367" s="3" t="s">
        <v>46</v>
      </c>
      <c r="G367" s="3" t="s">
        <v>47</v>
      </c>
      <c r="H367" s="3" t="s">
        <v>30</v>
      </c>
      <c r="I367" s="3" t="s">
        <v>31</v>
      </c>
      <c r="J367" s="3" t="s">
        <v>32</v>
      </c>
      <c r="K367" s="3" t="s">
        <v>33</v>
      </c>
      <c r="L367" s="3" t="s">
        <v>51</v>
      </c>
      <c r="M367" s="3" t="s">
        <v>94</v>
      </c>
      <c r="N367" s="3" t="s">
        <v>95</v>
      </c>
      <c r="O367" s="3" t="s">
        <v>103</v>
      </c>
      <c r="P367" s="3" t="s">
        <v>104</v>
      </c>
      <c r="Q367" s="3" t="s">
        <v>39</v>
      </c>
      <c r="R367" s="3" t="s">
        <v>40</v>
      </c>
      <c r="S367" s="55">
        <v>3.7</v>
      </c>
      <c r="T367" s="55">
        <v>3.2248999999999999</v>
      </c>
      <c r="U367" s="55">
        <v>0</v>
      </c>
      <c r="V367" s="55">
        <v>0.47510000000000002</v>
      </c>
      <c r="W367" s="3">
        <v>87</v>
      </c>
    </row>
    <row r="368" spans="1:23" x14ac:dyDescent="0.35">
      <c r="A368" s="3" t="s">
        <v>576</v>
      </c>
      <c r="B368" s="3" t="s">
        <v>577</v>
      </c>
      <c r="C368" s="3" t="s">
        <v>105</v>
      </c>
      <c r="D368" s="3" t="s">
        <v>45</v>
      </c>
      <c r="E368" s="3" t="s">
        <v>27</v>
      </c>
      <c r="F368" s="3" t="s">
        <v>46</v>
      </c>
      <c r="G368" s="3" t="s">
        <v>47</v>
      </c>
      <c r="H368" s="3" t="s">
        <v>30</v>
      </c>
      <c r="I368" s="3" t="s">
        <v>31</v>
      </c>
      <c r="J368" s="3" t="s">
        <v>32</v>
      </c>
      <c r="K368" s="3" t="s">
        <v>33</v>
      </c>
      <c r="L368" s="3" t="s">
        <v>51</v>
      </c>
      <c r="M368" s="3" t="s">
        <v>106</v>
      </c>
      <c r="N368" s="3" t="s">
        <v>107</v>
      </c>
      <c r="O368" s="3" t="s">
        <v>108</v>
      </c>
      <c r="P368" s="3" t="s">
        <v>109</v>
      </c>
      <c r="Q368" s="3" t="s">
        <v>39</v>
      </c>
      <c r="R368" s="3" t="s">
        <v>40</v>
      </c>
      <c r="S368" s="55">
        <v>70925.600000000006</v>
      </c>
      <c r="T368" s="55">
        <v>70925.600000000006</v>
      </c>
      <c r="U368" s="55">
        <v>8530.8721999999998</v>
      </c>
      <c r="V368" s="55">
        <v>0</v>
      </c>
      <c r="W368" s="3">
        <v>100</v>
      </c>
    </row>
    <row r="369" spans="1:23" x14ac:dyDescent="0.35">
      <c r="A369" s="3" t="s">
        <v>576</v>
      </c>
      <c r="B369" s="3" t="s">
        <v>577</v>
      </c>
      <c r="C369" s="3" t="s">
        <v>110</v>
      </c>
      <c r="D369" s="3" t="s">
        <v>45</v>
      </c>
      <c r="E369" s="3" t="s">
        <v>27</v>
      </c>
      <c r="F369" s="3" t="s">
        <v>46</v>
      </c>
      <c r="G369" s="3" t="s">
        <v>47</v>
      </c>
      <c r="H369" s="3" t="s">
        <v>30</v>
      </c>
      <c r="I369" s="3" t="s">
        <v>31</v>
      </c>
      <c r="J369" s="3" t="s">
        <v>32</v>
      </c>
      <c r="K369" s="3" t="s">
        <v>33</v>
      </c>
      <c r="L369" s="3" t="s">
        <v>51</v>
      </c>
      <c r="M369" s="3" t="s">
        <v>111</v>
      </c>
      <c r="N369" s="3" t="s">
        <v>112</v>
      </c>
      <c r="O369" s="3" t="s">
        <v>37</v>
      </c>
      <c r="P369" s="3" t="s">
        <v>38</v>
      </c>
      <c r="Q369" s="3" t="s">
        <v>39</v>
      </c>
      <c r="R369" s="3" t="s">
        <v>40</v>
      </c>
      <c r="S369" s="55">
        <v>3849</v>
      </c>
      <c r="T369" s="55">
        <v>3848.9695000000002</v>
      </c>
      <c r="U369" s="55">
        <v>470.6463</v>
      </c>
      <c r="V369" s="55">
        <v>3.0499999999999999E-2</v>
      </c>
      <c r="W369" s="3">
        <v>100</v>
      </c>
    </row>
    <row r="370" spans="1:23" x14ac:dyDescent="0.35">
      <c r="A370" s="3" t="s">
        <v>576</v>
      </c>
      <c r="B370" s="3" t="s">
        <v>577</v>
      </c>
      <c r="C370" s="3" t="s">
        <v>578</v>
      </c>
      <c r="D370" s="3" t="s">
        <v>45</v>
      </c>
      <c r="E370" s="3" t="s">
        <v>27</v>
      </c>
      <c r="F370" s="3" t="s">
        <v>46</v>
      </c>
      <c r="G370" s="3" t="s">
        <v>47</v>
      </c>
      <c r="H370" s="3" t="s">
        <v>30</v>
      </c>
      <c r="I370" s="3" t="s">
        <v>31</v>
      </c>
      <c r="J370" s="3" t="s">
        <v>32</v>
      </c>
      <c r="K370" s="3" t="s">
        <v>33</v>
      </c>
      <c r="L370" s="3" t="s">
        <v>51</v>
      </c>
      <c r="M370" s="3" t="s">
        <v>579</v>
      </c>
      <c r="N370" s="3" t="s">
        <v>580</v>
      </c>
      <c r="O370" s="3" t="s">
        <v>74</v>
      </c>
      <c r="P370" s="3" t="s">
        <v>75</v>
      </c>
      <c r="Q370" s="3" t="s">
        <v>39</v>
      </c>
      <c r="R370" s="3" t="s">
        <v>40</v>
      </c>
      <c r="S370" s="55">
        <v>7308</v>
      </c>
      <c r="T370" s="55">
        <v>7308</v>
      </c>
      <c r="U370" s="55">
        <v>7308</v>
      </c>
      <c r="V370" s="55">
        <v>0</v>
      </c>
      <c r="W370" s="3">
        <v>100</v>
      </c>
    </row>
    <row r="371" spans="1:23" x14ac:dyDescent="0.35">
      <c r="A371" s="3" t="s">
        <v>576</v>
      </c>
      <c r="B371" s="3" t="s">
        <v>577</v>
      </c>
      <c r="C371" s="3" t="s">
        <v>113</v>
      </c>
      <c r="D371" s="3" t="s">
        <v>114</v>
      </c>
      <c r="E371" s="3" t="s">
        <v>115</v>
      </c>
      <c r="F371" s="3" t="s">
        <v>116</v>
      </c>
      <c r="G371" s="3" t="s">
        <v>117</v>
      </c>
      <c r="H371" s="3" t="s">
        <v>48</v>
      </c>
      <c r="I371" s="3" t="s">
        <v>49</v>
      </c>
      <c r="J371" s="3" t="s">
        <v>50</v>
      </c>
      <c r="K371" s="3" t="s">
        <v>33</v>
      </c>
      <c r="L371" s="3" t="s">
        <v>51</v>
      </c>
      <c r="M371" s="3" t="s">
        <v>118</v>
      </c>
      <c r="N371" s="3" t="s">
        <v>119</v>
      </c>
      <c r="O371" s="3" t="s">
        <v>37</v>
      </c>
      <c r="P371" s="3" t="s">
        <v>38</v>
      </c>
      <c r="Q371" s="3" t="s">
        <v>39</v>
      </c>
      <c r="R371" s="3" t="s">
        <v>40</v>
      </c>
      <c r="S371" s="55">
        <v>4082.8</v>
      </c>
      <c r="T371" s="55">
        <v>4082.5360999999998</v>
      </c>
      <c r="U371" s="55">
        <v>100.935</v>
      </c>
      <c r="V371" s="55">
        <v>0.26390000000000002</v>
      </c>
      <c r="W371" s="3">
        <v>100</v>
      </c>
    </row>
    <row r="372" spans="1:23" x14ac:dyDescent="0.35">
      <c r="A372" s="3" t="s">
        <v>576</v>
      </c>
      <c r="B372" s="3" t="s">
        <v>577</v>
      </c>
      <c r="C372" s="3" t="s">
        <v>120</v>
      </c>
      <c r="D372" s="3" t="s">
        <v>114</v>
      </c>
      <c r="E372" s="3" t="s">
        <v>115</v>
      </c>
      <c r="F372" s="3" t="s">
        <v>116</v>
      </c>
      <c r="G372" s="3" t="s">
        <v>117</v>
      </c>
      <c r="H372" s="3" t="s">
        <v>48</v>
      </c>
      <c r="I372" s="3" t="s">
        <v>49</v>
      </c>
      <c r="J372" s="3" t="s">
        <v>50</v>
      </c>
      <c r="K372" s="3" t="s">
        <v>33</v>
      </c>
      <c r="L372" s="3" t="s">
        <v>51</v>
      </c>
      <c r="M372" s="3" t="s">
        <v>118</v>
      </c>
      <c r="N372" s="3" t="s">
        <v>119</v>
      </c>
      <c r="O372" s="3" t="s">
        <v>42</v>
      </c>
      <c r="P372" s="3" t="s">
        <v>43</v>
      </c>
      <c r="Q372" s="3" t="s">
        <v>39</v>
      </c>
      <c r="R372" s="3" t="s">
        <v>40</v>
      </c>
      <c r="S372" s="55">
        <v>8518.1</v>
      </c>
      <c r="T372" s="55">
        <v>8518.0998999999993</v>
      </c>
      <c r="U372" s="55">
        <v>5549.2843000000003</v>
      </c>
      <c r="V372" s="55">
        <v>1E-4</v>
      </c>
      <c r="W372" s="3">
        <v>100</v>
      </c>
    </row>
    <row r="373" spans="1:23" x14ac:dyDescent="0.35">
      <c r="A373" s="3" t="s">
        <v>576</v>
      </c>
      <c r="B373" s="3" t="s">
        <v>577</v>
      </c>
      <c r="C373" s="3" t="s">
        <v>121</v>
      </c>
      <c r="D373" s="3" t="s">
        <v>114</v>
      </c>
      <c r="E373" s="3" t="s">
        <v>115</v>
      </c>
      <c r="F373" s="3" t="s">
        <v>116</v>
      </c>
      <c r="G373" s="3" t="s">
        <v>117</v>
      </c>
      <c r="H373" s="3" t="s">
        <v>48</v>
      </c>
      <c r="I373" s="3" t="s">
        <v>49</v>
      </c>
      <c r="J373" s="3" t="s">
        <v>50</v>
      </c>
      <c r="K373" s="3" t="s">
        <v>33</v>
      </c>
      <c r="L373" s="3" t="s">
        <v>51</v>
      </c>
      <c r="M373" s="3" t="s">
        <v>118</v>
      </c>
      <c r="N373" s="3" t="s">
        <v>119</v>
      </c>
      <c r="O373" s="3" t="s">
        <v>122</v>
      </c>
      <c r="P373" s="3" t="s">
        <v>123</v>
      </c>
      <c r="Q373" s="3" t="s">
        <v>39</v>
      </c>
      <c r="R373" s="3" t="s">
        <v>40</v>
      </c>
      <c r="S373" s="55">
        <v>7750.5</v>
      </c>
      <c r="T373" s="55">
        <v>7750.5</v>
      </c>
      <c r="U373" s="55">
        <v>1408.4308000000001</v>
      </c>
      <c r="V373" s="55">
        <v>0</v>
      </c>
      <c r="W373" s="3">
        <v>100</v>
      </c>
    </row>
    <row r="374" spans="1:23" x14ac:dyDescent="0.35">
      <c r="A374" s="3" t="s">
        <v>576</v>
      </c>
      <c r="B374" s="3" t="s">
        <v>577</v>
      </c>
      <c r="C374" s="3" t="s">
        <v>124</v>
      </c>
      <c r="D374" s="3" t="s">
        <v>114</v>
      </c>
      <c r="E374" s="3" t="s">
        <v>115</v>
      </c>
      <c r="F374" s="3" t="s">
        <v>116</v>
      </c>
      <c r="G374" s="3" t="s">
        <v>117</v>
      </c>
      <c r="H374" s="3" t="s">
        <v>48</v>
      </c>
      <c r="I374" s="3" t="s">
        <v>49</v>
      </c>
      <c r="J374" s="3" t="s">
        <v>50</v>
      </c>
      <c r="K374" s="3" t="s">
        <v>33</v>
      </c>
      <c r="L374" s="3" t="s">
        <v>51</v>
      </c>
      <c r="M374" s="3" t="s">
        <v>118</v>
      </c>
      <c r="N374" s="3" t="s">
        <v>119</v>
      </c>
      <c r="O374" s="3" t="s">
        <v>125</v>
      </c>
      <c r="P374" s="3" t="s">
        <v>126</v>
      </c>
      <c r="Q374" s="3" t="s">
        <v>39</v>
      </c>
      <c r="R374" s="3" t="s">
        <v>40</v>
      </c>
      <c r="S374" s="55">
        <v>2554.3000000000002</v>
      </c>
      <c r="T374" s="55">
        <v>2554.2132999999999</v>
      </c>
      <c r="U374" s="55">
        <v>242.97130000000001</v>
      </c>
      <c r="V374" s="55">
        <v>8.6699999999999999E-2</v>
      </c>
      <c r="W374" s="3">
        <v>100</v>
      </c>
    </row>
    <row r="375" spans="1:23" x14ac:dyDescent="0.35">
      <c r="A375" s="3" t="s">
        <v>576</v>
      </c>
      <c r="B375" s="3" t="s">
        <v>577</v>
      </c>
      <c r="C375" s="3" t="s">
        <v>130</v>
      </c>
      <c r="D375" s="3" t="s">
        <v>131</v>
      </c>
      <c r="E375" s="3" t="s">
        <v>115</v>
      </c>
      <c r="F375" s="3" t="s">
        <v>132</v>
      </c>
      <c r="G375" s="3" t="s">
        <v>133</v>
      </c>
      <c r="H375" s="3" t="s">
        <v>48</v>
      </c>
      <c r="I375" s="3" t="s">
        <v>49</v>
      </c>
      <c r="J375" s="3" t="s">
        <v>50</v>
      </c>
      <c r="K375" s="3" t="s">
        <v>33</v>
      </c>
      <c r="L375" s="3" t="s">
        <v>51</v>
      </c>
      <c r="M375" s="3" t="s">
        <v>134</v>
      </c>
      <c r="N375" s="3" t="s">
        <v>135</v>
      </c>
      <c r="O375" s="3" t="s">
        <v>37</v>
      </c>
      <c r="P375" s="3" t="s">
        <v>38</v>
      </c>
      <c r="Q375" s="3" t="s">
        <v>39</v>
      </c>
      <c r="R375" s="3" t="s">
        <v>40</v>
      </c>
      <c r="S375" s="55">
        <v>20.100000000000001</v>
      </c>
      <c r="T375" s="55">
        <v>20.0015</v>
      </c>
      <c r="U375" s="55">
        <v>0</v>
      </c>
      <c r="V375" s="55">
        <v>9.8500000000000004E-2</v>
      </c>
      <c r="W375" s="3">
        <v>100</v>
      </c>
    </row>
    <row r="376" spans="1:23" x14ac:dyDescent="0.35">
      <c r="A376" s="3" t="s">
        <v>576</v>
      </c>
      <c r="B376" s="3" t="s">
        <v>577</v>
      </c>
      <c r="C376" s="3" t="s">
        <v>448</v>
      </c>
      <c r="D376" s="3" t="s">
        <v>137</v>
      </c>
      <c r="E376" s="3" t="s">
        <v>138</v>
      </c>
      <c r="F376" s="3" t="s">
        <v>139</v>
      </c>
      <c r="G376" s="3" t="s">
        <v>140</v>
      </c>
      <c r="H376" s="3" t="s">
        <v>48</v>
      </c>
      <c r="I376" s="3" t="s">
        <v>49</v>
      </c>
      <c r="J376" s="3" t="s">
        <v>50</v>
      </c>
      <c r="K376" s="3" t="s">
        <v>33</v>
      </c>
      <c r="L376" s="3" t="s">
        <v>51</v>
      </c>
      <c r="M376" s="3" t="s">
        <v>446</v>
      </c>
      <c r="N376" s="3" t="s">
        <v>447</v>
      </c>
      <c r="O376" s="3" t="s">
        <v>197</v>
      </c>
      <c r="P376" s="3" t="s">
        <v>198</v>
      </c>
      <c r="Q376" s="3" t="s">
        <v>39</v>
      </c>
      <c r="R376" s="3" t="s">
        <v>40</v>
      </c>
      <c r="S376" s="55">
        <v>33219</v>
      </c>
      <c r="T376" s="55">
        <v>33218.916899999997</v>
      </c>
      <c r="U376" s="55">
        <v>22757.945</v>
      </c>
      <c r="V376" s="55">
        <v>8.3099999999999993E-2</v>
      </c>
      <c r="W376" s="3">
        <v>100</v>
      </c>
    </row>
    <row r="377" spans="1:23" x14ac:dyDescent="0.35">
      <c r="A377" s="3" t="s">
        <v>576</v>
      </c>
      <c r="B377" s="3" t="s">
        <v>577</v>
      </c>
      <c r="C377" s="3" t="s">
        <v>136</v>
      </c>
      <c r="D377" s="3" t="s">
        <v>137</v>
      </c>
      <c r="E377" s="3" t="s">
        <v>138</v>
      </c>
      <c r="F377" s="3" t="s">
        <v>139</v>
      </c>
      <c r="G377" s="3" t="s">
        <v>140</v>
      </c>
      <c r="H377" s="3" t="s">
        <v>30</v>
      </c>
      <c r="I377" s="3" t="s">
        <v>31</v>
      </c>
      <c r="J377" s="3" t="s">
        <v>32</v>
      </c>
      <c r="K377" s="3" t="s">
        <v>33</v>
      </c>
      <c r="L377" s="3" t="s">
        <v>51</v>
      </c>
      <c r="M377" s="3" t="s">
        <v>141</v>
      </c>
      <c r="N377" s="3" t="s">
        <v>142</v>
      </c>
      <c r="O377" s="3" t="s">
        <v>83</v>
      </c>
      <c r="P377" s="3" t="s">
        <v>84</v>
      </c>
      <c r="Q377" s="3" t="s">
        <v>39</v>
      </c>
      <c r="R377" s="3" t="s">
        <v>40</v>
      </c>
      <c r="S377" s="55">
        <v>13074.3</v>
      </c>
      <c r="T377" s="55">
        <v>13064.7145</v>
      </c>
      <c r="U377" s="55">
        <v>8521.1337999999996</v>
      </c>
      <c r="V377" s="55">
        <v>9.5854999999999997</v>
      </c>
      <c r="W377" s="3">
        <v>100</v>
      </c>
    </row>
    <row r="378" spans="1:23" x14ac:dyDescent="0.35">
      <c r="A378" s="3" t="s">
        <v>576</v>
      </c>
      <c r="B378" s="3" t="s">
        <v>577</v>
      </c>
      <c r="C378" s="3" t="s">
        <v>143</v>
      </c>
      <c r="D378" s="3" t="s">
        <v>144</v>
      </c>
      <c r="E378" s="3" t="s">
        <v>145</v>
      </c>
      <c r="F378" s="3" t="s">
        <v>146</v>
      </c>
      <c r="G378" s="3" t="s">
        <v>147</v>
      </c>
      <c r="H378" s="3" t="s">
        <v>116</v>
      </c>
      <c r="I378" s="3" t="s">
        <v>148</v>
      </c>
      <c r="J378" s="3" t="s">
        <v>149</v>
      </c>
      <c r="K378" s="3" t="s">
        <v>33</v>
      </c>
      <c r="L378" s="3" t="s">
        <v>51</v>
      </c>
      <c r="M378" s="3" t="s">
        <v>150</v>
      </c>
      <c r="N378" s="3" t="s">
        <v>151</v>
      </c>
      <c r="O378" s="3" t="s">
        <v>37</v>
      </c>
      <c r="P378" s="3" t="s">
        <v>38</v>
      </c>
      <c r="Q378" s="3" t="s">
        <v>39</v>
      </c>
      <c r="R378" s="3" t="s">
        <v>40</v>
      </c>
      <c r="S378" s="55">
        <v>5022</v>
      </c>
      <c r="T378" s="55">
        <v>5021.99</v>
      </c>
      <c r="U378" s="55">
        <v>0</v>
      </c>
      <c r="V378" s="55">
        <v>0.01</v>
      </c>
      <c r="W378" s="3">
        <v>100</v>
      </c>
    </row>
    <row r="379" spans="1:23" x14ac:dyDescent="0.35">
      <c r="A379" s="3" t="s">
        <v>576</v>
      </c>
      <c r="B379" s="3" t="s">
        <v>577</v>
      </c>
      <c r="C379" s="3" t="s">
        <v>152</v>
      </c>
      <c r="D379" s="3" t="s">
        <v>144</v>
      </c>
      <c r="E379" s="3" t="s">
        <v>145</v>
      </c>
      <c r="F379" s="3" t="s">
        <v>146</v>
      </c>
      <c r="G379" s="3" t="s">
        <v>147</v>
      </c>
      <c r="H379" s="3" t="s">
        <v>116</v>
      </c>
      <c r="I379" s="3" t="s">
        <v>148</v>
      </c>
      <c r="J379" s="3" t="s">
        <v>149</v>
      </c>
      <c r="K379" s="3" t="s">
        <v>33</v>
      </c>
      <c r="L379" s="3" t="s">
        <v>51</v>
      </c>
      <c r="M379" s="3" t="s">
        <v>153</v>
      </c>
      <c r="N379" s="3" t="s">
        <v>154</v>
      </c>
      <c r="O379" s="3" t="s">
        <v>37</v>
      </c>
      <c r="P379" s="3" t="s">
        <v>38</v>
      </c>
      <c r="Q379" s="3" t="s">
        <v>39</v>
      </c>
      <c r="R379" s="3" t="s">
        <v>40</v>
      </c>
      <c r="S379" s="55">
        <v>57862.6</v>
      </c>
      <c r="T379" s="55">
        <v>41725.410000000003</v>
      </c>
      <c r="U379" s="55">
        <v>18392.931700000001</v>
      </c>
      <c r="V379" s="55">
        <v>16137.19</v>
      </c>
      <c r="W379" s="3">
        <v>72</v>
      </c>
    </row>
    <row r="380" spans="1:23" x14ac:dyDescent="0.35">
      <c r="A380" s="3" t="s">
        <v>576</v>
      </c>
      <c r="B380" s="3" t="s">
        <v>577</v>
      </c>
      <c r="C380" s="3" t="s">
        <v>155</v>
      </c>
      <c r="D380" s="3" t="s">
        <v>144</v>
      </c>
      <c r="E380" s="3" t="s">
        <v>145</v>
      </c>
      <c r="F380" s="3" t="s">
        <v>146</v>
      </c>
      <c r="G380" s="3" t="s">
        <v>147</v>
      </c>
      <c r="H380" s="3" t="s">
        <v>116</v>
      </c>
      <c r="I380" s="3" t="s">
        <v>148</v>
      </c>
      <c r="J380" s="3" t="s">
        <v>149</v>
      </c>
      <c r="K380" s="3" t="s">
        <v>33</v>
      </c>
      <c r="L380" s="3" t="s">
        <v>51</v>
      </c>
      <c r="M380" s="3" t="s">
        <v>156</v>
      </c>
      <c r="N380" s="3" t="s">
        <v>157</v>
      </c>
      <c r="O380" s="3" t="s">
        <v>37</v>
      </c>
      <c r="P380" s="3" t="s">
        <v>38</v>
      </c>
      <c r="Q380" s="3" t="s">
        <v>39</v>
      </c>
      <c r="R380" s="3" t="s">
        <v>40</v>
      </c>
      <c r="S380" s="55">
        <v>3467.9</v>
      </c>
      <c r="T380" s="55">
        <v>3464.4942000000001</v>
      </c>
      <c r="U380" s="55">
        <v>423.07260000000002</v>
      </c>
      <c r="V380" s="55">
        <v>3.4058000000000002</v>
      </c>
      <c r="W380" s="3">
        <v>100</v>
      </c>
    </row>
    <row r="381" spans="1:23" x14ac:dyDescent="0.35">
      <c r="A381" s="3" t="s">
        <v>576</v>
      </c>
      <c r="B381" s="3" t="s">
        <v>577</v>
      </c>
      <c r="C381" s="3" t="s">
        <v>158</v>
      </c>
      <c r="D381" s="3" t="s">
        <v>144</v>
      </c>
      <c r="E381" s="3" t="s">
        <v>145</v>
      </c>
      <c r="F381" s="3" t="s">
        <v>146</v>
      </c>
      <c r="G381" s="3" t="s">
        <v>147</v>
      </c>
      <c r="H381" s="3" t="s">
        <v>116</v>
      </c>
      <c r="I381" s="3" t="s">
        <v>148</v>
      </c>
      <c r="J381" s="3" t="s">
        <v>149</v>
      </c>
      <c r="K381" s="3" t="s">
        <v>33</v>
      </c>
      <c r="L381" s="3" t="s">
        <v>51</v>
      </c>
      <c r="M381" s="3" t="s">
        <v>156</v>
      </c>
      <c r="N381" s="3" t="s">
        <v>157</v>
      </c>
      <c r="O381" s="3" t="s">
        <v>125</v>
      </c>
      <c r="P381" s="3" t="s">
        <v>126</v>
      </c>
      <c r="Q381" s="3" t="s">
        <v>39</v>
      </c>
      <c r="R381" s="3" t="s">
        <v>40</v>
      </c>
      <c r="S381" s="55">
        <v>100977.1</v>
      </c>
      <c r="T381" s="55">
        <v>100977.0906</v>
      </c>
      <c r="U381" s="55">
        <v>19745.517899999999</v>
      </c>
      <c r="V381" s="55">
        <v>9.4000000000000004E-3</v>
      </c>
      <c r="W381" s="3">
        <v>100</v>
      </c>
    </row>
    <row r="382" spans="1:23" x14ac:dyDescent="0.35">
      <c r="A382" s="3" t="s">
        <v>576</v>
      </c>
      <c r="B382" s="3" t="s">
        <v>577</v>
      </c>
      <c r="C382" s="3" t="s">
        <v>159</v>
      </c>
      <c r="D382" s="3" t="s">
        <v>144</v>
      </c>
      <c r="E382" s="3" t="s">
        <v>145</v>
      </c>
      <c r="F382" s="3" t="s">
        <v>146</v>
      </c>
      <c r="G382" s="3" t="s">
        <v>147</v>
      </c>
      <c r="H382" s="3" t="s">
        <v>116</v>
      </c>
      <c r="I382" s="3" t="s">
        <v>148</v>
      </c>
      <c r="J382" s="3" t="s">
        <v>149</v>
      </c>
      <c r="K382" s="3" t="s">
        <v>33</v>
      </c>
      <c r="L382" s="3" t="s">
        <v>51</v>
      </c>
      <c r="M382" s="3" t="s">
        <v>160</v>
      </c>
      <c r="N382" s="3" t="s">
        <v>161</v>
      </c>
      <c r="O382" s="3" t="s">
        <v>37</v>
      </c>
      <c r="P382" s="3" t="s">
        <v>38</v>
      </c>
      <c r="Q382" s="3" t="s">
        <v>39</v>
      </c>
      <c r="R382" s="3" t="s">
        <v>40</v>
      </c>
      <c r="S382" s="55">
        <v>15874</v>
      </c>
      <c r="T382" s="55">
        <v>15850.8477</v>
      </c>
      <c r="U382" s="55">
        <v>3381.3975</v>
      </c>
      <c r="V382" s="55">
        <v>23.1523</v>
      </c>
      <c r="W382" s="3">
        <v>100</v>
      </c>
    </row>
    <row r="383" spans="1:23" x14ac:dyDescent="0.35">
      <c r="A383" s="3" t="s">
        <v>576</v>
      </c>
      <c r="B383" s="3" t="s">
        <v>577</v>
      </c>
      <c r="C383" s="3" t="s">
        <v>162</v>
      </c>
      <c r="D383" s="3" t="s">
        <v>144</v>
      </c>
      <c r="E383" s="3" t="s">
        <v>145</v>
      </c>
      <c r="F383" s="3" t="s">
        <v>146</v>
      </c>
      <c r="G383" s="3" t="s">
        <v>147</v>
      </c>
      <c r="H383" s="3" t="s">
        <v>116</v>
      </c>
      <c r="I383" s="3" t="s">
        <v>148</v>
      </c>
      <c r="J383" s="3" t="s">
        <v>149</v>
      </c>
      <c r="K383" s="3" t="s">
        <v>33</v>
      </c>
      <c r="L383" s="3" t="s">
        <v>51</v>
      </c>
      <c r="M383" s="3" t="s">
        <v>160</v>
      </c>
      <c r="N383" s="3" t="s">
        <v>161</v>
      </c>
      <c r="O383" s="3" t="s">
        <v>42</v>
      </c>
      <c r="P383" s="3" t="s">
        <v>43</v>
      </c>
      <c r="Q383" s="3" t="s">
        <v>39</v>
      </c>
      <c r="R383" s="3" t="s">
        <v>40</v>
      </c>
      <c r="S383" s="55">
        <v>8415.9</v>
      </c>
      <c r="T383" s="55">
        <v>7725.5698000000002</v>
      </c>
      <c r="U383" s="55">
        <v>2383.6233000000002</v>
      </c>
      <c r="V383" s="55">
        <v>690.33019999999999</v>
      </c>
      <c r="W383" s="3">
        <v>92</v>
      </c>
    </row>
    <row r="384" spans="1:23" x14ac:dyDescent="0.35">
      <c r="A384" s="3" t="s">
        <v>576</v>
      </c>
      <c r="B384" s="3" t="s">
        <v>577</v>
      </c>
      <c r="C384" s="3" t="s">
        <v>163</v>
      </c>
      <c r="D384" s="3" t="s">
        <v>144</v>
      </c>
      <c r="E384" s="3" t="s">
        <v>145</v>
      </c>
      <c r="F384" s="3" t="s">
        <v>146</v>
      </c>
      <c r="G384" s="3" t="s">
        <v>147</v>
      </c>
      <c r="H384" s="3" t="s">
        <v>116</v>
      </c>
      <c r="I384" s="3" t="s">
        <v>148</v>
      </c>
      <c r="J384" s="3" t="s">
        <v>149</v>
      </c>
      <c r="K384" s="3" t="s">
        <v>33</v>
      </c>
      <c r="L384" s="3" t="s">
        <v>51</v>
      </c>
      <c r="M384" s="3" t="s">
        <v>160</v>
      </c>
      <c r="N384" s="3" t="s">
        <v>161</v>
      </c>
      <c r="O384" s="3" t="s">
        <v>125</v>
      </c>
      <c r="P384" s="3" t="s">
        <v>126</v>
      </c>
      <c r="Q384" s="3" t="s">
        <v>39</v>
      </c>
      <c r="R384" s="3" t="s">
        <v>40</v>
      </c>
      <c r="S384" s="55">
        <v>4785.7</v>
      </c>
      <c r="T384" s="55">
        <v>4785.6993000000002</v>
      </c>
      <c r="U384" s="55">
        <v>541.08849999999995</v>
      </c>
      <c r="V384" s="55">
        <v>6.9999999999999999E-4</v>
      </c>
      <c r="W384" s="3">
        <v>100</v>
      </c>
    </row>
    <row r="385" spans="1:23" x14ac:dyDescent="0.35">
      <c r="A385" s="3" t="s">
        <v>576</v>
      </c>
      <c r="B385" s="3" t="s">
        <v>577</v>
      </c>
      <c r="C385" s="3" t="s">
        <v>423</v>
      </c>
      <c r="D385" s="3" t="s">
        <v>165</v>
      </c>
      <c r="E385" s="3" t="s">
        <v>145</v>
      </c>
      <c r="F385" s="3" t="s">
        <v>28</v>
      </c>
      <c r="G385" s="3" t="s">
        <v>166</v>
      </c>
      <c r="H385" s="3" t="s">
        <v>139</v>
      </c>
      <c r="I385" s="3" t="s">
        <v>167</v>
      </c>
      <c r="J385" s="3" t="s">
        <v>168</v>
      </c>
      <c r="K385" s="3" t="s">
        <v>33</v>
      </c>
      <c r="L385" s="3" t="s">
        <v>51</v>
      </c>
      <c r="M385" s="3" t="s">
        <v>424</v>
      </c>
      <c r="N385" s="3" t="s">
        <v>507</v>
      </c>
      <c r="O385" s="3" t="s">
        <v>37</v>
      </c>
      <c r="P385" s="3" t="s">
        <v>38</v>
      </c>
      <c r="Q385" s="3" t="s">
        <v>39</v>
      </c>
      <c r="R385" s="3" t="s">
        <v>40</v>
      </c>
      <c r="S385" s="55">
        <v>3229.3</v>
      </c>
      <c r="T385" s="55">
        <v>2760.8451</v>
      </c>
      <c r="U385" s="55">
        <v>2420.8451</v>
      </c>
      <c r="V385" s="55">
        <v>468.45490000000001</v>
      </c>
      <c r="W385" s="3">
        <v>85</v>
      </c>
    </row>
    <row r="386" spans="1:23" x14ac:dyDescent="0.35">
      <c r="A386" s="3" t="s">
        <v>576</v>
      </c>
      <c r="B386" s="3" t="s">
        <v>577</v>
      </c>
      <c r="C386" s="3" t="s">
        <v>560</v>
      </c>
      <c r="D386" s="3" t="s">
        <v>165</v>
      </c>
      <c r="E386" s="3" t="s">
        <v>145</v>
      </c>
      <c r="F386" s="3" t="s">
        <v>28</v>
      </c>
      <c r="G386" s="3" t="s">
        <v>166</v>
      </c>
      <c r="H386" s="3" t="s">
        <v>139</v>
      </c>
      <c r="I386" s="3" t="s">
        <v>167</v>
      </c>
      <c r="J386" s="3" t="s">
        <v>168</v>
      </c>
      <c r="K386" s="3" t="s">
        <v>33</v>
      </c>
      <c r="L386" s="3" t="s">
        <v>51</v>
      </c>
      <c r="M386" s="3" t="s">
        <v>424</v>
      </c>
      <c r="N386" s="3" t="s">
        <v>507</v>
      </c>
      <c r="O386" s="3" t="s">
        <v>125</v>
      </c>
      <c r="P386" s="3" t="s">
        <v>126</v>
      </c>
      <c r="Q386" s="3" t="s">
        <v>39</v>
      </c>
      <c r="R386" s="3" t="s">
        <v>40</v>
      </c>
      <c r="S386" s="55">
        <v>250.7</v>
      </c>
      <c r="T386" s="55">
        <v>250.65</v>
      </c>
      <c r="U386" s="55">
        <v>0</v>
      </c>
      <c r="V386" s="55">
        <v>0.05</v>
      </c>
      <c r="W386" s="3">
        <v>100</v>
      </c>
    </row>
    <row r="387" spans="1:23" x14ac:dyDescent="0.35">
      <c r="A387" s="3" t="s">
        <v>576</v>
      </c>
      <c r="B387" s="3" t="s">
        <v>577</v>
      </c>
      <c r="C387" s="3" t="s">
        <v>164</v>
      </c>
      <c r="D387" s="3" t="s">
        <v>165</v>
      </c>
      <c r="E387" s="3" t="s">
        <v>145</v>
      </c>
      <c r="F387" s="3" t="s">
        <v>28</v>
      </c>
      <c r="G387" s="3" t="s">
        <v>166</v>
      </c>
      <c r="H387" s="3" t="s">
        <v>139</v>
      </c>
      <c r="I387" s="3" t="s">
        <v>167</v>
      </c>
      <c r="J387" s="3" t="s">
        <v>168</v>
      </c>
      <c r="K387" s="3" t="s">
        <v>33</v>
      </c>
      <c r="L387" s="3" t="s">
        <v>51</v>
      </c>
      <c r="M387" s="3" t="s">
        <v>169</v>
      </c>
      <c r="N387" s="3" t="s">
        <v>170</v>
      </c>
      <c r="O387" s="3" t="s">
        <v>37</v>
      </c>
      <c r="P387" s="3" t="s">
        <v>38</v>
      </c>
      <c r="Q387" s="3" t="s">
        <v>39</v>
      </c>
      <c r="R387" s="3" t="s">
        <v>40</v>
      </c>
      <c r="S387" s="55">
        <v>48176.4</v>
      </c>
      <c r="T387" s="55">
        <v>47644.632700000002</v>
      </c>
      <c r="U387" s="55">
        <v>27288.847300000001</v>
      </c>
      <c r="V387" s="55">
        <v>531.76729999999998</v>
      </c>
      <c r="W387" s="3">
        <v>99</v>
      </c>
    </row>
    <row r="388" spans="1:23" x14ac:dyDescent="0.35">
      <c r="A388" s="3" t="s">
        <v>576</v>
      </c>
      <c r="B388" s="3" t="s">
        <v>577</v>
      </c>
      <c r="C388" s="3" t="s">
        <v>561</v>
      </c>
      <c r="D388" s="3" t="s">
        <v>165</v>
      </c>
      <c r="E388" s="3" t="s">
        <v>145</v>
      </c>
      <c r="F388" s="3" t="s">
        <v>28</v>
      </c>
      <c r="G388" s="3" t="s">
        <v>166</v>
      </c>
      <c r="H388" s="3" t="s">
        <v>139</v>
      </c>
      <c r="I388" s="3" t="s">
        <v>167</v>
      </c>
      <c r="J388" s="3" t="s">
        <v>168</v>
      </c>
      <c r="K388" s="3" t="s">
        <v>33</v>
      </c>
      <c r="L388" s="3" t="s">
        <v>51</v>
      </c>
      <c r="M388" s="3" t="s">
        <v>169</v>
      </c>
      <c r="N388" s="3" t="s">
        <v>170</v>
      </c>
      <c r="O388" s="3" t="s">
        <v>125</v>
      </c>
      <c r="P388" s="3" t="s">
        <v>126</v>
      </c>
      <c r="Q388" s="3" t="s">
        <v>39</v>
      </c>
      <c r="R388" s="3" t="s">
        <v>40</v>
      </c>
      <c r="S388" s="55">
        <v>406.8</v>
      </c>
      <c r="T388" s="55">
        <v>406.8</v>
      </c>
      <c r="U388" s="55">
        <v>0</v>
      </c>
      <c r="V388" s="55">
        <v>0</v>
      </c>
      <c r="W388" s="3">
        <v>100</v>
      </c>
    </row>
    <row r="389" spans="1:23" x14ac:dyDescent="0.35">
      <c r="A389" s="3" t="s">
        <v>576</v>
      </c>
      <c r="B389" s="3" t="s">
        <v>577</v>
      </c>
      <c r="C389" s="3" t="s">
        <v>171</v>
      </c>
      <c r="D389" s="3" t="s">
        <v>165</v>
      </c>
      <c r="E389" s="3" t="s">
        <v>145</v>
      </c>
      <c r="F389" s="3" t="s">
        <v>28</v>
      </c>
      <c r="G389" s="3" t="s">
        <v>166</v>
      </c>
      <c r="H389" s="3" t="s">
        <v>139</v>
      </c>
      <c r="I389" s="3" t="s">
        <v>167</v>
      </c>
      <c r="J389" s="3" t="s">
        <v>168</v>
      </c>
      <c r="K389" s="3" t="s">
        <v>33</v>
      </c>
      <c r="L389" s="3" t="s">
        <v>51</v>
      </c>
      <c r="M389" s="3" t="s">
        <v>172</v>
      </c>
      <c r="N389" s="3" t="s">
        <v>173</v>
      </c>
      <c r="O389" s="3" t="s">
        <v>37</v>
      </c>
      <c r="P389" s="3" t="s">
        <v>38</v>
      </c>
      <c r="Q389" s="3" t="s">
        <v>39</v>
      </c>
      <c r="R389" s="3" t="s">
        <v>40</v>
      </c>
      <c r="S389" s="55">
        <v>149818.5</v>
      </c>
      <c r="T389" s="55">
        <v>145927.63690000001</v>
      </c>
      <c r="U389" s="55">
        <v>30912.866999999998</v>
      </c>
      <c r="V389" s="55">
        <v>3890.8631</v>
      </c>
      <c r="W389" s="3">
        <v>97</v>
      </c>
    </row>
    <row r="390" spans="1:23" x14ac:dyDescent="0.35">
      <c r="A390" s="3" t="s">
        <v>576</v>
      </c>
      <c r="B390" s="3" t="s">
        <v>577</v>
      </c>
      <c r="C390" s="3" t="s">
        <v>562</v>
      </c>
      <c r="D390" s="3" t="s">
        <v>165</v>
      </c>
      <c r="E390" s="3" t="s">
        <v>145</v>
      </c>
      <c r="F390" s="3" t="s">
        <v>28</v>
      </c>
      <c r="G390" s="3" t="s">
        <v>166</v>
      </c>
      <c r="H390" s="3" t="s">
        <v>139</v>
      </c>
      <c r="I390" s="3" t="s">
        <v>167</v>
      </c>
      <c r="J390" s="3" t="s">
        <v>168</v>
      </c>
      <c r="K390" s="3" t="s">
        <v>33</v>
      </c>
      <c r="L390" s="3" t="s">
        <v>51</v>
      </c>
      <c r="M390" s="3" t="s">
        <v>172</v>
      </c>
      <c r="N390" s="3" t="s">
        <v>173</v>
      </c>
      <c r="O390" s="3" t="s">
        <v>125</v>
      </c>
      <c r="P390" s="3" t="s">
        <v>126</v>
      </c>
      <c r="Q390" s="3" t="s">
        <v>39</v>
      </c>
      <c r="R390" s="3" t="s">
        <v>40</v>
      </c>
      <c r="S390" s="55">
        <v>2086.8000000000002</v>
      </c>
      <c r="T390" s="55">
        <v>2086.8000000000002</v>
      </c>
      <c r="U390" s="55">
        <v>0</v>
      </c>
      <c r="V390" s="55">
        <v>0</v>
      </c>
      <c r="W390" s="3">
        <v>100</v>
      </c>
    </row>
    <row r="391" spans="1:23" x14ac:dyDescent="0.35">
      <c r="A391" s="3" t="s">
        <v>576</v>
      </c>
      <c r="B391" s="3" t="s">
        <v>577</v>
      </c>
      <c r="C391" s="3" t="s">
        <v>174</v>
      </c>
      <c r="D391" s="3" t="s">
        <v>175</v>
      </c>
      <c r="E391" s="3" t="s">
        <v>145</v>
      </c>
      <c r="F391" s="3" t="s">
        <v>176</v>
      </c>
      <c r="G391" s="3" t="s">
        <v>177</v>
      </c>
      <c r="H391" s="3" t="s">
        <v>116</v>
      </c>
      <c r="I391" s="3" t="s">
        <v>148</v>
      </c>
      <c r="J391" s="3" t="s">
        <v>149</v>
      </c>
      <c r="K391" s="3" t="s">
        <v>33</v>
      </c>
      <c r="L391" s="3" t="s">
        <v>51</v>
      </c>
      <c r="M391" s="3" t="s">
        <v>178</v>
      </c>
      <c r="N391" s="3" t="s">
        <v>179</v>
      </c>
      <c r="O391" s="3" t="s">
        <v>96</v>
      </c>
      <c r="P391" s="3" t="s">
        <v>97</v>
      </c>
      <c r="Q391" s="3" t="s">
        <v>39</v>
      </c>
      <c r="R391" s="3" t="s">
        <v>40</v>
      </c>
      <c r="S391" s="55">
        <v>444482.6</v>
      </c>
      <c r="T391" s="55">
        <v>444482.6</v>
      </c>
      <c r="U391" s="55">
        <v>51782.8701</v>
      </c>
      <c r="V391" s="55">
        <v>0</v>
      </c>
      <c r="W391" s="3">
        <v>100</v>
      </c>
    </row>
    <row r="392" spans="1:23" x14ac:dyDescent="0.35">
      <c r="A392" s="3" t="s">
        <v>576</v>
      </c>
      <c r="B392" s="3" t="s">
        <v>577</v>
      </c>
      <c r="C392" s="3" t="s">
        <v>180</v>
      </c>
      <c r="D392" s="3" t="s">
        <v>175</v>
      </c>
      <c r="E392" s="3" t="s">
        <v>145</v>
      </c>
      <c r="F392" s="3" t="s">
        <v>176</v>
      </c>
      <c r="G392" s="3" t="s">
        <v>177</v>
      </c>
      <c r="H392" s="3" t="s">
        <v>116</v>
      </c>
      <c r="I392" s="3" t="s">
        <v>148</v>
      </c>
      <c r="J392" s="3" t="s">
        <v>149</v>
      </c>
      <c r="K392" s="3" t="s">
        <v>33</v>
      </c>
      <c r="L392" s="3" t="s">
        <v>51</v>
      </c>
      <c r="M392" s="3" t="s">
        <v>178</v>
      </c>
      <c r="N392" s="3" t="s">
        <v>179</v>
      </c>
      <c r="O392" s="3" t="s">
        <v>99</v>
      </c>
      <c r="P392" s="3" t="s">
        <v>100</v>
      </c>
      <c r="Q392" s="3" t="s">
        <v>39</v>
      </c>
      <c r="R392" s="3" t="s">
        <v>40</v>
      </c>
      <c r="S392" s="55">
        <v>133447.4</v>
      </c>
      <c r="T392" s="55">
        <v>133447.34039999999</v>
      </c>
      <c r="U392" s="55">
        <v>14598.9967</v>
      </c>
      <c r="V392" s="55">
        <v>5.96E-2</v>
      </c>
      <c r="W392" s="3">
        <v>100</v>
      </c>
    </row>
    <row r="393" spans="1:23" x14ac:dyDescent="0.35">
      <c r="A393" s="3" t="s">
        <v>576</v>
      </c>
      <c r="B393" s="3" t="s">
        <v>577</v>
      </c>
      <c r="C393" s="3" t="s">
        <v>181</v>
      </c>
      <c r="D393" s="3" t="s">
        <v>175</v>
      </c>
      <c r="E393" s="3" t="s">
        <v>145</v>
      </c>
      <c r="F393" s="3" t="s">
        <v>176</v>
      </c>
      <c r="G393" s="3" t="s">
        <v>177</v>
      </c>
      <c r="H393" s="3" t="s">
        <v>116</v>
      </c>
      <c r="I393" s="3" t="s">
        <v>148</v>
      </c>
      <c r="J393" s="3" t="s">
        <v>149</v>
      </c>
      <c r="K393" s="3" t="s">
        <v>33</v>
      </c>
      <c r="L393" s="3" t="s">
        <v>51</v>
      </c>
      <c r="M393" s="3" t="s">
        <v>178</v>
      </c>
      <c r="N393" s="3" t="s">
        <v>179</v>
      </c>
      <c r="O393" s="3" t="s">
        <v>37</v>
      </c>
      <c r="P393" s="3" t="s">
        <v>38</v>
      </c>
      <c r="Q393" s="3" t="s">
        <v>39</v>
      </c>
      <c r="R393" s="3" t="s">
        <v>40</v>
      </c>
      <c r="S393" s="55">
        <v>139333.1</v>
      </c>
      <c r="T393" s="55">
        <v>131436.7752</v>
      </c>
      <c r="U393" s="55">
        <v>42007.887199999997</v>
      </c>
      <c r="V393" s="55">
        <v>7896.3248000000003</v>
      </c>
      <c r="W393" s="3">
        <v>94</v>
      </c>
    </row>
    <row r="394" spans="1:23" x14ac:dyDescent="0.35">
      <c r="A394" s="3" t="s">
        <v>576</v>
      </c>
      <c r="B394" s="3" t="s">
        <v>577</v>
      </c>
      <c r="C394" s="3" t="s">
        <v>182</v>
      </c>
      <c r="D394" s="3" t="s">
        <v>175</v>
      </c>
      <c r="E394" s="3" t="s">
        <v>145</v>
      </c>
      <c r="F394" s="3" t="s">
        <v>176</v>
      </c>
      <c r="G394" s="3" t="s">
        <v>177</v>
      </c>
      <c r="H394" s="3" t="s">
        <v>116</v>
      </c>
      <c r="I394" s="3" t="s">
        <v>148</v>
      </c>
      <c r="J394" s="3" t="s">
        <v>149</v>
      </c>
      <c r="K394" s="3" t="s">
        <v>33</v>
      </c>
      <c r="L394" s="3" t="s">
        <v>51</v>
      </c>
      <c r="M394" s="3" t="s">
        <v>178</v>
      </c>
      <c r="N394" s="3" t="s">
        <v>179</v>
      </c>
      <c r="O394" s="3" t="s">
        <v>42</v>
      </c>
      <c r="P394" s="3" t="s">
        <v>43</v>
      </c>
      <c r="Q394" s="3" t="s">
        <v>39</v>
      </c>
      <c r="R394" s="3" t="s">
        <v>40</v>
      </c>
      <c r="S394" s="55">
        <v>4461.7</v>
      </c>
      <c r="T394" s="55">
        <v>4461.6282000000001</v>
      </c>
      <c r="U394" s="55">
        <v>1658.4245000000001</v>
      </c>
      <c r="V394" s="55">
        <v>7.1800000000000003E-2</v>
      </c>
      <c r="W394" s="3">
        <v>100</v>
      </c>
    </row>
    <row r="395" spans="1:23" x14ac:dyDescent="0.35">
      <c r="A395" s="3" t="s">
        <v>576</v>
      </c>
      <c r="B395" s="3" t="s">
        <v>577</v>
      </c>
      <c r="C395" s="3" t="s">
        <v>486</v>
      </c>
      <c r="D395" s="3" t="s">
        <v>175</v>
      </c>
      <c r="E395" s="3" t="s">
        <v>145</v>
      </c>
      <c r="F395" s="3" t="s">
        <v>176</v>
      </c>
      <c r="G395" s="3" t="s">
        <v>177</v>
      </c>
      <c r="H395" s="3" t="s">
        <v>116</v>
      </c>
      <c r="I395" s="3" t="s">
        <v>148</v>
      </c>
      <c r="J395" s="3" t="s">
        <v>149</v>
      </c>
      <c r="K395" s="3" t="s">
        <v>33</v>
      </c>
      <c r="L395" s="3" t="s">
        <v>51</v>
      </c>
      <c r="M395" s="3" t="s">
        <v>178</v>
      </c>
      <c r="N395" s="3" t="s">
        <v>179</v>
      </c>
      <c r="O395" s="3" t="s">
        <v>91</v>
      </c>
      <c r="P395" s="3" t="s">
        <v>92</v>
      </c>
      <c r="Q395" s="3" t="s">
        <v>39</v>
      </c>
      <c r="R395" s="3" t="s">
        <v>40</v>
      </c>
      <c r="S395" s="55">
        <v>284</v>
      </c>
      <c r="T395" s="55">
        <v>283.87540000000001</v>
      </c>
      <c r="U395" s="55">
        <v>0</v>
      </c>
      <c r="V395" s="55">
        <v>0.1246</v>
      </c>
      <c r="W395" s="3">
        <v>100</v>
      </c>
    </row>
    <row r="396" spans="1:23" x14ac:dyDescent="0.35">
      <c r="A396" s="3" t="s">
        <v>576</v>
      </c>
      <c r="B396" s="3" t="s">
        <v>577</v>
      </c>
      <c r="C396" s="3" t="s">
        <v>183</v>
      </c>
      <c r="D396" s="3" t="s">
        <v>175</v>
      </c>
      <c r="E396" s="3" t="s">
        <v>145</v>
      </c>
      <c r="F396" s="3" t="s">
        <v>176</v>
      </c>
      <c r="G396" s="3" t="s">
        <v>177</v>
      </c>
      <c r="H396" s="3" t="s">
        <v>116</v>
      </c>
      <c r="I396" s="3" t="s">
        <v>148</v>
      </c>
      <c r="J396" s="3" t="s">
        <v>149</v>
      </c>
      <c r="K396" s="3" t="s">
        <v>33</v>
      </c>
      <c r="L396" s="3" t="s">
        <v>51</v>
      </c>
      <c r="M396" s="3" t="s">
        <v>178</v>
      </c>
      <c r="N396" s="3" t="s">
        <v>179</v>
      </c>
      <c r="O396" s="3" t="s">
        <v>122</v>
      </c>
      <c r="P396" s="3" t="s">
        <v>123</v>
      </c>
      <c r="Q396" s="3" t="s">
        <v>39</v>
      </c>
      <c r="R396" s="3" t="s">
        <v>40</v>
      </c>
      <c r="S396" s="55">
        <v>183.2</v>
      </c>
      <c r="T396" s="55">
        <v>183.2</v>
      </c>
      <c r="U396" s="55">
        <v>45.813000000000002</v>
      </c>
      <c r="V396" s="55">
        <v>0</v>
      </c>
      <c r="W396" s="3">
        <v>100</v>
      </c>
    </row>
    <row r="397" spans="1:23" x14ac:dyDescent="0.35">
      <c r="A397" s="3" t="s">
        <v>576</v>
      </c>
      <c r="B397" s="3" t="s">
        <v>577</v>
      </c>
      <c r="C397" s="3" t="s">
        <v>184</v>
      </c>
      <c r="D397" s="3" t="s">
        <v>175</v>
      </c>
      <c r="E397" s="3" t="s">
        <v>145</v>
      </c>
      <c r="F397" s="3" t="s">
        <v>176</v>
      </c>
      <c r="G397" s="3" t="s">
        <v>177</v>
      </c>
      <c r="H397" s="3" t="s">
        <v>116</v>
      </c>
      <c r="I397" s="3" t="s">
        <v>148</v>
      </c>
      <c r="J397" s="3" t="s">
        <v>149</v>
      </c>
      <c r="K397" s="3" t="s">
        <v>33</v>
      </c>
      <c r="L397" s="3" t="s">
        <v>51</v>
      </c>
      <c r="M397" s="3" t="s">
        <v>178</v>
      </c>
      <c r="N397" s="3" t="s">
        <v>179</v>
      </c>
      <c r="O397" s="3" t="s">
        <v>103</v>
      </c>
      <c r="P397" s="3" t="s">
        <v>104</v>
      </c>
      <c r="Q397" s="3" t="s">
        <v>39</v>
      </c>
      <c r="R397" s="3" t="s">
        <v>40</v>
      </c>
      <c r="S397" s="55">
        <v>679.7</v>
      </c>
      <c r="T397" s="55">
        <v>679.697</v>
      </c>
      <c r="U397" s="55">
        <v>40.139299999999999</v>
      </c>
      <c r="V397" s="55">
        <v>3.0000000000000001E-3</v>
      </c>
      <c r="W397" s="3">
        <v>100</v>
      </c>
    </row>
    <row r="398" spans="1:23" x14ac:dyDescent="0.35">
      <c r="A398" s="3" t="s">
        <v>576</v>
      </c>
      <c r="B398" s="3" t="s">
        <v>577</v>
      </c>
      <c r="C398" s="3" t="s">
        <v>563</v>
      </c>
      <c r="D398" s="3" t="s">
        <v>175</v>
      </c>
      <c r="E398" s="3" t="s">
        <v>145</v>
      </c>
      <c r="F398" s="3" t="s">
        <v>176</v>
      </c>
      <c r="G398" s="3" t="s">
        <v>177</v>
      </c>
      <c r="H398" s="3" t="s">
        <v>116</v>
      </c>
      <c r="I398" s="3" t="s">
        <v>148</v>
      </c>
      <c r="J398" s="3" t="s">
        <v>149</v>
      </c>
      <c r="K398" s="3" t="s">
        <v>33</v>
      </c>
      <c r="L398" s="3" t="s">
        <v>51</v>
      </c>
      <c r="M398" s="3" t="s">
        <v>178</v>
      </c>
      <c r="N398" s="3" t="s">
        <v>179</v>
      </c>
      <c r="O398" s="3" t="s">
        <v>125</v>
      </c>
      <c r="P398" s="3" t="s">
        <v>126</v>
      </c>
      <c r="Q398" s="3" t="s">
        <v>39</v>
      </c>
      <c r="R398" s="3" t="s">
        <v>40</v>
      </c>
      <c r="S398" s="55">
        <v>185</v>
      </c>
      <c r="T398" s="55">
        <v>185</v>
      </c>
      <c r="U398" s="55">
        <v>0</v>
      </c>
      <c r="V398" s="55">
        <v>0</v>
      </c>
      <c r="W398" s="3">
        <v>100</v>
      </c>
    </row>
    <row r="399" spans="1:23" x14ac:dyDescent="0.35">
      <c r="A399" s="3" t="s">
        <v>576</v>
      </c>
      <c r="B399" s="3" t="s">
        <v>577</v>
      </c>
      <c r="C399" s="3" t="s">
        <v>473</v>
      </c>
      <c r="D399" s="3" t="s">
        <v>175</v>
      </c>
      <c r="E399" s="3" t="s">
        <v>145</v>
      </c>
      <c r="F399" s="3" t="s">
        <v>176</v>
      </c>
      <c r="G399" s="3" t="s">
        <v>177</v>
      </c>
      <c r="H399" s="3" t="s">
        <v>116</v>
      </c>
      <c r="I399" s="3" t="s">
        <v>148</v>
      </c>
      <c r="J399" s="3" t="s">
        <v>149</v>
      </c>
      <c r="K399" s="3" t="s">
        <v>33</v>
      </c>
      <c r="L399" s="3" t="s">
        <v>51</v>
      </c>
      <c r="M399" s="3" t="s">
        <v>474</v>
      </c>
      <c r="N399" s="3" t="s">
        <v>475</v>
      </c>
      <c r="O399" s="3" t="s">
        <v>37</v>
      </c>
      <c r="P399" s="3" t="s">
        <v>38</v>
      </c>
      <c r="Q399" s="3" t="s">
        <v>39</v>
      </c>
      <c r="R399" s="3" t="s">
        <v>40</v>
      </c>
      <c r="S399" s="55">
        <v>2761.6</v>
      </c>
      <c r="T399" s="55">
        <v>2761.4953999999998</v>
      </c>
      <c r="U399" s="55">
        <v>190.61099999999999</v>
      </c>
      <c r="V399" s="55">
        <v>0.1046</v>
      </c>
      <c r="W399" s="3">
        <v>100</v>
      </c>
    </row>
    <row r="400" spans="1:23" x14ac:dyDescent="0.35">
      <c r="A400" s="3" t="s">
        <v>576</v>
      </c>
      <c r="B400" s="3" t="s">
        <v>577</v>
      </c>
      <c r="C400" s="3" t="s">
        <v>185</v>
      </c>
      <c r="D400" s="3" t="s">
        <v>186</v>
      </c>
      <c r="E400" s="3" t="s">
        <v>187</v>
      </c>
      <c r="F400" s="3" t="s">
        <v>146</v>
      </c>
      <c r="G400" s="3" t="s">
        <v>188</v>
      </c>
      <c r="H400" s="3" t="s">
        <v>189</v>
      </c>
      <c r="I400" s="3" t="s">
        <v>190</v>
      </c>
      <c r="J400" s="3" t="s">
        <v>191</v>
      </c>
      <c r="K400" s="3" t="s">
        <v>33</v>
      </c>
      <c r="L400" s="3" t="s">
        <v>51</v>
      </c>
      <c r="M400" s="3" t="s">
        <v>192</v>
      </c>
      <c r="N400" s="3" t="s">
        <v>193</v>
      </c>
      <c r="O400" s="3" t="s">
        <v>108</v>
      </c>
      <c r="P400" s="3" t="s">
        <v>109</v>
      </c>
      <c r="Q400" s="3" t="s">
        <v>39</v>
      </c>
      <c r="R400" s="3" t="s">
        <v>40</v>
      </c>
      <c r="S400" s="55">
        <v>5209410.8</v>
      </c>
      <c r="T400" s="55">
        <v>5209410.8</v>
      </c>
      <c r="U400" s="55">
        <v>831924.54350000003</v>
      </c>
      <c r="V400" s="55">
        <v>0</v>
      </c>
      <c r="W400" s="3">
        <v>100</v>
      </c>
    </row>
    <row r="401" spans="1:23" x14ac:dyDescent="0.35">
      <c r="A401" s="3" t="s">
        <v>576</v>
      </c>
      <c r="B401" s="3" t="s">
        <v>577</v>
      </c>
      <c r="C401" s="3" t="s">
        <v>508</v>
      </c>
      <c r="D401" s="3" t="s">
        <v>186</v>
      </c>
      <c r="E401" s="3" t="s">
        <v>187</v>
      </c>
      <c r="F401" s="3" t="s">
        <v>146</v>
      </c>
      <c r="G401" s="3" t="s">
        <v>188</v>
      </c>
      <c r="H401" s="3" t="s">
        <v>189</v>
      </c>
      <c r="I401" s="3" t="s">
        <v>190</v>
      </c>
      <c r="J401" s="3" t="s">
        <v>191</v>
      </c>
      <c r="K401" s="3" t="s">
        <v>33</v>
      </c>
      <c r="L401" s="3" t="s">
        <v>51</v>
      </c>
      <c r="M401" s="3" t="s">
        <v>227</v>
      </c>
      <c r="N401" s="3" t="s">
        <v>228</v>
      </c>
      <c r="O401" s="3" t="s">
        <v>197</v>
      </c>
      <c r="P401" s="3" t="s">
        <v>198</v>
      </c>
      <c r="Q401" s="3" t="s">
        <v>39</v>
      </c>
      <c r="R401" s="3" t="s">
        <v>40</v>
      </c>
      <c r="S401" s="55">
        <v>42675.4</v>
      </c>
      <c r="T401" s="55">
        <v>42675.4</v>
      </c>
      <c r="U401" s="55">
        <v>34499.398800000003</v>
      </c>
      <c r="V401" s="55">
        <v>0</v>
      </c>
      <c r="W401" s="3">
        <v>100</v>
      </c>
    </row>
    <row r="402" spans="1:23" x14ac:dyDescent="0.35">
      <c r="A402" s="3" t="s">
        <v>576</v>
      </c>
      <c r="B402" s="3" t="s">
        <v>577</v>
      </c>
      <c r="C402" s="3" t="s">
        <v>194</v>
      </c>
      <c r="D402" s="3" t="s">
        <v>186</v>
      </c>
      <c r="E402" s="3" t="s">
        <v>187</v>
      </c>
      <c r="F402" s="3" t="s">
        <v>146</v>
      </c>
      <c r="G402" s="3" t="s">
        <v>188</v>
      </c>
      <c r="H402" s="3" t="s">
        <v>189</v>
      </c>
      <c r="I402" s="3" t="s">
        <v>190</v>
      </c>
      <c r="J402" s="3" t="s">
        <v>191</v>
      </c>
      <c r="K402" s="3" t="s">
        <v>33</v>
      </c>
      <c r="L402" s="3" t="s">
        <v>51</v>
      </c>
      <c r="M402" s="3" t="s">
        <v>195</v>
      </c>
      <c r="N402" s="3" t="s">
        <v>509</v>
      </c>
      <c r="O402" s="3" t="s">
        <v>197</v>
      </c>
      <c r="P402" s="3" t="s">
        <v>198</v>
      </c>
      <c r="Q402" s="3" t="s">
        <v>39</v>
      </c>
      <c r="R402" s="3" t="s">
        <v>40</v>
      </c>
      <c r="S402" s="55">
        <v>32937.4</v>
      </c>
      <c r="T402" s="55">
        <v>32937.360000000001</v>
      </c>
      <c r="U402" s="55">
        <v>1095.425</v>
      </c>
      <c r="V402" s="55">
        <v>0.04</v>
      </c>
      <c r="W402" s="3">
        <v>100</v>
      </c>
    </row>
    <row r="403" spans="1:23" x14ac:dyDescent="0.35">
      <c r="A403" s="3" t="s">
        <v>576</v>
      </c>
      <c r="B403" s="3" t="s">
        <v>577</v>
      </c>
      <c r="C403" s="3" t="s">
        <v>510</v>
      </c>
      <c r="D403" s="3" t="s">
        <v>200</v>
      </c>
      <c r="E403" s="3" t="s">
        <v>187</v>
      </c>
      <c r="F403" s="3" t="s">
        <v>189</v>
      </c>
      <c r="G403" s="3" t="s">
        <v>201</v>
      </c>
      <c r="H403" s="3" t="s">
        <v>189</v>
      </c>
      <c r="I403" s="3" t="s">
        <v>190</v>
      </c>
      <c r="J403" s="3" t="s">
        <v>202</v>
      </c>
      <c r="K403" s="3" t="s">
        <v>23</v>
      </c>
      <c r="L403" s="3" t="s">
        <v>203</v>
      </c>
      <c r="M403" s="3" t="s">
        <v>511</v>
      </c>
      <c r="N403" s="3" t="s">
        <v>205</v>
      </c>
      <c r="O403" s="3" t="s">
        <v>197</v>
      </c>
      <c r="P403" s="3" t="s">
        <v>198</v>
      </c>
      <c r="Q403" s="3" t="s">
        <v>39</v>
      </c>
      <c r="R403" s="3" t="s">
        <v>40</v>
      </c>
      <c r="S403" s="55">
        <v>21148</v>
      </c>
      <c r="T403" s="55">
        <v>21147.8315</v>
      </c>
      <c r="U403" s="55">
        <v>1762.5297</v>
      </c>
      <c r="V403" s="55">
        <v>0.16850000000000001</v>
      </c>
      <c r="W403" s="3">
        <v>100</v>
      </c>
    </row>
    <row r="404" spans="1:23" x14ac:dyDescent="0.35">
      <c r="A404" s="3" t="s">
        <v>576</v>
      </c>
      <c r="B404" s="3" t="s">
        <v>577</v>
      </c>
      <c r="C404" s="3" t="s">
        <v>512</v>
      </c>
      <c r="D404" s="3" t="s">
        <v>200</v>
      </c>
      <c r="E404" s="3" t="s">
        <v>187</v>
      </c>
      <c r="F404" s="3" t="s">
        <v>189</v>
      </c>
      <c r="G404" s="3" t="s">
        <v>201</v>
      </c>
      <c r="H404" s="3" t="s">
        <v>189</v>
      </c>
      <c r="I404" s="3" t="s">
        <v>190</v>
      </c>
      <c r="J404" s="3" t="s">
        <v>202</v>
      </c>
      <c r="K404" s="3" t="s">
        <v>23</v>
      </c>
      <c r="L404" s="3" t="s">
        <v>203</v>
      </c>
      <c r="M404" s="3" t="s">
        <v>513</v>
      </c>
      <c r="N404" s="3" t="s">
        <v>514</v>
      </c>
      <c r="O404" s="3" t="s">
        <v>197</v>
      </c>
      <c r="P404" s="3" t="s">
        <v>198</v>
      </c>
      <c r="Q404" s="3" t="s">
        <v>39</v>
      </c>
      <c r="R404" s="3" t="s">
        <v>40</v>
      </c>
      <c r="S404" s="55">
        <v>1977.2</v>
      </c>
      <c r="T404" s="55">
        <v>1975.2195999999999</v>
      </c>
      <c r="U404" s="55">
        <v>0</v>
      </c>
      <c r="V404" s="55">
        <v>1.9803999999999999</v>
      </c>
      <c r="W404" s="3">
        <v>100</v>
      </c>
    </row>
    <row r="405" spans="1:23" x14ac:dyDescent="0.35">
      <c r="A405" s="3" t="s">
        <v>576</v>
      </c>
      <c r="B405" s="3" t="s">
        <v>577</v>
      </c>
      <c r="C405" s="3" t="s">
        <v>209</v>
      </c>
      <c r="D405" s="3" t="s">
        <v>200</v>
      </c>
      <c r="E405" s="3" t="s">
        <v>187</v>
      </c>
      <c r="F405" s="3" t="s">
        <v>189</v>
      </c>
      <c r="G405" s="3" t="s">
        <v>201</v>
      </c>
      <c r="H405" s="3" t="s">
        <v>189</v>
      </c>
      <c r="I405" s="3" t="s">
        <v>190</v>
      </c>
      <c r="J405" s="3" t="s">
        <v>191</v>
      </c>
      <c r="K405" s="3" t="s">
        <v>33</v>
      </c>
      <c r="L405" s="3" t="s">
        <v>51</v>
      </c>
      <c r="M405" s="3" t="s">
        <v>210</v>
      </c>
      <c r="N405" s="3" t="s">
        <v>211</v>
      </c>
      <c r="O405" s="3" t="s">
        <v>108</v>
      </c>
      <c r="P405" s="3" t="s">
        <v>109</v>
      </c>
      <c r="Q405" s="3" t="s">
        <v>39</v>
      </c>
      <c r="R405" s="3" t="s">
        <v>40</v>
      </c>
      <c r="S405" s="55">
        <v>5004262.9000000004</v>
      </c>
      <c r="T405" s="55">
        <v>5004262.9000000004</v>
      </c>
      <c r="U405" s="55">
        <v>717448.31550000003</v>
      </c>
      <c r="V405" s="55">
        <v>0</v>
      </c>
      <c r="W405" s="3">
        <v>100</v>
      </c>
    </row>
    <row r="406" spans="1:23" x14ac:dyDescent="0.35">
      <c r="A406" s="3" t="s">
        <v>576</v>
      </c>
      <c r="B406" s="3" t="s">
        <v>577</v>
      </c>
      <c r="C406" s="3" t="s">
        <v>212</v>
      </c>
      <c r="D406" s="3" t="s">
        <v>200</v>
      </c>
      <c r="E406" s="3" t="s">
        <v>187</v>
      </c>
      <c r="F406" s="3" t="s">
        <v>189</v>
      </c>
      <c r="G406" s="3" t="s">
        <v>201</v>
      </c>
      <c r="H406" s="3" t="s">
        <v>189</v>
      </c>
      <c r="I406" s="3" t="s">
        <v>190</v>
      </c>
      <c r="J406" s="3" t="s">
        <v>191</v>
      </c>
      <c r="K406" s="3" t="s">
        <v>33</v>
      </c>
      <c r="L406" s="3" t="s">
        <v>51</v>
      </c>
      <c r="M406" s="3" t="s">
        <v>213</v>
      </c>
      <c r="N406" s="3" t="s">
        <v>214</v>
      </c>
      <c r="O406" s="3" t="s">
        <v>108</v>
      </c>
      <c r="P406" s="3" t="s">
        <v>109</v>
      </c>
      <c r="Q406" s="3" t="s">
        <v>39</v>
      </c>
      <c r="R406" s="3" t="s">
        <v>40</v>
      </c>
      <c r="S406" s="55">
        <v>176762.4</v>
      </c>
      <c r="T406" s="55">
        <v>176762.4</v>
      </c>
      <c r="U406" s="55">
        <v>42342.2886</v>
      </c>
      <c r="V406" s="55">
        <v>0</v>
      </c>
      <c r="W406" s="3">
        <v>100</v>
      </c>
    </row>
    <row r="407" spans="1:23" x14ac:dyDescent="0.35">
      <c r="A407" s="3" t="s">
        <v>576</v>
      </c>
      <c r="B407" s="3" t="s">
        <v>577</v>
      </c>
      <c r="C407" s="3" t="s">
        <v>215</v>
      </c>
      <c r="D407" s="3" t="s">
        <v>200</v>
      </c>
      <c r="E407" s="3" t="s">
        <v>187</v>
      </c>
      <c r="F407" s="3" t="s">
        <v>189</v>
      </c>
      <c r="G407" s="3" t="s">
        <v>201</v>
      </c>
      <c r="H407" s="3" t="s">
        <v>189</v>
      </c>
      <c r="I407" s="3" t="s">
        <v>190</v>
      </c>
      <c r="J407" s="3" t="s">
        <v>191</v>
      </c>
      <c r="K407" s="3" t="s">
        <v>33</v>
      </c>
      <c r="L407" s="3" t="s">
        <v>51</v>
      </c>
      <c r="M407" s="3" t="s">
        <v>216</v>
      </c>
      <c r="N407" s="3" t="s">
        <v>217</v>
      </c>
      <c r="O407" s="3" t="s">
        <v>108</v>
      </c>
      <c r="P407" s="3" t="s">
        <v>109</v>
      </c>
      <c r="Q407" s="3" t="s">
        <v>39</v>
      </c>
      <c r="R407" s="3" t="s">
        <v>40</v>
      </c>
      <c r="S407" s="55">
        <v>82110.3</v>
      </c>
      <c r="T407" s="55">
        <v>82110.3</v>
      </c>
      <c r="U407" s="55">
        <v>11105.156300000001</v>
      </c>
      <c r="V407" s="55">
        <v>0</v>
      </c>
      <c r="W407" s="3">
        <v>100</v>
      </c>
    </row>
    <row r="408" spans="1:23" x14ac:dyDescent="0.35">
      <c r="A408" s="3" t="s">
        <v>576</v>
      </c>
      <c r="B408" s="3" t="s">
        <v>577</v>
      </c>
      <c r="C408" s="3" t="s">
        <v>476</v>
      </c>
      <c r="D408" s="3" t="s">
        <v>200</v>
      </c>
      <c r="E408" s="3" t="s">
        <v>187</v>
      </c>
      <c r="F408" s="3" t="s">
        <v>189</v>
      </c>
      <c r="G408" s="3" t="s">
        <v>201</v>
      </c>
      <c r="H408" s="3" t="s">
        <v>189</v>
      </c>
      <c r="I408" s="3" t="s">
        <v>190</v>
      </c>
      <c r="J408" s="3" t="s">
        <v>191</v>
      </c>
      <c r="K408" s="3" t="s">
        <v>33</v>
      </c>
      <c r="L408" s="3" t="s">
        <v>51</v>
      </c>
      <c r="M408" s="3" t="s">
        <v>219</v>
      </c>
      <c r="N408" s="3" t="s">
        <v>220</v>
      </c>
      <c r="O408" s="3" t="s">
        <v>477</v>
      </c>
      <c r="P408" s="3" t="s">
        <v>478</v>
      </c>
      <c r="Q408" s="3" t="s">
        <v>39</v>
      </c>
      <c r="R408" s="3" t="s">
        <v>40</v>
      </c>
      <c r="S408" s="55">
        <v>1102.9000000000001</v>
      </c>
      <c r="T408" s="55">
        <v>1102.9000000000001</v>
      </c>
      <c r="U408" s="55">
        <v>275.72500000000002</v>
      </c>
      <c r="V408" s="55">
        <v>0</v>
      </c>
      <c r="W408" s="3">
        <v>100</v>
      </c>
    </row>
    <row r="409" spans="1:23" x14ac:dyDescent="0.35">
      <c r="A409" s="3" t="s">
        <v>576</v>
      </c>
      <c r="B409" s="3" t="s">
        <v>577</v>
      </c>
      <c r="C409" s="3" t="s">
        <v>223</v>
      </c>
      <c r="D409" s="3" t="s">
        <v>200</v>
      </c>
      <c r="E409" s="3" t="s">
        <v>187</v>
      </c>
      <c r="F409" s="3" t="s">
        <v>189</v>
      </c>
      <c r="G409" s="3" t="s">
        <v>201</v>
      </c>
      <c r="H409" s="3" t="s">
        <v>189</v>
      </c>
      <c r="I409" s="3" t="s">
        <v>190</v>
      </c>
      <c r="J409" s="3" t="s">
        <v>191</v>
      </c>
      <c r="K409" s="3" t="s">
        <v>33</v>
      </c>
      <c r="L409" s="3" t="s">
        <v>51</v>
      </c>
      <c r="M409" s="3" t="s">
        <v>224</v>
      </c>
      <c r="N409" s="3" t="s">
        <v>564</v>
      </c>
      <c r="O409" s="3" t="s">
        <v>197</v>
      </c>
      <c r="P409" s="3" t="s">
        <v>198</v>
      </c>
      <c r="Q409" s="3" t="s">
        <v>39</v>
      </c>
      <c r="R409" s="3" t="s">
        <v>40</v>
      </c>
      <c r="S409" s="55">
        <v>110161.60000000001</v>
      </c>
      <c r="T409" s="55">
        <v>110161.56</v>
      </c>
      <c r="U409" s="55">
        <v>2600.9573999999998</v>
      </c>
      <c r="V409" s="55">
        <v>0.04</v>
      </c>
      <c r="W409" s="3">
        <v>100</v>
      </c>
    </row>
    <row r="410" spans="1:23" x14ac:dyDescent="0.35">
      <c r="A410" s="3" t="s">
        <v>576</v>
      </c>
      <c r="B410" s="3" t="s">
        <v>577</v>
      </c>
      <c r="C410" s="3" t="s">
        <v>432</v>
      </c>
      <c r="D410" s="3" t="s">
        <v>200</v>
      </c>
      <c r="E410" s="3" t="s">
        <v>187</v>
      </c>
      <c r="F410" s="3" t="s">
        <v>189</v>
      </c>
      <c r="G410" s="3" t="s">
        <v>201</v>
      </c>
      <c r="H410" s="3" t="s">
        <v>189</v>
      </c>
      <c r="I410" s="3" t="s">
        <v>190</v>
      </c>
      <c r="J410" s="3" t="s">
        <v>191</v>
      </c>
      <c r="K410" s="3" t="s">
        <v>33</v>
      </c>
      <c r="L410" s="3" t="s">
        <v>51</v>
      </c>
      <c r="M410" s="3" t="s">
        <v>427</v>
      </c>
      <c r="N410" s="3" t="s">
        <v>565</v>
      </c>
      <c r="O410" s="3" t="s">
        <v>197</v>
      </c>
      <c r="P410" s="3" t="s">
        <v>198</v>
      </c>
      <c r="Q410" s="3" t="s">
        <v>39</v>
      </c>
      <c r="R410" s="3" t="s">
        <v>40</v>
      </c>
      <c r="S410" s="55">
        <v>34431.800000000003</v>
      </c>
      <c r="T410" s="55">
        <v>34431.800000000003</v>
      </c>
      <c r="U410" s="55">
        <v>14493.366</v>
      </c>
      <c r="V410" s="55">
        <v>0</v>
      </c>
      <c r="W410" s="3">
        <v>100</v>
      </c>
    </row>
    <row r="411" spans="1:23" x14ac:dyDescent="0.35">
      <c r="A411" s="3" t="s">
        <v>576</v>
      </c>
      <c r="B411" s="3" t="s">
        <v>577</v>
      </c>
      <c r="C411" s="3" t="s">
        <v>226</v>
      </c>
      <c r="D411" s="3" t="s">
        <v>200</v>
      </c>
      <c r="E411" s="3" t="s">
        <v>187</v>
      </c>
      <c r="F411" s="3" t="s">
        <v>189</v>
      </c>
      <c r="G411" s="3" t="s">
        <v>201</v>
      </c>
      <c r="H411" s="3" t="s">
        <v>189</v>
      </c>
      <c r="I411" s="3" t="s">
        <v>190</v>
      </c>
      <c r="J411" s="3" t="s">
        <v>191</v>
      </c>
      <c r="K411" s="3" t="s">
        <v>33</v>
      </c>
      <c r="L411" s="3" t="s">
        <v>51</v>
      </c>
      <c r="M411" s="3" t="s">
        <v>227</v>
      </c>
      <c r="N411" s="3" t="s">
        <v>228</v>
      </c>
      <c r="O411" s="3" t="s">
        <v>197</v>
      </c>
      <c r="P411" s="3" t="s">
        <v>198</v>
      </c>
      <c r="Q411" s="3" t="s">
        <v>39</v>
      </c>
      <c r="R411" s="3" t="s">
        <v>40</v>
      </c>
      <c r="S411" s="55">
        <v>82697.2</v>
      </c>
      <c r="T411" s="55">
        <v>82697.2</v>
      </c>
      <c r="U411" s="55">
        <v>45638.107199999999</v>
      </c>
      <c r="V411" s="55">
        <v>0</v>
      </c>
      <c r="W411" s="3">
        <v>100</v>
      </c>
    </row>
    <row r="412" spans="1:23" x14ac:dyDescent="0.35">
      <c r="A412" s="3" t="s">
        <v>576</v>
      </c>
      <c r="B412" s="3" t="s">
        <v>577</v>
      </c>
      <c r="C412" s="3" t="s">
        <v>229</v>
      </c>
      <c r="D412" s="3" t="s">
        <v>200</v>
      </c>
      <c r="E412" s="3" t="s">
        <v>187</v>
      </c>
      <c r="F412" s="3" t="s">
        <v>189</v>
      </c>
      <c r="G412" s="3" t="s">
        <v>201</v>
      </c>
      <c r="H412" s="3" t="s">
        <v>189</v>
      </c>
      <c r="I412" s="3" t="s">
        <v>190</v>
      </c>
      <c r="J412" s="3" t="s">
        <v>191</v>
      </c>
      <c r="K412" s="3" t="s">
        <v>33</v>
      </c>
      <c r="L412" s="3" t="s">
        <v>51</v>
      </c>
      <c r="M412" s="3" t="s">
        <v>195</v>
      </c>
      <c r="N412" s="3" t="s">
        <v>509</v>
      </c>
      <c r="O412" s="3" t="s">
        <v>197</v>
      </c>
      <c r="P412" s="3" t="s">
        <v>198</v>
      </c>
      <c r="Q412" s="3" t="s">
        <v>39</v>
      </c>
      <c r="R412" s="3" t="s">
        <v>40</v>
      </c>
      <c r="S412" s="55">
        <v>25956.9</v>
      </c>
      <c r="T412" s="55">
        <v>25956.78</v>
      </c>
      <c r="U412" s="55">
        <v>2725.5888</v>
      </c>
      <c r="V412" s="55">
        <v>0.12</v>
      </c>
      <c r="W412" s="3">
        <v>100</v>
      </c>
    </row>
    <row r="413" spans="1:23" x14ac:dyDescent="0.35">
      <c r="A413" s="3" t="s">
        <v>576</v>
      </c>
      <c r="B413" s="3" t="s">
        <v>577</v>
      </c>
      <c r="C413" s="3" t="s">
        <v>433</v>
      </c>
      <c r="D413" s="3" t="s">
        <v>200</v>
      </c>
      <c r="E413" s="3" t="s">
        <v>187</v>
      </c>
      <c r="F413" s="3" t="s">
        <v>189</v>
      </c>
      <c r="G413" s="3" t="s">
        <v>201</v>
      </c>
      <c r="H413" s="3" t="s">
        <v>189</v>
      </c>
      <c r="I413" s="3" t="s">
        <v>190</v>
      </c>
      <c r="J413" s="3" t="s">
        <v>191</v>
      </c>
      <c r="K413" s="3" t="s">
        <v>33</v>
      </c>
      <c r="L413" s="3" t="s">
        <v>51</v>
      </c>
      <c r="M413" s="3" t="s">
        <v>434</v>
      </c>
      <c r="N413" s="3" t="s">
        <v>435</v>
      </c>
      <c r="O413" s="3" t="s">
        <v>197</v>
      </c>
      <c r="P413" s="3" t="s">
        <v>198</v>
      </c>
      <c r="Q413" s="3" t="s">
        <v>39</v>
      </c>
      <c r="R413" s="3" t="s">
        <v>40</v>
      </c>
      <c r="S413" s="55">
        <v>2923.6</v>
      </c>
      <c r="T413" s="55">
        <v>2923.6</v>
      </c>
      <c r="U413" s="55">
        <v>193.8064</v>
      </c>
      <c r="V413" s="55">
        <v>0</v>
      </c>
      <c r="W413" s="3">
        <v>100</v>
      </c>
    </row>
    <row r="414" spans="1:23" x14ac:dyDescent="0.35">
      <c r="A414" s="3" t="s">
        <v>576</v>
      </c>
      <c r="B414" s="3" t="s">
        <v>577</v>
      </c>
      <c r="C414" s="3" t="s">
        <v>518</v>
      </c>
      <c r="D414" s="3" t="s">
        <v>200</v>
      </c>
      <c r="E414" s="3" t="s">
        <v>187</v>
      </c>
      <c r="F414" s="3" t="s">
        <v>189</v>
      </c>
      <c r="G414" s="3" t="s">
        <v>201</v>
      </c>
      <c r="H414" s="3" t="s">
        <v>189</v>
      </c>
      <c r="I414" s="3" t="s">
        <v>190</v>
      </c>
      <c r="J414" s="3" t="s">
        <v>191</v>
      </c>
      <c r="K414" s="3" t="s">
        <v>33</v>
      </c>
      <c r="L414" s="3" t="s">
        <v>51</v>
      </c>
      <c r="M414" s="3" t="s">
        <v>519</v>
      </c>
      <c r="N414" s="3" t="s">
        <v>208</v>
      </c>
      <c r="O414" s="3" t="s">
        <v>197</v>
      </c>
      <c r="P414" s="3" t="s">
        <v>198</v>
      </c>
      <c r="Q414" s="3" t="s">
        <v>39</v>
      </c>
      <c r="R414" s="3" t="s">
        <v>40</v>
      </c>
      <c r="S414" s="55">
        <v>104515.5</v>
      </c>
      <c r="T414" s="55">
        <v>104515.5</v>
      </c>
      <c r="U414" s="55">
        <v>3458.41</v>
      </c>
      <c r="V414" s="55">
        <v>0</v>
      </c>
      <c r="W414" s="3">
        <v>100</v>
      </c>
    </row>
    <row r="415" spans="1:23" x14ac:dyDescent="0.35">
      <c r="A415" s="3" t="s">
        <v>576</v>
      </c>
      <c r="B415" s="3" t="s">
        <v>577</v>
      </c>
      <c r="C415" s="3" t="s">
        <v>230</v>
      </c>
      <c r="D415" s="3" t="s">
        <v>200</v>
      </c>
      <c r="E415" s="3" t="s">
        <v>187</v>
      </c>
      <c r="F415" s="3" t="s">
        <v>189</v>
      </c>
      <c r="G415" s="3" t="s">
        <v>201</v>
      </c>
      <c r="H415" s="3" t="s">
        <v>28</v>
      </c>
      <c r="I415" s="3" t="s">
        <v>231</v>
      </c>
      <c r="J415" s="3" t="s">
        <v>232</v>
      </c>
      <c r="K415" s="3" t="s">
        <v>33</v>
      </c>
      <c r="L415" s="3" t="s">
        <v>51</v>
      </c>
      <c r="M415" s="3" t="s">
        <v>233</v>
      </c>
      <c r="N415" s="3" t="s">
        <v>234</v>
      </c>
      <c r="O415" s="3" t="s">
        <v>197</v>
      </c>
      <c r="P415" s="3" t="s">
        <v>198</v>
      </c>
      <c r="Q415" s="3" t="s">
        <v>39</v>
      </c>
      <c r="R415" s="3" t="s">
        <v>40</v>
      </c>
      <c r="S415" s="55">
        <v>296352.09999999998</v>
      </c>
      <c r="T415" s="55">
        <v>296352.09999999998</v>
      </c>
      <c r="U415" s="55">
        <v>62677.438399999999</v>
      </c>
      <c r="V415" s="55">
        <v>0</v>
      </c>
      <c r="W415" s="3">
        <v>100</v>
      </c>
    </row>
    <row r="416" spans="1:23" x14ac:dyDescent="0.35">
      <c r="A416" s="3" t="s">
        <v>576</v>
      </c>
      <c r="B416" s="3" t="s">
        <v>577</v>
      </c>
      <c r="C416" s="3" t="s">
        <v>235</v>
      </c>
      <c r="D416" s="3" t="s">
        <v>200</v>
      </c>
      <c r="E416" s="3" t="s">
        <v>187</v>
      </c>
      <c r="F416" s="3" t="s">
        <v>189</v>
      </c>
      <c r="G416" s="3" t="s">
        <v>201</v>
      </c>
      <c r="H416" s="3" t="s">
        <v>28</v>
      </c>
      <c r="I416" s="3" t="s">
        <v>231</v>
      </c>
      <c r="J416" s="3" t="s">
        <v>232</v>
      </c>
      <c r="K416" s="3" t="s">
        <v>33</v>
      </c>
      <c r="L416" s="3" t="s">
        <v>51</v>
      </c>
      <c r="M416" s="3" t="s">
        <v>236</v>
      </c>
      <c r="N416" s="3" t="s">
        <v>237</v>
      </c>
      <c r="O416" s="3" t="s">
        <v>197</v>
      </c>
      <c r="P416" s="3" t="s">
        <v>198</v>
      </c>
      <c r="Q416" s="3" t="s">
        <v>39</v>
      </c>
      <c r="R416" s="3" t="s">
        <v>40</v>
      </c>
      <c r="S416" s="55">
        <v>138374.70000000001</v>
      </c>
      <c r="T416" s="55">
        <v>138374.6146</v>
      </c>
      <c r="U416" s="55">
        <v>3265.3420000000001</v>
      </c>
      <c r="V416" s="55">
        <v>8.5400000000000004E-2</v>
      </c>
      <c r="W416" s="3">
        <v>100</v>
      </c>
    </row>
    <row r="417" spans="1:23" x14ac:dyDescent="0.35">
      <c r="A417" s="3" t="s">
        <v>576</v>
      </c>
      <c r="B417" s="3" t="s">
        <v>577</v>
      </c>
      <c r="C417" s="3" t="s">
        <v>238</v>
      </c>
      <c r="D417" s="3" t="s">
        <v>239</v>
      </c>
      <c r="E417" s="3" t="s">
        <v>187</v>
      </c>
      <c r="F417" s="3" t="s">
        <v>28</v>
      </c>
      <c r="G417" s="3" t="s">
        <v>240</v>
      </c>
      <c r="H417" s="3" t="s">
        <v>189</v>
      </c>
      <c r="I417" s="3" t="s">
        <v>190</v>
      </c>
      <c r="J417" s="3" t="s">
        <v>191</v>
      </c>
      <c r="K417" s="3" t="s">
        <v>33</v>
      </c>
      <c r="L417" s="3" t="s">
        <v>51</v>
      </c>
      <c r="M417" s="3" t="s">
        <v>241</v>
      </c>
      <c r="N417" s="3" t="s">
        <v>242</v>
      </c>
      <c r="O417" s="3" t="s">
        <v>108</v>
      </c>
      <c r="P417" s="3" t="s">
        <v>109</v>
      </c>
      <c r="Q417" s="3" t="s">
        <v>39</v>
      </c>
      <c r="R417" s="3" t="s">
        <v>40</v>
      </c>
      <c r="S417" s="55">
        <v>289806.5</v>
      </c>
      <c r="T417" s="55">
        <v>289806.5</v>
      </c>
      <c r="U417" s="55">
        <v>52065.626499999998</v>
      </c>
      <c r="V417" s="55">
        <v>0</v>
      </c>
      <c r="W417" s="3">
        <v>100</v>
      </c>
    </row>
    <row r="418" spans="1:23" x14ac:dyDescent="0.35">
      <c r="A418" s="3" t="s">
        <v>576</v>
      </c>
      <c r="B418" s="3" t="s">
        <v>577</v>
      </c>
      <c r="C418" s="3" t="s">
        <v>525</v>
      </c>
      <c r="D418" s="3" t="s">
        <v>526</v>
      </c>
      <c r="E418" s="3" t="s">
        <v>187</v>
      </c>
      <c r="F418" s="3" t="s">
        <v>176</v>
      </c>
      <c r="G418" s="3" t="s">
        <v>527</v>
      </c>
      <c r="H418" s="3" t="s">
        <v>189</v>
      </c>
      <c r="I418" s="3" t="s">
        <v>190</v>
      </c>
      <c r="J418" s="3" t="s">
        <v>191</v>
      </c>
      <c r="K418" s="3" t="s">
        <v>33</v>
      </c>
      <c r="L418" s="3" t="s">
        <v>51</v>
      </c>
      <c r="M418" s="3" t="s">
        <v>528</v>
      </c>
      <c r="N418" s="3" t="s">
        <v>529</v>
      </c>
      <c r="O418" s="3" t="s">
        <v>197</v>
      </c>
      <c r="P418" s="3" t="s">
        <v>198</v>
      </c>
      <c r="Q418" s="3" t="s">
        <v>39</v>
      </c>
      <c r="R418" s="3" t="s">
        <v>40</v>
      </c>
      <c r="S418" s="55">
        <v>1003.3</v>
      </c>
      <c r="T418" s="55">
        <v>1003.3</v>
      </c>
      <c r="U418" s="55">
        <v>124.53279999999999</v>
      </c>
      <c r="V418" s="55">
        <v>0</v>
      </c>
      <c r="W418" s="3">
        <v>100</v>
      </c>
    </row>
    <row r="419" spans="1:23" x14ac:dyDescent="0.35">
      <c r="A419" s="3" t="s">
        <v>576</v>
      </c>
      <c r="B419" s="3" t="s">
        <v>577</v>
      </c>
      <c r="C419" s="3" t="s">
        <v>243</v>
      </c>
      <c r="D419" s="3" t="s">
        <v>244</v>
      </c>
      <c r="E419" s="3" t="s">
        <v>187</v>
      </c>
      <c r="F419" s="3" t="s">
        <v>245</v>
      </c>
      <c r="G419" s="3" t="s">
        <v>246</v>
      </c>
      <c r="H419" s="3" t="s">
        <v>66</v>
      </c>
      <c r="I419" s="3" t="s">
        <v>67</v>
      </c>
      <c r="J419" s="3" t="s">
        <v>68</v>
      </c>
      <c r="K419" s="3" t="s">
        <v>33</v>
      </c>
      <c r="L419" s="3" t="s">
        <v>51</v>
      </c>
      <c r="M419" s="3" t="s">
        <v>247</v>
      </c>
      <c r="N419" s="3" t="s">
        <v>248</v>
      </c>
      <c r="O419" s="3" t="s">
        <v>108</v>
      </c>
      <c r="P419" s="3" t="s">
        <v>109</v>
      </c>
      <c r="Q419" s="3" t="s">
        <v>39</v>
      </c>
      <c r="R419" s="3" t="s">
        <v>40</v>
      </c>
      <c r="S419" s="55">
        <v>225843.1</v>
      </c>
      <c r="T419" s="55">
        <v>225843.1</v>
      </c>
      <c r="U419" s="55">
        <v>50411.274599999997</v>
      </c>
      <c r="V419" s="55">
        <v>0</v>
      </c>
      <c r="W419" s="3">
        <v>100</v>
      </c>
    </row>
    <row r="420" spans="1:23" x14ac:dyDescent="0.35">
      <c r="A420" s="3" t="s">
        <v>576</v>
      </c>
      <c r="B420" s="3" t="s">
        <v>577</v>
      </c>
      <c r="C420" s="3" t="s">
        <v>249</v>
      </c>
      <c r="D420" s="3" t="s">
        <v>244</v>
      </c>
      <c r="E420" s="3" t="s">
        <v>187</v>
      </c>
      <c r="F420" s="3" t="s">
        <v>245</v>
      </c>
      <c r="G420" s="3" t="s">
        <v>246</v>
      </c>
      <c r="H420" s="3" t="s">
        <v>66</v>
      </c>
      <c r="I420" s="3" t="s">
        <v>67</v>
      </c>
      <c r="J420" s="3" t="s">
        <v>68</v>
      </c>
      <c r="K420" s="3" t="s">
        <v>33</v>
      </c>
      <c r="L420" s="3" t="s">
        <v>51</v>
      </c>
      <c r="M420" s="3" t="s">
        <v>250</v>
      </c>
      <c r="N420" s="3" t="s">
        <v>251</v>
      </c>
      <c r="O420" s="3" t="s">
        <v>197</v>
      </c>
      <c r="P420" s="3" t="s">
        <v>198</v>
      </c>
      <c r="Q420" s="3" t="s">
        <v>39</v>
      </c>
      <c r="R420" s="3" t="s">
        <v>40</v>
      </c>
      <c r="S420" s="55">
        <v>11946.1</v>
      </c>
      <c r="T420" s="55">
        <v>11946.1</v>
      </c>
      <c r="U420" s="55">
        <v>8887.4060000000009</v>
      </c>
      <c r="V420" s="55">
        <v>0</v>
      </c>
      <c r="W420" s="3">
        <v>100</v>
      </c>
    </row>
    <row r="421" spans="1:23" x14ac:dyDescent="0.35">
      <c r="A421" s="3" t="s">
        <v>576</v>
      </c>
      <c r="B421" s="3" t="s">
        <v>577</v>
      </c>
      <c r="C421" s="3" t="s">
        <v>252</v>
      </c>
      <c r="D421" s="3" t="s">
        <v>244</v>
      </c>
      <c r="E421" s="3" t="s">
        <v>187</v>
      </c>
      <c r="F421" s="3" t="s">
        <v>245</v>
      </c>
      <c r="G421" s="3" t="s">
        <v>246</v>
      </c>
      <c r="H421" s="3" t="s">
        <v>66</v>
      </c>
      <c r="I421" s="3" t="s">
        <v>67</v>
      </c>
      <c r="J421" s="3" t="s">
        <v>68</v>
      </c>
      <c r="K421" s="3" t="s">
        <v>33</v>
      </c>
      <c r="L421" s="3" t="s">
        <v>51</v>
      </c>
      <c r="M421" s="3" t="s">
        <v>253</v>
      </c>
      <c r="N421" s="3" t="s">
        <v>254</v>
      </c>
      <c r="O421" s="3" t="s">
        <v>197</v>
      </c>
      <c r="P421" s="3" t="s">
        <v>198</v>
      </c>
      <c r="Q421" s="3" t="s">
        <v>39</v>
      </c>
      <c r="R421" s="3" t="s">
        <v>40</v>
      </c>
      <c r="S421" s="55">
        <v>1648.3</v>
      </c>
      <c r="T421" s="55">
        <v>1648.3</v>
      </c>
      <c r="U421" s="55">
        <v>971.63340000000005</v>
      </c>
      <c r="V421" s="55">
        <v>0</v>
      </c>
      <c r="W421" s="3">
        <v>100</v>
      </c>
    </row>
    <row r="422" spans="1:23" x14ac:dyDescent="0.35">
      <c r="A422" s="3" t="s">
        <v>576</v>
      </c>
      <c r="B422" s="3" t="s">
        <v>577</v>
      </c>
      <c r="C422" s="3" t="s">
        <v>255</v>
      </c>
      <c r="D422" s="3" t="s">
        <v>244</v>
      </c>
      <c r="E422" s="3" t="s">
        <v>187</v>
      </c>
      <c r="F422" s="3" t="s">
        <v>245</v>
      </c>
      <c r="G422" s="3" t="s">
        <v>246</v>
      </c>
      <c r="H422" s="3" t="s">
        <v>66</v>
      </c>
      <c r="I422" s="3" t="s">
        <v>67</v>
      </c>
      <c r="J422" s="3" t="s">
        <v>68</v>
      </c>
      <c r="K422" s="3" t="s">
        <v>33</v>
      </c>
      <c r="L422" s="3" t="s">
        <v>51</v>
      </c>
      <c r="M422" s="3" t="s">
        <v>256</v>
      </c>
      <c r="N422" s="3" t="s">
        <v>257</v>
      </c>
      <c r="O422" s="3" t="s">
        <v>197</v>
      </c>
      <c r="P422" s="3" t="s">
        <v>198</v>
      </c>
      <c r="Q422" s="3" t="s">
        <v>39</v>
      </c>
      <c r="R422" s="3" t="s">
        <v>40</v>
      </c>
      <c r="S422" s="55">
        <v>10032.799999999999</v>
      </c>
      <c r="T422" s="55">
        <v>10032.799999999999</v>
      </c>
      <c r="U422" s="55">
        <v>3033.8407000000002</v>
      </c>
      <c r="V422" s="55">
        <v>0</v>
      </c>
      <c r="W422" s="3">
        <v>100</v>
      </c>
    </row>
    <row r="423" spans="1:23" x14ac:dyDescent="0.35">
      <c r="A423" s="3" t="s">
        <v>576</v>
      </c>
      <c r="B423" s="3" t="s">
        <v>577</v>
      </c>
      <c r="C423" s="3" t="s">
        <v>566</v>
      </c>
      <c r="D423" s="3" t="s">
        <v>259</v>
      </c>
      <c r="E423" s="3" t="s">
        <v>187</v>
      </c>
      <c r="F423" s="3" t="s">
        <v>116</v>
      </c>
      <c r="G423" s="3" t="s">
        <v>260</v>
      </c>
      <c r="H423" s="3" t="s">
        <v>189</v>
      </c>
      <c r="I423" s="3" t="s">
        <v>190</v>
      </c>
      <c r="J423" s="3" t="s">
        <v>202</v>
      </c>
      <c r="K423" s="3" t="s">
        <v>23</v>
      </c>
      <c r="L423" s="3" t="s">
        <v>203</v>
      </c>
      <c r="M423" s="3" t="s">
        <v>567</v>
      </c>
      <c r="N423" s="3" t="s">
        <v>568</v>
      </c>
      <c r="O423" s="3" t="s">
        <v>197</v>
      </c>
      <c r="P423" s="3" t="s">
        <v>198</v>
      </c>
      <c r="Q423" s="3" t="s">
        <v>39</v>
      </c>
      <c r="R423" s="3" t="s">
        <v>40</v>
      </c>
      <c r="S423" s="55">
        <v>13914.4</v>
      </c>
      <c r="T423" s="55">
        <v>13914.3143</v>
      </c>
      <c r="U423" s="55">
        <v>0</v>
      </c>
      <c r="V423" s="55">
        <v>8.5699999999999998E-2</v>
      </c>
      <c r="W423" s="3">
        <v>100</v>
      </c>
    </row>
    <row r="424" spans="1:23" x14ac:dyDescent="0.35">
      <c r="A424" s="3" t="s">
        <v>576</v>
      </c>
      <c r="B424" s="3" t="s">
        <v>577</v>
      </c>
      <c r="C424" s="3" t="s">
        <v>569</v>
      </c>
      <c r="D424" s="3" t="s">
        <v>259</v>
      </c>
      <c r="E424" s="3" t="s">
        <v>187</v>
      </c>
      <c r="F424" s="3" t="s">
        <v>116</v>
      </c>
      <c r="G424" s="3" t="s">
        <v>260</v>
      </c>
      <c r="H424" s="3" t="s">
        <v>189</v>
      </c>
      <c r="I424" s="3" t="s">
        <v>190</v>
      </c>
      <c r="J424" s="3" t="s">
        <v>202</v>
      </c>
      <c r="K424" s="3" t="s">
        <v>23</v>
      </c>
      <c r="L424" s="3" t="s">
        <v>203</v>
      </c>
      <c r="M424" s="3" t="s">
        <v>570</v>
      </c>
      <c r="N424" s="3" t="s">
        <v>568</v>
      </c>
      <c r="O424" s="3" t="s">
        <v>197</v>
      </c>
      <c r="P424" s="3" t="s">
        <v>198</v>
      </c>
      <c r="Q424" s="3" t="s">
        <v>39</v>
      </c>
      <c r="R424" s="3" t="s">
        <v>40</v>
      </c>
      <c r="S424" s="55">
        <v>19077.8</v>
      </c>
      <c r="T424" s="55">
        <v>19077.8</v>
      </c>
      <c r="U424" s="55">
        <v>81.6875</v>
      </c>
      <c r="V424" s="55">
        <v>0</v>
      </c>
      <c r="W424" s="3">
        <v>100</v>
      </c>
    </row>
    <row r="425" spans="1:23" x14ac:dyDescent="0.35">
      <c r="A425" s="3" t="s">
        <v>576</v>
      </c>
      <c r="B425" s="3" t="s">
        <v>577</v>
      </c>
      <c r="C425" s="3" t="s">
        <v>263</v>
      </c>
      <c r="D425" s="3" t="s">
        <v>259</v>
      </c>
      <c r="E425" s="3" t="s">
        <v>187</v>
      </c>
      <c r="F425" s="3" t="s">
        <v>116</v>
      </c>
      <c r="G425" s="3" t="s">
        <v>260</v>
      </c>
      <c r="H425" s="3" t="s">
        <v>189</v>
      </c>
      <c r="I425" s="3" t="s">
        <v>190</v>
      </c>
      <c r="J425" s="3" t="s">
        <v>191</v>
      </c>
      <c r="K425" s="3" t="s">
        <v>33</v>
      </c>
      <c r="L425" s="3" t="s">
        <v>51</v>
      </c>
      <c r="M425" s="3" t="s">
        <v>264</v>
      </c>
      <c r="N425" s="3" t="s">
        <v>265</v>
      </c>
      <c r="O425" s="3" t="s">
        <v>197</v>
      </c>
      <c r="P425" s="3" t="s">
        <v>198</v>
      </c>
      <c r="Q425" s="3" t="s">
        <v>39</v>
      </c>
      <c r="R425" s="3" t="s">
        <v>40</v>
      </c>
      <c r="S425" s="55">
        <v>1642.6</v>
      </c>
      <c r="T425" s="55">
        <v>1642.6</v>
      </c>
      <c r="U425" s="55">
        <v>0</v>
      </c>
      <c r="V425" s="55">
        <v>0</v>
      </c>
      <c r="W425" s="3">
        <v>100</v>
      </c>
    </row>
    <row r="426" spans="1:23" x14ac:dyDescent="0.35">
      <c r="A426" s="3" t="s">
        <v>576</v>
      </c>
      <c r="B426" s="3" t="s">
        <v>577</v>
      </c>
      <c r="C426" s="3" t="s">
        <v>266</v>
      </c>
      <c r="D426" s="3" t="s">
        <v>259</v>
      </c>
      <c r="E426" s="3" t="s">
        <v>187</v>
      </c>
      <c r="F426" s="3" t="s">
        <v>116</v>
      </c>
      <c r="G426" s="3" t="s">
        <v>260</v>
      </c>
      <c r="H426" s="3" t="s">
        <v>189</v>
      </c>
      <c r="I426" s="3" t="s">
        <v>190</v>
      </c>
      <c r="J426" s="3" t="s">
        <v>191</v>
      </c>
      <c r="K426" s="3" t="s">
        <v>33</v>
      </c>
      <c r="L426" s="3" t="s">
        <v>51</v>
      </c>
      <c r="M426" s="3" t="s">
        <v>267</v>
      </c>
      <c r="N426" s="3" t="s">
        <v>268</v>
      </c>
      <c r="O426" s="3" t="s">
        <v>37</v>
      </c>
      <c r="P426" s="3" t="s">
        <v>38</v>
      </c>
      <c r="Q426" s="3" t="s">
        <v>39</v>
      </c>
      <c r="R426" s="3" t="s">
        <v>40</v>
      </c>
      <c r="S426" s="55">
        <v>92044</v>
      </c>
      <c r="T426" s="55">
        <v>92043.879700000005</v>
      </c>
      <c r="U426" s="55">
        <v>4914.6629999999996</v>
      </c>
      <c r="V426" s="55">
        <v>0.1203</v>
      </c>
      <c r="W426" s="3">
        <v>100</v>
      </c>
    </row>
    <row r="427" spans="1:23" x14ac:dyDescent="0.35">
      <c r="A427" s="3" t="s">
        <v>576</v>
      </c>
      <c r="B427" s="3" t="s">
        <v>577</v>
      </c>
      <c r="C427" s="3" t="s">
        <v>269</v>
      </c>
      <c r="D427" s="3" t="s">
        <v>259</v>
      </c>
      <c r="E427" s="3" t="s">
        <v>187</v>
      </c>
      <c r="F427" s="3" t="s">
        <v>116</v>
      </c>
      <c r="G427" s="3" t="s">
        <v>260</v>
      </c>
      <c r="H427" s="3" t="s">
        <v>189</v>
      </c>
      <c r="I427" s="3" t="s">
        <v>190</v>
      </c>
      <c r="J427" s="3" t="s">
        <v>191</v>
      </c>
      <c r="K427" s="3" t="s">
        <v>33</v>
      </c>
      <c r="L427" s="3" t="s">
        <v>51</v>
      </c>
      <c r="M427" s="3" t="s">
        <v>267</v>
      </c>
      <c r="N427" s="3" t="s">
        <v>268</v>
      </c>
      <c r="O427" s="3" t="s">
        <v>197</v>
      </c>
      <c r="P427" s="3" t="s">
        <v>198</v>
      </c>
      <c r="Q427" s="3" t="s">
        <v>39</v>
      </c>
      <c r="R427" s="3" t="s">
        <v>40</v>
      </c>
      <c r="S427" s="55">
        <v>13986.2</v>
      </c>
      <c r="T427" s="55">
        <v>13986.2</v>
      </c>
      <c r="U427" s="55">
        <v>3.9300000000000002E-2</v>
      </c>
      <c r="V427" s="55">
        <v>0</v>
      </c>
      <c r="W427" s="3">
        <v>100</v>
      </c>
    </row>
    <row r="428" spans="1:23" x14ac:dyDescent="0.35">
      <c r="A428" s="3" t="s">
        <v>576</v>
      </c>
      <c r="B428" s="3" t="s">
        <v>577</v>
      </c>
      <c r="C428" s="3" t="s">
        <v>270</v>
      </c>
      <c r="D428" s="3" t="s">
        <v>259</v>
      </c>
      <c r="E428" s="3" t="s">
        <v>187</v>
      </c>
      <c r="F428" s="3" t="s">
        <v>116</v>
      </c>
      <c r="G428" s="3" t="s">
        <v>260</v>
      </c>
      <c r="H428" s="3" t="s">
        <v>189</v>
      </c>
      <c r="I428" s="3" t="s">
        <v>190</v>
      </c>
      <c r="J428" s="3" t="s">
        <v>191</v>
      </c>
      <c r="K428" s="3" t="s">
        <v>33</v>
      </c>
      <c r="L428" s="3" t="s">
        <v>51</v>
      </c>
      <c r="M428" s="3" t="s">
        <v>271</v>
      </c>
      <c r="N428" s="3" t="s">
        <v>272</v>
      </c>
      <c r="O428" s="3" t="s">
        <v>108</v>
      </c>
      <c r="P428" s="3" t="s">
        <v>109</v>
      </c>
      <c r="Q428" s="3" t="s">
        <v>39</v>
      </c>
      <c r="R428" s="3" t="s">
        <v>40</v>
      </c>
      <c r="S428" s="55">
        <v>43320.4</v>
      </c>
      <c r="T428" s="55">
        <v>43320.4</v>
      </c>
      <c r="U428" s="55">
        <v>6166.7808999999997</v>
      </c>
      <c r="V428" s="55">
        <v>0</v>
      </c>
      <c r="W428" s="3">
        <v>100</v>
      </c>
    </row>
    <row r="429" spans="1:23" x14ac:dyDescent="0.35">
      <c r="A429" s="3" t="s">
        <v>576</v>
      </c>
      <c r="B429" s="3" t="s">
        <v>577</v>
      </c>
      <c r="C429" s="3" t="s">
        <v>273</v>
      </c>
      <c r="D429" s="3" t="s">
        <v>259</v>
      </c>
      <c r="E429" s="3" t="s">
        <v>187</v>
      </c>
      <c r="F429" s="3" t="s">
        <v>116</v>
      </c>
      <c r="G429" s="3" t="s">
        <v>260</v>
      </c>
      <c r="H429" s="3" t="s">
        <v>189</v>
      </c>
      <c r="I429" s="3" t="s">
        <v>190</v>
      </c>
      <c r="J429" s="3" t="s">
        <v>191</v>
      </c>
      <c r="K429" s="3" t="s">
        <v>33</v>
      </c>
      <c r="L429" s="3" t="s">
        <v>51</v>
      </c>
      <c r="M429" s="3" t="s">
        <v>274</v>
      </c>
      <c r="N429" s="3" t="s">
        <v>275</v>
      </c>
      <c r="O429" s="3" t="s">
        <v>108</v>
      </c>
      <c r="P429" s="3" t="s">
        <v>109</v>
      </c>
      <c r="Q429" s="3" t="s">
        <v>39</v>
      </c>
      <c r="R429" s="3" t="s">
        <v>40</v>
      </c>
      <c r="S429" s="55">
        <v>59928.7</v>
      </c>
      <c r="T429" s="55">
        <v>59928.7</v>
      </c>
      <c r="U429" s="55">
        <v>7429.8221000000003</v>
      </c>
      <c r="V429" s="55">
        <v>0</v>
      </c>
      <c r="W429" s="3">
        <v>100</v>
      </c>
    </row>
    <row r="430" spans="1:23" x14ac:dyDescent="0.35">
      <c r="A430" s="3" t="s">
        <v>576</v>
      </c>
      <c r="B430" s="3" t="s">
        <v>577</v>
      </c>
      <c r="C430" s="3" t="s">
        <v>530</v>
      </c>
      <c r="D430" s="3" t="s">
        <v>259</v>
      </c>
      <c r="E430" s="3" t="s">
        <v>187</v>
      </c>
      <c r="F430" s="3" t="s">
        <v>116</v>
      </c>
      <c r="G430" s="3" t="s">
        <v>260</v>
      </c>
      <c r="H430" s="3" t="s">
        <v>189</v>
      </c>
      <c r="I430" s="3" t="s">
        <v>190</v>
      </c>
      <c r="J430" s="3" t="s">
        <v>191</v>
      </c>
      <c r="K430" s="3" t="s">
        <v>33</v>
      </c>
      <c r="L430" s="3" t="s">
        <v>51</v>
      </c>
      <c r="M430" s="3" t="s">
        <v>531</v>
      </c>
      <c r="N430" s="3" t="s">
        <v>532</v>
      </c>
      <c r="O430" s="3" t="s">
        <v>197</v>
      </c>
      <c r="P430" s="3" t="s">
        <v>198</v>
      </c>
      <c r="Q430" s="3" t="s">
        <v>39</v>
      </c>
      <c r="R430" s="3" t="s">
        <v>40</v>
      </c>
      <c r="S430" s="55">
        <v>7027.2</v>
      </c>
      <c r="T430" s="55">
        <v>7027.2</v>
      </c>
      <c r="U430" s="55">
        <v>0</v>
      </c>
      <c r="V430" s="55">
        <v>0</v>
      </c>
      <c r="W430" s="3">
        <v>100</v>
      </c>
    </row>
    <row r="431" spans="1:23" x14ac:dyDescent="0.35">
      <c r="A431" s="3" t="s">
        <v>576</v>
      </c>
      <c r="B431" s="3" t="s">
        <v>577</v>
      </c>
      <c r="C431" s="3" t="s">
        <v>460</v>
      </c>
      <c r="D431" s="3" t="s">
        <v>259</v>
      </c>
      <c r="E431" s="3" t="s">
        <v>187</v>
      </c>
      <c r="F431" s="3" t="s">
        <v>116</v>
      </c>
      <c r="G431" s="3" t="s">
        <v>260</v>
      </c>
      <c r="H431" s="3" t="s">
        <v>189</v>
      </c>
      <c r="I431" s="3" t="s">
        <v>190</v>
      </c>
      <c r="J431" s="3" t="s">
        <v>191</v>
      </c>
      <c r="K431" s="3" t="s">
        <v>33</v>
      </c>
      <c r="L431" s="3" t="s">
        <v>51</v>
      </c>
      <c r="M431" s="3" t="s">
        <v>461</v>
      </c>
      <c r="N431" s="3" t="s">
        <v>462</v>
      </c>
      <c r="O431" s="3" t="s">
        <v>197</v>
      </c>
      <c r="P431" s="3" t="s">
        <v>198</v>
      </c>
      <c r="Q431" s="3" t="s">
        <v>39</v>
      </c>
      <c r="R431" s="3" t="s">
        <v>40</v>
      </c>
      <c r="S431" s="55">
        <v>20202.099999999999</v>
      </c>
      <c r="T431" s="55">
        <v>20202.099999999999</v>
      </c>
      <c r="U431" s="55">
        <v>3374.0673999999999</v>
      </c>
      <c r="V431" s="55">
        <v>0</v>
      </c>
      <c r="W431" s="3">
        <v>100</v>
      </c>
    </row>
    <row r="432" spans="1:23" x14ac:dyDescent="0.35">
      <c r="A432" s="3" t="s">
        <v>576</v>
      </c>
      <c r="B432" s="3" t="s">
        <v>577</v>
      </c>
      <c r="C432" s="3" t="s">
        <v>276</v>
      </c>
      <c r="D432" s="3" t="s">
        <v>259</v>
      </c>
      <c r="E432" s="3" t="s">
        <v>187</v>
      </c>
      <c r="F432" s="3" t="s">
        <v>116</v>
      </c>
      <c r="G432" s="3" t="s">
        <v>260</v>
      </c>
      <c r="H432" s="3" t="s">
        <v>189</v>
      </c>
      <c r="I432" s="3" t="s">
        <v>190</v>
      </c>
      <c r="J432" s="3" t="s">
        <v>191</v>
      </c>
      <c r="K432" s="3" t="s">
        <v>33</v>
      </c>
      <c r="L432" s="3" t="s">
        <v>51</v>
      </c>
      <c r="M432" s="3" t="s">
        <v>277</v>
      </c>
      <c r="N432" s="3" t="s">
        <v>533</v>
      </c>
      <c r="O432" s="3" t="s">
        <v>197</v>
      </c>
      <c r="P432" s="3" t="s">
        <v>198</v>
      </c>
      <c r="Q432" s="3" t="s">
        <v>39</v>
      </c>
      <c r="R432" s="3" t="s">
        <v>40</v>
      </c>
      <c r="S432" s="55">
        <v>44012.1</v>
      </c>
      <c r="T432" s="55">
        <v>44011.3</v>
      </c>
      <c r="U432" s="55">
        <v>16366.2258</v>
      </c>
      <c r="V432" s="55">
        <v>0.8</v>
      </c>
      <c r="W432" s="3">
        <v>100</v>
      </c>
    </row>
    <row r="433" spans="1:23" x14ac:dyDescent="0.35">
      <c r="A433" s="3" t="s">
        <v>576</v>
      </c>
      <c r="B433" s="3" t="s">
        <v>577</v>
      </c>
      <c r="C433" s="3" t="s">
        <v>571</v>
      </c>
      <c r="D433" s="3" t="s">
        <v>259</v>
      </c>
      <c r="E433" s="3" t="s">
        <v>187</v>
      </c>
      <c r="F433" s="3" t="s">
        <v>116</v>
      </c>
      <c r="G433" s="3" t="s">
        <v>260</v>
      </c>
      <c r="H433" s="3" t="s">
        <v>189</v>
      </c>
      <c r="I433" s="3" t="s">
        <v>190</v>
      </c>
      <c r="J433" s="3" t="s">
        <v>191</v>
      </c>
      <c r="K433" s="3" t="s">
        <v>33</v>
      </c>
      <c r="L433" s="3" t="s">
        <v>51</v>
      </c>
      <c r="M433" s="3" t="s">
        <v>572</v>
      </c>
      <c r="N433" s="3" t="s">
        <v>262</v>
      </c>
      <c r="O433" s="3" t="s">
        <v>197</v>
      </c>
      <c r="P433" s="3" t="s">
        <v>198</v>
      </c>
      <c r="Q433" s="3" t="s">
        <v>39</v>
      </c>
      <c r="R433" s="3" t="s">
        <v>40</v>
      </c>
      <c r="S433" s="55">
        <v>1142.5</v>
      </c>
      <c r="T433" s="55">
        <v>1142.5</v>
      </c>
      <c r="U433" s="55">
        <v>285.7</v>
      </c>
      <c r="V433" s="55">
        <v>0</v>
      </c>
      <c r="W433" s="3">
        <v>100</v>
      </c>
    </row>
    <row r="434" spans="1:23" x14ac:dyDescent="0.35">
      <c r="A434" s="3" t="s">
        <v>576</v>
      </c>
      <c r="B434" s="3" t="s">
        <v>577</v>
      </c>
      <c r="C434" s="3" t="s">
        <v>282</v>
      </c>
      <c r="D434" s="3" t="s">
        <v>259</v>
      </c>
      <c r="E434" s="3" t="s">
        <v>187</v>
      </c>
      <c r="F434" s="3" t="s">
        <v>116</v>
      </c>
      <c r="G434" s="3" t="s">
        <v>260</v>
      </c>
      <c r="H434" s="3" t="s">
        <v>66</v>
      </c>
      <c r="I434" s="3" t="s">
        <v>67</v>
      </c>
      <c r="J434" s="3" t="s">
        <v>68</v>
      </c>
      <c r="K434" s="3" t="s">
        <v>33</v>
      </c>
      <c r="L434" s="3" t="s">
        <v>51</v>
      </c>
      <c r="M434" s="3" t="s">
        <v>283</v>
      </c>
      <c r="N434" s="3" t="s">
        <v>284</v>
      </c>
      <c r="O434" s="3" t="s">
        <v>197</v>
      </c>
      <c r="P434" s="3" t="s">
        <v>198</v>
      </c>
      <c r="Q434" s="3" t="s">
        <v>39</v>
      </c>
      <c r="R434" s="3" t="s">
        <v>40</v>
      </c>
      <c r="S434" s="55">
        <v>500</v>
      </c>
      <c r="T434" s="55">
        <v>500</v>
      </c>
      <c r="U434" s="55">
        <v>47.3</v>
      </c>
      <c r="V434" s="55">
        <v>0</v>
      </c>
      <c r="W434" s="3">
        <v>100</v>
      </c>
    </row>
    <row r="435" spans="1:23" x14ac:dyDescent="0.35">
      <c r="A435" s="3" t="s">
        <v>576</v>
      </c>
      <c r="B435" s="3" t="s">
        <v>577</v>
      </c>
      <c r="C435" s="3" t="s">
        <v>289</v>
      </c>
      <c r="D435" s="3" t="s">
        <v>290</v>
      </c>
      <c r="E435" s="3" t="s">
        <v>291</v>
      </c>
      <c r="F435" s="3" t="s">
        <v>146</v>
      </c>
      <c r="G435" s="3" t="s">
        <v>534</v>
      </c>
      <c r="H435" s="3" t="s">
        <v>293</v>
      </c>
      <c r="I435" s="3" t="s">
        <v>294</v>
      </c>
      <c r="J435" s="3" t="s">
        <v>295</v>
      </c>
      <c r="K435" s="3" t="s">
        <v>33</v>
      </c>
      <c r="L435" s="3" t="s">
        <v>51</v>
      </c>
      <c r="M435" s="3" t="s">
        <v>296</v>
      </c>
      <c r="N435" s="3" t="s">
        <v>535</v>
      </c>
      <c r="O435" s="3" t="s">
        <v>108</v>
      </c>
      <c r="P435" s="3" t="s">
        <v>109</v>
      </c>
      <c r="Q435" s="3" t="s">
        <v>39</v>
      </c>
      <c r="R435" s="3" t="s">
        <v>40</v>
      </c>
      <c r="S435" s="55">
        <v>255235.1</v>
      </c>
      <c r="T435" s="55">
        <v>255235.1</v>
      </c>
      <c r="U435" s="55">
        <v>38106.790200000003</v>
      </c>
      <c r="V435" s="55">
        <v>0</v>
      </c>
      <c r="W435" s="3">
        <v>100</v>
      </c>
    </row>
    <row r="436" spans="1:23" x14ac:dyDescent="0.35">
      <c r="A436" s="3" t="s">
        <v>576</v>
      </c>
      <c r="B436" s="3" t="s">
        <v>577</v>
      </c>
      <c r="C436" s="3" t="s">
        <v>298</v>
      </c>
      <c r="D436" s="3" t="s">
        <v>290</v>
      </c>
      <c r="E436" s="3" t="s">
        <v>291</v>
      </c>
      <c r="F436" s="3" t="s">
        <v>146</v>
      </c>
      <c r="G436" s="3" t="s">
        <v>534</v>
      </c>
      <c r="H436" s="3" t="s">
        <v>293</v>
      </c>
      <c r="I436" s="3" t="s">
        <v>294</v>
      </c>
      <c r="J436" s="3" t="s">
        <v>295</v>
      </c>
      <c r="K436" s="3" t="s">
        <v>33</v>
      </c>
      <c r="L436" s="3" t="s">
        <v>51</v>
      </c>
      <c r="M436" s="3" t="s">
        <v>299</v>
      </c>
      <c r="N436" s="3" t="s">
        <v>536</v>
      </c>
      <c r="O436" s="3" t="s">
        <v>108</v>
      </c>
      <c r="P436" s="3" t="s">
        <v>109</v>
      </c>
      <c r="Q436" s="3" t="s">
        <v>39</v>
      </c>
      <c r="R436" s="3" t="s">
        <v>40</v>
      </c>
      <c r="S436" s="55">
        <v>86322.7</v>
      </c>
      <c r="T436" s="55">
        <v>86322.7</v>
      </c>
      <c r="U436" s="55">
        <v>9924.9822999999997</v>
      </c>
      <c r="V436" s="55">
        <v>0</v>
      </c>
      <c r="W436" s="3">
        <v>100</v>
      </c>
    </row>
    <row r="437" spans="1:23" x14ac:dyDescent="0.35">
      <c r="A437" s="3" t="s">
        <v>576</v>
      </c>
      <c r="B437" s="3" t="s">
        <v>577</v>
      </c>
      <c r="C437" s="3" t="s">
        <v>301</v>
      </c>
      <c r="D437" s="3" t="s">
        <v>290</v>
      </c>
      <c r="E437" s="3" t="s">
        <v>291</v>
      </c>
      <c r="F437" s="3" t="s">
        <v>146</v>
      </c>
      <c r="G437" s="3" t="s">
        <v>534</v>
      </c>
      <c r="H437" s="3" t="s">
        <v>293</v>
      </c>
      <c r="I437" s="3" t="s">
        <v>294</v>
      </c>
      <c r="J437" s="3" t="s">
        <v>295</v>
      </c>
      <c r="K437" s="3" t="s">
        <v>33</v>
      </c>
      <c r="L437" s="3" t="s">
        <v>51</v>
      </c>
      <c r="M437" s="3" t="s">
        <v>302</v>
      </c>
      <c r="N437" s="3" t="s">
        <v>537</v>
      </c>
      <c r="O437" s="3" t="s">
        <v>108</v>
      </c>
      <c r="P437" s="3" t="s">
        <v>109</v>
      </c>
      <c r="Q437" s="3" t="s">
        <v>39</v>
      </c>
      <c r="R437" s="3" t="s">
        <v>40</v>
      </c>
      <c r="S437" s="55">
        <v>192973.8</v>
      </c>
      <c r="T437" s="55">
        <v>192973.8</v>
      </c>
      <c r="U437" s="55">
        <v>35091.415399999998</v>
      </c>
      <c r="V437" s="55">
        <v>0</v>
      </c>
      <c r="W437" s="3">
        <v>100</v>
      </c>
    </row>
    <row r="438" spans="1:23" x14ac:dyDescent="0.35">
      <c r="A438" s="3" t="s">
        <v>576</v>
      </c>
      <c r="B438" s="3" t="s">
        <v>577</v>
      </c>
      <c r="C438" s="3" t="s">
        <v>304</v>
      </c>
      <c r="D438" s="3" t="s">
        <v>290</v>
      </c>
      <c r="E438" s="3" t="s">
        <v>291</v>
      </c>
      <c r="F438" s="3" t="s">
        <v>146</v>
      </c>
      <c r="G438" s="3" t="s">
        <v>534</v>
      </c>
      <c r="H438" s="3" t="s">
        <v>293</v>
      </c>
      <c r="I438" s="3" t="s">
        <v>294</v>
      </c>
      <c r="J438" s="3" t="s">
        <v>295</v>
      </c>
      <c r="K438" s="3" t="s">
        <v>33</v>
      </c>
      <c r="L438" s="3" t="s">
        <v>51</v>
      </c>
      <c r="M438" s="3" t="s">
        <v>305</v>
      </c>
      <c r="N438" s="3" t="s">
        <v>538</v>
      </c>
      <c r="O438" s="3" t="s">
        <v>108</v>
      </c>
      <c r="P438" s="3" t="s">
        <v>109</v>
      </c>
      <c r="Q438" s="3" t="s">
        <v>39</v>
      </c>
      <c r="R438" s="3" t="s">
        <v>40</v>
      </c>
      <c r="S438" s="55">
        <v>75843.100000000006</v>
      </c>
      <c r="T438" s="55">
        <v>75843.100000000006</v>
      </c>
      <c r="U438" s="55">
        <v>12987.343800000001</v>
      </c>
      <c r="V438" s="55">
        <v>0</v>
      </c>
      <c r="W438" s="3">
        <v>100</v>
      </c>
    </row>
    <row r="439" spans="1:23" x14ac:dyDescent="0.35">
      <c r="A439" s="3" t="s">
        <v>576</v>
      </c>
      <c r="B439" s="3" t="s">
        <v>577</v>
      </c>
      <c r="C439" s="3" t="s">
        <v>307</v>
      </c>
      <c r="D439" s="3" t="s">
        <v>290</v>
      </c>
      <c r="E439" s="3" t="s">
        <v>291</v>
      </c>
      <c r="F439" s="3" t="s">
        <v>146</v>
      </c>
      <c r="G439" s="3" t="s">
        <v>534</v>
      </c>
      <c r="H439" s="3" t="s">
        <v>293</v>
      </c>
      <c r="I439" s="3" t="s">
        <v>294</v>
      </c>
      <c r="J439" s="3" t="s">
        <v>295</v>
      </c>
      <c r="K439" s="3" t="s">
        <v>33</v>
      </c>
      <c r="L439" s="3" t="s">
        <v>51</v>
      </c>
      <c r="M439" s="3" t="s">
        <v>308</v>
      </c>
      <c r="N439" s="3" t="s">
        <v>309</v>
      </c>
      <c r="O439" s="3" t="s">
        <v>37</v>
      </c>
      <c r="P439" s="3" t="s">
        <v>38</v>
      </c>
      <c r="Q439" s="3" t="s">
        <v>39</v>
      </c>
      <c r="R439" s="3" t="s">
        <v>40</v>
      </c>
      <c r="S439" s="55">
        <v>14867.8</v>
      </c>
      <c r="T439" s="55">
        <v>14867.58</v>
      </c>
      <c r="U439" s="55">
        <v>10352.963599999999</v>
      </c>
      <c r="V439" s="55">
        <v>0.22</v>
      </c>
      <c r="W439" s="3">
        <v>100</v>
      </c>
    </row>
    <row r="440" spans="1:23" x14ac:dyDescent="0.35">
      <c r="A440" s="3" t="s">
        <v>576</v>
      </c>
      <c r="B440" s="3" t="s">
        <v>577</v>
      </c>
      <c r="C440" s="3" t="s">
        <v>436</v>
      </c>
      <c r="D440" s="3" t="s">
        <v>290</v>
      </c>
      <c r="E440" s="3" t="s">
        <v>291</v>
      </c>
      <c r="F440" s="3" t="s">
        <v>146</v>
      </c>
      <c r="G440" s="3" t="s">
        <v>534</v>
      </c>
      <c r="H440" s="3" t="s">
        <v>293</v>
      </c>
      <c r="I440" s="3" t="s">
        <v>294</v>
      </c>
      <c r="J440" s="3" t="s">
        <v>295</v>
      </c>
      <c r="K440" s="3" t="s">
        <v>33</v>
      </c>
      <c r="L440" s="3" t="s">
        <v>51</v>
      </c>
      <c r="M440" s="3" t="s">
        <v>308</v>
      </c>
      <c r="N440" s="3" t="s">
        <v>309</v>
      </c>
      <c r="O440" s="3" t="s">
        <v>197</v>
      </c>
      <c r="P440" s="3" t="s">
        <v>198</v>
      </c>
      <c r="Q440" s="3" t="s">
        <v>39</v>
      </c>
      <c r="R440" s="3" t="s">
        <v>40</v>
      </c>
      <c r="S440" s="55">
        <v>3639.8</v>
      </c>
      <c r="T440" s="55">
        <v>3639.8</v>
      </c>
      <c r="U440" s="55">
        <v>1.9E-3</v>
      </c>
      <c r="V440" s="55">
        <v>0</v>
      </c>
      <c r="W440" s="3">
        <v>100</v>
      </c>
    </row>
    <row r="441" spans="1:23" x14ac:dyDescent="0.35">
      <c r="A441" s="3" t="s">
        <v>576</v>
      </c>
      <c r="B441" s="3" t="s">
        <v>577</v>
      </c>
      <c r="C441" s="3" t="s">
        <v>310</v>
      </c>
      <c r="D441" s="3" t="s">
        <v>290</v>
      </c>
      <c r="E441" s="3" t="s">
        <v>291</v>
      </c>
      <c r="F441" s="3" t="s">
        <v>146</v>
      </c>
      <c r="G441" s="3" t="s">
        <v>534</v>
      </c>
      <c r="H441" s="3" t="s">
        <v>293</v>
      </c>
      <c r="I441" s="3" t="s">
        <v>294</v>
      </c>
      <c r="J441" s="3" t="s">
        <v>295</v>
      </c>
      <c r="K441" s="3" t="s">
        <v>33</v>
      </c>
      <c r="L441" s="3" t="s">
        <v>51</v>
      </c>
      <c r="M441" s="3" t="s">
        <v>311</v>
      </c>
      <c r="N441" s="3" t="s">
        <v>312</v>
      </c>
      <c r="O441" s="3" t="s">
        <v>197</v>
      </c>
      <c r="P441" s="3" t="s">
        <v>198</v>
      </c>
      <c r="Q441" s="3" t="s">
        <v>39</v>
      </c>
      <c r="R441" s="3" t="s">
        <v>40</v>
      </c>
      <c r="S441" s="55">
        <v>40101.9</v>
      </c>
      <c r="T441" s="55">
        <v>40101.9</v>
      </c>
      <c r="U441" s="55">
        <v>1101.9853000000001</v>
      </c>
      <c r="V441" s="55">
        <v>0</v>
      </c>
      <c r="W441" s="3">
        <v>100</v>
      </c>
    </row>
    <row r="442" spans="1:23" x14ac:dyDescent="0.35">
      <c r="A442" s="3" t="s">
        <v>576</v>
      </c>
      <c r="B442" s="3" t="s">
        <v>577</v>
      </c>
      <c r="C442" s="3" t="s">
        <v>313</v>
      </c>
      <c r="D442" s="3" t="s">
        <v>290</v>
      </c>
      <c r="E442" s="3" t="s">
        <v>291</v>
      </c>
      <c r="F442" s="3" t="s">
        <v>146</v>
      </c>
      <c r="G442" s="3" t="s">
        <v>534</v>
      </c>
      <c r="H442" s="3" t="s">
        <v>293</v>
      </c>
      <c r="I442" s="3" t="s">
        <v>294</v>
      </c>
      <c r="J442" s="3" t="s">
        <v>295</v>
      </c>
      <c r="K442" s="3" t="s">
        <v>33</v>
      </c>
      <c r="L442" s="3" t="s">
        <v>51</v>
      </c>
      <c r="M442" s="3" t="s">
        <v>314</v>
      </c>
      <c r="N442" s="3" t="s">
        <v>315</v>
      </c>
      <c r="O442" s="3" t="s">
        <v>197</v>
      </c>
      <c r="P442" s="3" t="s">
        <v>198</v>
      </c>
      <c r="Q442" s="3" t="s">
        <v>39</v>
      </c>
      <c r="R442" s="3" t="s">
        <v>40</v>
      </c>
      <c r="S442" s="55">
        <v>712.6</v>
      </c>
      <c r="T442" s="55">
        <v>712.6</v>
      </c>
      <c r="U442" s="55">
        <v>6.1600000000000002E-2</v>
      </c>
      <c r="V442" s="55">
        <v>0</v>
      </c>
      <c r="W442" s="3">
        <v>100</v>
      </c>
    </row>
    <row r="443" spans="1:23" x14ac:dyDescent="0.35">
      <c r="A443" s="3" t="s">
        <v>576</v>
      </c>
      <c r="B443" s="3" t="s">
        <v>577</v>
      </c>
      <c r="C443" s="3" t="s">
        <v>539</v>
      </c>
      <c r="D443" s="3" t="s">
        <v>290</v>
      </c>
      <c r="E443" s="3" t="s">
        <v>291</v>
      </c>
      <c r="F443" s="3" t="s">
        <v>146</v>
      </c>
      <c r="G443" s="3" t="s">
        <v>534</v>
      </c>
      <c r="H443" s="3" t="s">
        <v>293</v>
      </c>
      <c r="I443" s="3" t="s">
        <v>294</v>
      </c>
      <c r="J443" s="3" t="s">
        <v>295</v>
      </c>
      <c r="K443" s="3" t="s">
        <v>33</v>
      </c>
      <c r="L443" s="3" t="s">
        <v>51</v>
      </c>
      <c r="M443" s="3" t="s">
        <v>540</v>
      </c>
      <c r="N443" s="3" t="s">
        <v>541</v>
      </c>
      <c r="O443" s="3" t="s">
        <v>197</v>
      </c>
      <c r="P443" s="3" t="s">
        <v>198</v>
      </c>
      <c r="Q443" s="3" t="s">
        <v>39</v>
      </c>
      <c r="R443" s="3" t="s">
        <v>40</v>
      </c>
      <c r="S443" s="55">
        <v>30745.7</v>
      </c>
      <c r="T443" s="55">
        <v>30745.7</v>
      </c>
      <c r="U443" s="55">
        <v>2132.1453999999999</v>
      </c>
      <c r="V443" s="55">
        <v>0</v>
      </c>
      <c r="W443" s="3">
        <v>100</v>
      </c>
    </row>
    <row r="444" spans="1:23" x14ac:dyDescent="0.35">
      <c r="A444" s="3" t="s">
        <v>576</v>
      </c>
      <c r="B444" s="3" t="s">
        <v>577</v>
      </c>
      <c r="C444" s="3" t="s">
        <v>316</v>
      </c>
      <c r="D444" s="3" t="s">
        <v>317</v>
      </c>
      <c r="E444" s="3" t="s">
        <v>291</v>
      </c>
      <c r="F444" s="3" t="s">
        <v>318</v>
      </c>
      <c r="G444" s="3" t="s">
        <v>319</v>
      </c>
      <c r="H444" s="3" t="s">
        <v>293</v>
      </c>
      <c r="I444" s="3" t="s">
        <v>294</v>
      </c>
      <c r="J444" s="3" t="s">
        <v>295</v>
      </c>
      <c r="K444" s="3" t="s">
        <v>33</v>
      </c>
      <c r="L444" s="3" t="s">
        <v>51</v>
      </c>
      <c r="M444" s="3" t="s">
        <v>320</v>
      </c>
      <c r="N444" s="3" t="s">
        <v>321</v>
      </c>
      <c r="O444" s="3" t="s">
        <v>37</v>
      </c>
      <c r="P444" s="3" t="s">
        <v>38</v>
      </c>
      <c r="Q444" s="3" t="s">
        <v>39</v>
      </c>
      <c r="R444" s="3" t="s">
        <v>40</v>
      </c>
      <c r="S444" s="55">
        <v>4036.5</v>
      </c>
      <c r="T444" s="55">
        <v>3958.6545000000001</v>
      </c>
      <c r="U444" s="55">
        <v>3958.6545000000001</v>
      </c>
      <c r="V444" s="55">
        <v>77.845500000000001</v>
      </c>
      <c r="W444" s="3">
        <v>98</v>
      </c>
    </row>
    <row r="445" spans="1:23" x14ac:dyDescent="0.35">
      <c r="A445" s="3" t="s">
        <v>576</v>
      </c>
      <c r="B445" s="3" t="s">
        <v>577</v>
      </c>
      <c r="C445" s="3" t="s">
        <v>322</v>
      </c>
      <c r="D445" s="3" t="s">
        <v>317</v>
      </c>
      <c r="E445" s="3" t="s">
        <v>291</v>
      </c>
      <c r="F445" s="3" t="s">
        <v>318</v>
      </c>
      <c r="G445" s="3" t="s">
        <v>319</v>
      </c>
      <c r="H445" s="3" t="s">
        <v>293</v>
      </c>
      <c r="I445" s="3" t="s">
        <v>294</v>
      </c>
      <c r="J445" s="3" t="s">
        <v>295</v>
      </c>
      <c r="K445" s="3" t="s">
        <v>33</v>
      </c>
      <c r="L445" s="3" t="s">
        <v>51</v>
      </c>
      <c r="M445" s="3" t="s">
        <v>323</v>
      </c>
      <c r="N445" s="3" t="s">
        <v>324</v>
      </c>
      <c r="O445" s="3" t="s">
        <v>197</v>
      </c>
      <c r="P445" s="3" t="s">
        <v>198</v>
      </c>
      <c r="Q445" s="3" t="s">
        <v>39</v>
      </c>
      <c r="R445" s="3" t="s">
        <v>40</v>
      </c>
      <c r="S445" s="55">
        <v>11522.6</v>
      </c>
      <c r="T445" s="55">
        <v>11522.6</v>
      </c>
      <c r="U445" s="55">
        <v>8461.2803999999996</v>
      </c>
      <c r="V445" s="55">
        <v>0</v>
      </c>
      <c r="W445" s="3">
        <v>100</v>
      </c>
    </row>
    <row r="446" spans="1:23" x14ac:dyDescent="0.35">
      <c r="A446" s="3" t="s">
        <v>576</v>
      </c>
      <c r="B446" s="3" t="s">
        <v>577</v>
      </c>
      <c r="C446" s="3" t="s">
        <v>325</v>
      </c>
      <c r="D446" s="3" t="s">
        <v>326</v>
      </c>
      <c r="E446" s="3" t="s">
        <v>327</v>
      </c>
      <c r="F446" s="3" t="s">
        <v>189</v>
      </c>
      <c r="G446" s="3" t="s">
        <v>328</v>
      </c>
      <c r="H446" s="3" t="s">
        <v>146</v>
      </c>
      <c r="I446" s="3" t="s">
        <v>329</v>
      </c>
      <c r="J446" s="3" t="s">
        <v>330</v>
      </c>
      <c r="K446" s="3" t="s">
        <v>33</v>
      </c>
      <c r="L446" s="3" t="s">
        <v>51</v>
      </c>
      <c r="M446" s="3" t="s">
        <v>331</v>
      </c>
      <c r="N446" s="3" t="s">
        <v>332</v>
      </c>
      <c r="O446" s="3" t="s">
        <v>108</v>
      </c>
      <c r="P446" s="3" t="s">
        <v>109</v>
      </c>
      <c r="Q446" s="3" t="s">
        <v>39</v>
      </c>
      <c r="R446" s="3" t="s">
        <v>40</v>
      </c>
      <c r="S446" s="55">
        <v>608050.9</v>
      </c>
      <c r="T446" s="55">
        <v>608050.9</v>
      </c>
      <c r="U446" s="55">
        <v>132138.6072</v>
      </c>
      <c r="V446" s="55">
        <v>0</v>
      </c>
      <c r="W446" s="3">
        <v>100</v>
      </c>
    </row>
    <row r="447" spans="1:23" x14ac:dyDescent="0.35">
      <c r="A447" s="3" t="s">
        <v>576</v>
      </c>
      <c r="B447" s="3" t="s">
        <v>577</v>
      </c>
      <c r="C447" s="3" t="s">
        <v>333</v>
      </c>
      <c r="D447" s="3" t="s">
        <v>326</v>
      </c>
      <c r="E447" s="3" t="s">
        <v>327</v>
      </c>
      <c r="F447" s="3" t="s">
        <v>189</v>
      </c>
      <c r="G447" s="3" t="s">
        <v>328</v>
      </c>
      <c r="H447" s="3" t="s">
        <v>146</v>
      </c>
      <c r="I447" s="3" t="s">
        <v>329</v>
      </c>
      <c r="J447" s="3" t="s">
        <v>330</v>
      </c>
      <c r="K447" s="3" t="s">
        <v>33</v>
      </c>
      <c r="L447" s="3" t="s">
        <v>51</v>
      </c>
      <c r="M447" s="3" t="s">
        <v>331</v>
      </c>
      <c r="N447" s="3" t="s">
        <v>332</v>
      </c>
      <c r="O447" s="3" t="s">
        <v>334</v>
      </c>
      <c r="P447" s="3" t="s">
        <v>335</v>
      </c>
      <c r="Q447" s="3" t="s">
        <v>39</v>
      </c>
      <c r="R447" s="3" t="s">
        <v>40</v>
      </c>
      <c r="S447" s="55">
        <v>4438.7</v>
      </c>
      <c r="T447" s="55">
        <v>4438.7</v>
      </c>
      <c r="U447" s="55">
        <v>1137.1650999999999</v>
      </c>
      <c r="V447" s="55">
        <v>0</v>
      </c>
      <c r="W447" s="3">
        <v>100</v>
      </c>
    </row>
    <row r="448" spans="1:23" x14ac:dyDescent="0.35">
      <c r="A448" s="3" t="s">
        <v>576</v>
      </c>
      <c r="B448" s="3" t="s">
        <v>577</v>
      </c>
      <c r="C448" s="3" t="s">
        <v>542</v>
      </c>
      <c r="D448" s="3" t="s">
        <v>337</v>
      </c>
      <c r="E448" s="3" t="s">
        <v>327</v>
      </c>
      <c r="F448" s="3" t="s">
        <v>116</v>
      </c>
      <c r="G448" s="3" t="s">
        <v>338</v>
      </c>
      <c r="H448" s="3" t="s">
        <v>146</v>
      </c>
      <c r="I448" s="3" t="s">
        <v>329</v>
      </c>
      <c r="J448" s="3" t="s">
        <v>339</v>
      </c>
      <c r="K448" s="3" t="s">
        <v>23</v>
      </c>
      <c r="L448" s="3" t="s">
        <v>203</v>
      </c>
      <c r="M448" s="3" t="s">
        <v>543</v>
      </c>
      <c r="N448" s="3" t="s">
        <v>341</v>
      </c>
      <c r="O448" s="3" t="s">
        <v>197</v>
      </c>
      <c r="P448" s="3" t="s">
        <v>198</v>
      </c>
      <c r="Q448" s="3" t="s">
        <v>39</v>
      </c>
      <c r="R448" s="3" t="s">
        <v>40</v>
      </c>
      <c r="S448" s="55">
        <v>78118.399999999994</v>
      </c>
      <c r="T448" s="55">
        <v>78118.276500000007</v>
      </c>
      <c r="U448" s="55">
        <v>0</v>
      </c>
      <c r="V448" s="55">
        <v>0.1235</v>
      </c>
      <c r="W448" s="3">
        <v>100</v>
      </c>
    </row>
    <row r="449" spans="1:23" x14ac:dyDescent="0.35">
      <c r="A449" s="3" t="s">
        <v>576</v>
      </c>
      <c r="B449" s="3" t="s">
        <v>577</v>
      </c>
      <c r="C449" s="3" t="s">
        <v>544</v>
      </c>
      <c r="D449" s="3" t="s">
        <v>337</v>
      </c>
      <c r="E449" s="3" t="s">
        <v>327</v>
      </c>
      <c r="F449" s="3" t="s">
        <v>116</v>
      </c>
      <c r="G449" s="3" t="s">
        <v>338</v>
      </c>
      <c r="H449" s="3" t="s">
        <v>146</v>
      </c>
      <c r="I449" s="3" t="s">
        <v>329</v>
      </c>
      <c r="J449" s="3" t="s">
        <v>339</v>
      </c>
      <c r="K449" s="3" t="s">
        <v>23</v>
      </c>
      <c r="L449" s="3" t="s">
        <v>203</v>
      </c>
      <c r="M449" s="3" t="s">
        <v>545</v>
      </c>
      <c r="N449" s="3" t="s">
        <v>359</v>
      </c>
      <c r="O449" s="3" t="s">
        <v>197</v>
      </c>
      <c r="P449" s="3" t="s">
        <v>198</v>
      </c>
      <c r="Q449" s="3" t="s">
        <v>39</v>
      </c>
      <c r="R449" s="3" t="s">
        <v>40</v>
      </c>
      <c r="S449" s="55">
        <v>50.1</v>
      </c>
      <c r="T449" s="55">
        <v>50.1</v>
      </c>
      <c r="U449" s="55">
        <v>0</v>
      </c>
      <c r="V449" s="55">
        <v>0</v>
      </c>
      <c r="W449" s="3">
        <v>100</v>
      </c>
    </row>
    <row r="450" spans="1:23" x14ac:dyDescent="0.35">
      <c r="A450" s="3" t="s">
        <v>576</v>
      </c>
      <c r="B450" s="3" t="s">
        <v>577</v>
      </c>
      <c r="C450" s="3" t="s">
        <v>437</v>
      </c>
      <c r="D450" s="3" t="s">
        <v>337</v>
      </c>
      <c r="E450" s="3" t="s">
        <v>327</v>
      </c>
      <c r="F450" s="3" t="s">
        <v>116</v>
      </c>
      <c r="G450" s="3" t="s">
        <v>338</v>
      </c>
      <c r="H450" s="3" t="s">
        <v>146</v>
      </c>
      <c r="I450" s="3" t="s">
        <v>329</v>
      </c>
      <c r="J450" s="3" t="s">
        <v>330</v>
      </c>
      <c r="K450" s="3" t="s">
        <v>33</v>
      </c>
      <c r="L450" s="3" t="s">
        <v>51</v>
      </c>
      <c r="M450" s="3" t="s">
        <v>438</v>
      </c>
      <c r="N450" s="3" t="s">
        <v>439</v>
      </c>
      <c r="O450" s="3" t="s">
        <v>197</v>
      </c>
      <c r="P450" s="3" t="s">
        <v>198</v>
      </c>
      <c r="Q450" s="3" t="s">
        <v>39</v>
      </c>
      <c r="R450" s="3" t="s">
        <v>40</v>
      </c>
      <c r="S450" s="55">
        <v>48923.9</v>
      </c>
      <c r="T450" s="55">
        <v>48923.9</v>
      </c>
      <c r="U450" s="55">
        <v>7577.0425999999998</v>
      </c>
      <c r="V450" s="55">
        <v>0</v>
      </c>
      <c r="W450" s="3">
        <v>100</v>
      </c>
    </row>
    <row r="451" spans="1:23" x14ac:dyDescent="0.35">
      <c r="A451" s="3" t="s">
        <v>576</v>
      </c>
      <c r="B451" s="3" t="s">
        <v>577</v>
      </c>
      <c r="C451" s="3" t="s">
        <v>342</v>
      </c>
      <c r="D451" s="3" t="s">
        <v>337</v>
      </c>
      <c r="E451" s="3" t="s">
        <v>327</v>
      </c>
      <c r="F451" s="3" t="s">
        <v>116</v>
      </c>
      <c r="G451" s="3" t="s">
        <v>338</v>
      </c>
      <c r="H451" s="3" t="s">
        <v>146</v>
      </c>
      <c r="I451" s="3" t="s">
        <v>329</v>
      </c>
      <c r="J451" s="3" t="s">
        <v>330</v>
      </c>
      <c r="K451" s="3" t="s">
        <v>33</v>
      </c>
      <c r="L451" s="3" t="s">
        <v>51</v>
      </c>
      <c r="M451" s="3" t="s">
        <v>343</v>
      </c>
      <c r="N451" s="3" t="s">
        <v>344</v>
      </c>
      <c r="O451" s="3" t="s">
        <v>37</v>
      </c>
      <c r="P451" s="3" t="s">
        <v>38</v>
      </c>
      <c r="Q451" s="3" t="s">
        <v>39</v>
      </c>
      <c r="R451" s="3" t="s">
        <v>40</v>
      </c>
      <c r="S451" s="55">
        <v>36.200000000000003</v>
      </c>
      <c r="T451" s="55">
        <v>36.159500000000001</v>
      </c>
      <c r="U451" s="55">
        <v>0</v>
      </c>
      <c r="V451" s="55">
        <v>4.0500000000000001E-2</v>
      </c>
      <c r="W451" s="3">
        <v>100</v>
      </c>
    </row>
    <row r="452" spans="1:23" x14ac:dyDescent="0.35">
      <c r="A452" s="3" t="s">
        <v>576</v>
      </c>
      <c r="B452" s="3" t="s">
        <v>577</v>
      </c>
      <c r="C452" s="3" t="s">
        <v>345</v>
      </c>
      <c r="D452" s="3" t="s">
        <v>337</v>
      </c>
      <c r="E452" s="3" t="s">
        <v>327</v>
      </c>
      <c r="F452" s="3" t="s">
        <v>116</v>
      </c>
      <c r="G452" s="3" t="s">
        <v>338</v>
      </c>
      <c r="H452" s="3" t="s">
        <v>146</v>
      </c>
      <c r="I452" s="3" t="s">
        <v>329</v>
      </c>
      <c r="J452" s="3" t="s">
        <v>330</v>
      </c>
      <c r="K452" s="3" t="s">
        <v>33</v>
      </c>
      <c r="L452" s="3" t="s">
        <v>51</v>
      </c>
      <c r="M452" s="3" t="s">
        <v>346</v>
      </c>
      <c r="N452" s="3" t="s">
        <v>347</v>
      </c>
      <c r="O452" s="3" t="s">
        <v>197</v>
      </c>
      <c r="P452" s="3" t="s">
        <v>198</v>
      </c>
      <c r="Q452" s="3" t="s">
        <v>39</v>
      </c>
      <c r="R452" s="3" t="s">
        <v>40</v>
      </c>
      <c r="S452" s="55">
        <v>108423.5</v>
      </c>
      <c r="T452" s="55">
        <v>108423.5</v>
      </c>
      <c r="U452" s="55">
        <v>84311.863500000007</v>
      </c>
      <c r="V452" s="55">
        <v>0</v>
      </c>
      <c r="W452" s="3">
        <v>100</v>
      </c>
    </row>
    <row r="453" spans="1:23" x14ac:dyDescent="0.35">
      <c r="A453" s="3" t="s">
        <v>576</v>
      </c>
      <c r="B453" s="3" t="s">
        <v>577</v>
      </c>
      <c r="C453" s="3" t="s">
        <v>581</v>
      </c>
      <c r="D453" s="3" t="s">
        <v>337</v>
      </c>
      <c r="E453" s="3" t="s">
        <v>327</v>
      </c>
      <c r="F453" s="3" t="s">
        <v>116</v>
      </c>
      <c r="G453" s="3" t="s">
        <v>338</v>
      </c>
      <c r="H453" s="3" t="s">
        <v>146</v>
      </c>
      <c r="I453" s="3" t="s">
        <v>329</v>
      </c>
      <c r="J453" s="3" t="s">
        <v>330</v>
      </c>
      <c r="K453" s="3" t="s">
        <v>33</v>
      </c>
      <c r="L453" s="3" t="s">
        <v>51</v>
      </c>
      <c r="M453" s="3" t="s">
        <v>582</v>
      </c>
      <c r="N453" s="3" t="s">
        <v>583</v>
      </c>
      <c r="O453" s="3" t="s">
        <v>197</v>
      </c>
      <c r="P453" s="3" t="s">
        <v>198</v>
      </c>
      <c r="Q453" s="3" t="s">
        <v>39</v>
      </c>
      <c r="R453" s="3" t="s">
        <v>40</v>
      </c>
      <c r="S453" s="55">
        <v>560.79999999999995</v>
      </c>
      <c r="T453" s="55">
        <v>560.79999999999995</v>
      </c>
      <c r="U453" s="55">
        <v>560.79999999999995</v>
      </c>
      <c r="V453" s="55">
        <v>0</v>
      </c>
      <c r="W453" s="3">
        <v>100</v>
      </c>
    </row>
    <row r="454" spans="1:23" x14ac:dyDescent="0.35">
      <c r="A454" s="3" t="s">
        <v>576</v>
      </c>
      <c r="B454" s="3" t="s">
        <v>577</v>
      </c>
      <c r="C454" s="3" t="s">
        <v>489</v>
      </c>
      <c r="D454" s="3" t="s">
        <v>337</v>
      </c>
      <c r="E454" s="3" t="s">
        <v>327</v>
      </c>
      <c r="F454" s="3" t="s">
        <v>116</v>
      </c>
      <c r="G454" s="3" t="s">
        <v>338</v>
      </c>
      <c r="H454" s="3" t="s">
        <v>146</v>
      </c>
      <c r="I454" s="3" t="s">
        <v>329</v>
      </c>
      <c r="J454" s="3" t="s">
        <v>330</v>
      </c>
      <c r="K454" s="3" t="s">
        <v>33</v>
      </c>
      <c r="L454" s="3" t="s">
        <v>51</v>
      </c>
      <c r="M454" s="3" t="s">
        <v>490</v>
      </c>
      <c r="N454" s="3" t="s">
        <v>491</v>
      </c>
      <c r="O454" s="3" t="s">
        <v>197</v>
      </c>
      <c r="P454" s="3" t="s">
        <v>198</v>
      </c>
      <c r="Q454" s="3" t="s">
        <v>39</v>
      </c>
      <c r="R454" s="3" t="s">
        <v>40</v>
      </c>
      <c r="S454" s="55">
        <v>14675.5</v>
      </c>
      <c r="T454" s="55">
        <v>14675.5</v>
      </c>
      <c r="U454" s="55">
        <v>1015.5</v>
      </c>
      <c r="V454" s="55">
        <v>0</v>
      </c>
      <c r="W454" s="3">
        <v>100</v>
      </c>
    </row>
    <row r="455" spans="1:23" x14ac:dyDescent="0.35">
      <c r="A455" s="3" t="s">
        <v>576</v>
      </c>
      <c r="B455" s="3" t="s">
        <v>577</v>
      </c>
      <c r="C455" s="3" t="s">
        <v>546</v>
      </c>
      <c r="D455" s="3" t="s">
        <v>337</v>
      </c>
      <c r="E455" s="3" t="s">
        <v>327</v>
      </c>
      <c r="F455" s="3" t="s">
        <v>116</v>
      </c>
      <c r="G455" s="3" t="s">
        <v>338</v>
      </c>
      <c r="H455" s="3" t="s">
        <v>146</v>
      </c>
      <c r="I455" s="3" t="s">
        <v>329</v>
      </c>
      <c r="J455" s="3" t="s">
        <v>330</v>
      </c>
      <c r="K455" s="3" t="s">
        <v>33</v>
      </c>
      <c r="L455" s="3" t="s">
        <v>51</v>
      </c>
      <c r="M455" s="3" t="s">
        <v>547</v>
      </c>
      <c r="N455" s="3" t="s">
        <v>548</v>
      </c>
      <c r="O455" s="3" t="s">
        <v>197</v>
      </c>
      <c r="P455" s="3" t="s">
        <v>198</v>
      </c>
      <c r="Q455" s="3" t="s">
        <v>39</v>
      </c>
      <c r="R455" s="3" t="s">
        <v>40</v>
      </c>
      <c r="S455" s="55">
        <v>8310</v>
      </c>
      <c r="T455" s="55">
        <v>8310</v>
      </c>
      <c r="U455" s="55">
        <v>2.64E-2</v>
      </c>
      <c r="V455" s="55">
        <v>0</v>
      </c>
      <c r="W455" s="3">
        <v>100</v>
      </c>
    </row>
    <row r="456" spans="1:23" x14ac:dyDescent="0.35">
      <c r="A456" s="3" t="s">
        <v>576</v>
      </c>
      <c r="B456" s="3" t="s">
        <v>577</v>
      </c>
      <c r="C456" s="3" t="s">
        <v>455</v>
      </c>
      <c r="D456" s="3" t="s">
        <v>337</v>
      </c>
      <c r="E456" s="3" t="s">
        <v>327</v>
      </c>
      <c r="F456" s="3" t="s">
        <v>116</v>
      </c>
      <c r="G456" s="3" t="s">
        <v>338</v>
      </c>
      <c r="H456" s="3" t="s">
        <v>146</v>
      </c>
      <c r="I456" s="3" t="s">
        <v>329</v>
      </c>
      <c r="J456" s="3" t="s">
        <v>330</v>
      </c>
      <c r="K456" s="3" t="s">
        <v>33</v>
      </c>
      <c r="L456" s="3" t="s">
        <v>51</v>
      </c>
      <c r="M456" s="3" t="s">
        <v>456</v>
      </c>
      <c r="N456" s="3" t="s">
        <v>457</v>
      </c>
      <c r="O456" s="3" t="s">
        <v>197</v>
      </c>
      <c r="P456" s="3" t="s">
        <v>198</v>
      </c>
      <c r="Q456" s="3" t="s">
        <v>39</v>
      </c>
      <c r="R456" s="3" t="s">
        <v>40</v>
      </c>
      <c r="S456" s="55">
        <v>2903.1</v>
      </c>
      <c r="T456" s="55">
        <v>2903.1</v>
      </c>
      <c r="U456" s="55">
        <v>1022.601</v>
      </c>
      <c r="V456" s="55">
        <v>0</v>
      </c>
      <c r="W456" s="3">
        <v>100</v>
      </c>
    </row>
    <row r="457" spans="1:23" x14ac:dyDescent="0.35">
      <c r="A457" s="3" t="s">
        <v>576</v>
      </c>
      <c r="B457" s="3" t="s">
        <v>577</v>
      </c>
      <c r="C457" s="3" t="s">
        <v>354</v>
      </c>
      <c r="D457" s="3" t="s">
        <v>337</v>
      </c>
      <c r="E457" s="3" t="s">
        <v>327</v>
      </c>
      <c r="F457" s="3" t="s">
        <v>116</v>
      </c>
      <c r="G457" s="3" t="s">
        <v>338</v>
      </c>
      <c r="H457" s="3" t="s">
        <v>146</v>
      </c>
      <c r="I457" s="3" t="s">
        <v>329</v>
      </c>
      <c r="J457" s="3" t="s">
        <v>330</v>
      </c>
      <c r="K457" s="3" t="s">
        <v>33</v>
      </c>
      <c r="L457" s="3" t="s">
        <v>51</v>
      </c>
      <c r="M457" s="3" t="s">
        <v>355</v>
      </c>
      <c r="N457" s="3" t="s">
        <v>356</v>
      </c>
      <c r="O457" s="3" t="s">
        <v>197</v>
      </c>
      <c r="P457" s="3" t="s">
        <v>198</v>
      </c>
      <c r="Q457" s="3" t="s">
        <v>39</v>
      </c>
      <c r="R457" s="3" t="s">
        <v>40</v>
      </c>
      <c r="S457" s="55">
        <v>43694.2</v>
      </c>
      <c r="T457" s="55">
        <v>43694.2</v>
      </c>
      <c r="U457" s="55">
        <v>14704.996300000001</v>
      </c>
      <c r="V457" s="55">
        <v>0</v>
      </c>
      <c r="W457" s="3">
        <v>100</v>
      </c>
    </row>
    <row r="458" spans="1:23" x14ac:dyDescent="0.35">
      <c r="A458" s="3" t="s">
        <v>576</v>
      </c>
      <c r="B458" s="3" t="s">
        <v>577</v>
      </c>
      <c r="C458" s="3" t="s">
        <v>463</v>
      </c>
      <c r="D458" s="3" t="s">
        <v>337</v>
      </c>
      <c r="E458" s="3" t="s">
        <v>327</v>
      </c>
      <c r="F458" s="3" t="s">
        <v>116</v>
      </c>
      <c r="G458" s="3" t="s">
        <v>338</v>
      </c>
      <c r="H458" s="3" t="s">
        <v>146</v>
      </c>
      <c r="I458" s="3" t="s">
        <v>329</v>
      </c>
      <c r="J458" s="3" t="s">
        <v>330</v>
      </c>
      <c r="K458" s="3" t="s">
        <v>33</v>
      </c>
      <c r="L458" s="3" t="s">
        <v>51</v>
      </c>
      <c r="M458" s="3" t="s">
        <v>464</v>
      </c>
      <c r="N458" s="3" t="s">
        <v>465</v>
      </c>
      <c r="O458" s="3" t="s">
        <v>197</v>
      </c>
      <c r="P458" s="3" t="s">
        <v>198</v>
      </c>
      <c r="Q458" s="3" t="s">
        <v>39</v>
      </c>
      <c r="R458" s="3" t="s">
        <v>40</v>
      </c>
      <c r="S458" s="55">
        <v>357020.9</v>
      </c>
      <c r="T458" s="55">
        <v>357020.9</v>
      </c>
      <c r="U458" s="55">
        <v>162932.465</v>
      </c>
      <c r="V458" s="55">
        <v>0</v>
      </c>
      <c r="W458" s="3">
        <v>100</v>
      </c>
    </row>
    <row r="459" spans="1:23" x14ac:dyDescent="0.35">
      <c r="A459" s="3" t="s">
        <v>576</v>
      </c>
      <c r="B459" s="3" t="s">
        <v>577</v>
      </c>
      <c r="C459" s="3" t="s">
        <v>363</v>
      </c>
      <c r="D459" s="3" t="s">
        <v>364</v>
      </c>
      <c r="E459" s="3" t="s">
        <v>365</v>
      </c>
      <c r="F459" s="3" t="s">
        <v>189</v>
      </c>
      <c r="G459" s="3" t="s">
        <v>366</v>
      </c>
      <c r="H459" s="3" t="s">
        <v>28</v>
      </c>
      <c r="I459" s="3" t="s">
        <v>231</v>
      </c>
      <c r="J459" s="3" t="s">
        <v>232</v>
      </c>
      <c r="K459" s="3" t="s">
        <v>33</v>
      </c>
      <c r="L459" s="3" t="s">
        <v>51</v>
      </c>
      <c r="M459" s="3" t="s">
        <v>367</v>
      </c>
      <c r="N459" s="3" t="s">
        <v>368</v>
      </c>
      <c r="O459" s="3" t="s">
        <v>108</v>
      </c>
      <c r="P459" s="3" t="s">
        <v>109</v>
      </c>
      <c r="Q459" s="3" t="s">
        <v>39</v>
      </c>
      <c r="R459" s="3" t="s">
        <v>40</v>
      </c>
      <c r="S459" s="55">
        <v>183926.9</v>
      </c>
      <c r="T459" s="55">
        <v>183926.9</v>
      </c>
      <c r="U459" s="55">
        <v>17613.890800000001</v>
      </c>
      <c r="V459" s="55">
        <v>0</v>
      </c>
      <c r="W459" s="3">
        <v>100</v>
      </c>
    </row>
    <row r="460" spans="1:23" x14ac:dyDescent="0.35">
      <c r="A460" s="3" t="s">
        <v>576</v>
      </c>
      <c r="B460" s="3" t="s">
        <v>577</v>
      </c>
      <c r="C460" s="3" t="s">
        <v>369</v>
      </c>
      <c r="D460" s="3" t="s">
        <v>364</v>
      </c>
      <c r="E460" s="3" t="s">
        <v>365</v>
      </c>
      <c r="F460" s="3" t="s">
        <v>189</v>
      </c>
      <c r="G460" s="3" t="s">
        <v>366</v>
      </c>
      <c r="H460" s="3" t="s">
        <v>28</v>
      </c>
      <c r="I460" s="3" t="s">
        <v>231</v>
      </c>
      <c r="J460" s="3" t="s">
        <v>232</v>
      </c>
      <c r="K460" s="3" t="s">
        <v>33</v>
      </c>
      <c r="L460" s="3" t="s">
        <v>51</v>
      </c>
      <c r="M460" s="3" t="s">
        <v>367</v>
      </c>
      <c r="N460" s="3" t="s">
        <v>368</v>
      </c>
      <c r="O460" s="3" t="s">
        <v>334</v>
      </c>
      <c r="P460" s="3" t="s">
        <v>335</v>
      </c>
      <c r="Q460" s="3" t="s">
        <v>39</v>
      </c>
      <c r="R460" s="3" t="s">
        <v>40</v>
      </c>
      <c r="S460" s="55">
        <v>18481</v>
      </c>
      <c r="T460" s="55">
        <v>18481</v>
      </c>
      <c r="U460" s="55">
        <v>3572.6601999999998</v>
      </c>
      <c r="V460" s="55">
        <v>0</v>
      </c>
      <c r="W460" s="3">
        <v>100</v>
      </c>
    </row>
    <row r="461" spans="1:23" x14ac:dyDescent="0.35">
      <c r="A461" s="3" t="s">
        <v>576</v>
      </c>
      <c r="B461" s="3" t="s">
        <v>577</v>
      </c>
      <c r="C461" s="3" t="s">
        <v>370</v>
      </c>
      <c r="D461" s="3" t="s">
        <v>364</v>
      </c>
      <c r="E461" s="3" t="s">
        <v>365</v>
      </c>
      <c r="F461" s="3" t="s">
        <v>189</v>
      </c>
      <c r="G461" s="3" t="s">
        <v>366</v>
      </c>
      <c r="H461" s="3" t="s">
        <v>28</v>
      </c>
      <c r="I461" s="3" t="s">
        <v>231</v>
      </c>
      <c r="J461" s="3" t="s">
        <v>232</v>
      </c>
      <c r="K461" s="3" t="s">
        <v>33</v>
      </c>
      <c r="L461" s="3" t="s">
        <v>51</v>
      </c>
      <c r="M461" s="3" t="s">
        <v>371</v>
      </c>
      <c r="N461" s="3" t="s">
        <v>372</v>
      </c>
      <c r="O461" s="3" t="s">
        <v>108</v>
      </c>
      <c r="P461" s="3" t="s">
        <v>109</v>
      </c>
      <c r="Q461" s="3" t="s">
        <v>39</v>
      </c>
      <c r="R461" s="3" t="s">
        <v>40</v>
      </c>
      <c r="S461" s="55">
        <v>415</v>
      </c>
      <c r="T461" s="55">
        <v>415</v>
      </c>
      <c r="U461" s="55">
        <v>415</v>
      </c>
      <c r="V461" s="55">
        <v>0</v>
      </c>
      <c r="W461" s="3">
        <v>100</v>
      </c>
    </row>
    <row r="462" spans="1:23" x14ac:dyDescent="0.35">
      <c r="A462" s="3" t="s">
        <v>576</v>
      </c>
      <c r="B462" s="3" t="s">
        <v>577</v>
      </c>
      <c r="C462" s="3" t="s">
        <v>373</v>
      </c>
      <c r="D462" s="3" t="s">
        <v>364</v>
      </c>
      <c r="E462" s="3" t="s">
        <v>365</v>
      </c>
      <c r="F462" s="3" t="s">
        <v>189</v>
      </c>
      <c r="G462" s="3" t="s">
        <v>366</v>
      </c>
      <c r="H462" s="3" t="s">
        <v>28</v>
      </c>
      <c r="I462" s="3" t="s">
        <v>231</v>
      </c>
      <c r="J462" s="3" t="s">
        <v>232</v>
      </c>
      <c r="K462" s="3" t="s">
        <v>33</v>
      </c>
      <c r="L462" s="3" t="s">
        <v>51</v>
      </c>
      <c r="M462" s="3" t="s">
        <v>371</v>
      </c>
      <c r="N462" s="3" t="s">
        <v>372</v>
      </c>
      <c r="O462" s="3" t="s">
        <v>334</v>
      </c>
      <c r="P462" s="3" t="s">
        <v>335</v>
      </c>
      <c r="Q462" s="3" t="s">
        <v>39</v>
      </c>
      <c r="R462" s="3" t="s">
        <v>40</v>
      </c>
      <c r="S462" s="55">
        <v>111005.4</v>
      </c>
      <c r="T462" s="55">
        <v>111005.4</v>
      </c>
      <c r="U462" s="55">
        <v>7809.7241000000004</v>
      </c>
      <c r="V462" s="55">
        <v>0</v>
      </c>
      <c r="W462" s="3">
        <v>100</v>
      </c>
    </row>
    <row r="463" spans="1:23" x14ac:dyDescent="0.35">
      <c r="A463" s="3" t="s">
        <v>576</v>
      </c>
      <c r="B463" s="3" t="s">
        <v>577</v>
      </c>
      <c r="C463" s="3" t="s">
        <v>374</v>
      </c>
      <c r="D463" s="3" t="s">
        <v>364</v>
      </c>
      <c r="E463" s="3" t="s">
        <v>365</v>
      </c>
      <c r="F463" s="3" t="s">
        <v>189</v>
      </c>
      <c r="G463" s="3" t="s">
        <v>366</v>
      </c>
      <c r="H463" s="3" t="s">
        <v>28</v>
      </c>
      <c r="I463" s="3" t="s">
        <v>231</v>
      </c>
      <c r="J463" s="3" t="s">
        <v>232</v>
      </c>
      <c r="K463" s="3" t="s">
        <v>33</v>
      </c>
      <c r="L463" s="3" t="s">
        <v>51</v>
      </c>
      <c r="M463" s="3" t="s">
        <v>375</v>
      </c>
      <c r="N463" s="3" t="s">
        <v>376</v>
      </c>
      <c r="O463" s="3" t="s">
        <v>197</v>
      </c>
      <c r="P463" s="3" t="s">
        <v>198</v>
      </c>
      <c r="Q463" s="3" t="s">
        <v>39</v>
      </c>
      <c r="R463" s="3" t="s">
        <v>40</v>
      </c>
      <c r="S463" s="55">
        <v>9825.9</v>
      </c>
      <c r="T463" s="55">
        <v>9825.9</v>
      </c>
      <c r="U463" s="55">
        <v>9825.9</v>
      </c>
      <c r="V463" s="55">
        <v>0</v>
      </c>
      <c r="W463" s="3">
        <v>100</v>
      </c>
    </row>
    <row r="464" spans="1:23" x14ac:dyDescent="0.35">
      <c r="A464" s="3" t="s">
        <v>576</v>
      </c>
      <c r="B464" s="3" t="s">
        <v>577</v>
      </c>
      <c r="C464" s="3" t="s">
        <v>377</v>
      </c>
      <c r="D464" s="3" t="s">
        <v>364</v>
      </c>
      <c r="E464" s="3" t="s">
        <v>365</v>
      </c>
      <c r="F464" s="3" t="s">
        <v>189</v>
      </c>
      <c r="G464" s="3" t="s">
        <v>366</v>
      </c>
      <c r="H464" s="3" t="s">
        <v>28</v>
      </c>
      <c r="I464" s="3" t="s">
        <v>231</v>
      </c>
      <c r="J464" s="3" t="s">
        <v>232</v>
      </c>
      <c r="K464" s="3" t="s">
        <v>33</v>
      </c>
      <c r="L464" s="3" t="s">
        <v>51</v>
      </c>
      <c r="M464" s="3" t="s">
        <v>378</v>
      </c>
      <c r="N464" s="3" t="s">
        <v>549</v>
      </c>
      <c r="O464" s="3" t="s">
        <v>108</v>
      </c>
      <c r="P464" s="3" t="s">
        <v>109</v>
      </c>
      <c r="Q464" s="3" t="s">
        <v>39</v>
      </c>
      <c r="R464" s="3" t="s">
        <v>40</v>
      </c>
      <c r="S464" s="55">
        <v>10240.5</v>
      </c>
      <c r="T464" s="55">
        <v>10240.5</v>
      </c>
      <c r="U464" s="55">
        <v>431.3</v>
      </c>
      <c r="V464" s="55">
        <v>0</v>
      </c>
      <c r="W464" s="3">
        <v>100</v>
      </c>
    </row>
    <row r="465" spans="1:23" x14ac:dyDescent="0.35">
      <c r="A465" s="3" t="s">
        <v>576</v>
      </c>
      <c r="B465" s="3" t="s">
        <v>577</v>
      </c>
      <c r="C465" s="3" t="s">
        <v>380</v>
      </c>
      <c r="D465" s="3" t="s">
        <v>364</v>
      </c>
      <c r="E465" s="3" t="s">
        <v>365</v>
      </c>
      <c r="F465" s="3" t="s">
        <v>189</v>
      </c>
      <c r="G465" s="3" t="s">
        <v>366</v>
      </c>
      <c r="H465" s="3" t="s">
        <v>28</v>
      </c>
      <c r="I465" s="3" t="s">
        <v>231</v>
      </c>
      <c r="J465" s="3" t="s">
        <v>232</v>
      </c>
      <c r="K465" s="3" t="s">
        <v>33</v>
      </c>
      <c r="L465" s="3" t="s">
        <v>51</v>
      </c>
      <c r="M465" s="3" t="s">
        <v>378</v>
      </c>
      <c r="N465" s="3" t="s">
        <v>549</v>
      </c>
      <c r="O465" s="3" t="s">
        <v>334</v>
      </c>
      <c r="P465" s="3" t="s">
        <v>335</v>
      </c>
      <c r="Q465" s="3" t="s">
        <v>39</v>
      </c>
      <c r="R465" s="3" t="s">
        <v>40</v>
      </c>
      <c r="S465" s="55">
        <v>459406.8</v>
      </c>
      <c r="T465" s="55">
        <v>459406.8</v>
      </c>
      <c r="U465" s="55">
        <v>46306.5939</v>
      </c>
      <c r="V465" s="55">
        <v>0</v>
      </c>
      <c r="W465" s="3">
        <v>100</v>
      </c>
    </row>
    <row r="466" spans="1:23" x14ac:dyDescent="0.35">
      <c r="A466" s="3" t="s">
        <v>576</v>
      </c>
      <c r="B466" s="3" t="s">
        <v>577</v>
      </c>
      <c r="C466" s="3" t="s">
        <v>381</v>
      </c>
      <c r="D466" s="3" t="s">
        <v>364</v>
      </c>
      <c r="E466" s="3" t="s">
        <v>365</v>
      </c>
      <c r="F466" s="3" t="s">
        <v>189</v>
      </c>
      <c r="G466" s="3" t="s">
        <v>366</v>
      </c>
      <c r="H466" s="3" t="s">
        <v>28</v>
      </c>
      <c r="I466" s="3" t="s">
        <v>231</v>
      </c>
      <c r="J466" s="3" t="s">
        <v>232</v>
      </c>
      <c r="K466" s="3" t="s">
        <v>33</v>
      </c>
      <c r="L466" s="3" t="s">
        <v>51</v>
      </c>
      <c r="M466" s="3" t="s">
        <v>382</v>
      </c>
      <c r="N466" s="3" t="s">
        <v>383</v>
      </c>
      <c r="O466" s="3" t="s">
        <v>108</v>
      </c>
      <c r="P466" s="3" t="s">
        <v>109</v>
      </c>
      <c r="Q466" s="3" t="s">
        <v>39</v>
      </c>
      <c r="R466" s="3" t="s">
        <v>40</v>
      </c>
      <c r="S466" s="55">
        <v>1013.5</v>
      </c>
      <c r="T466" s="55">
        <v>1013.5</v>
      </c>
      <c r="U466" s="55">
        <v>1013.5</v>
      </c>
      <c r="V466" s="55">
        <v>0</v>
      </c>
      <c r="W466" s="3">
        <v>100</v>
      </c>
    </row>
    <row r="467" spans="1:23" x14ac:dyDescent="0.35">
      <c r="A467" s="3" t="s">
        <v>576</v>
      </c>
      <c r="B467" s="3" t="s">
        <v>577</v>
      </c>
      <c r="C467" s="3" t="s">
        <v>384</v>
      </c>
      <c r="D467" s="3" t="s">
        <v>364</v>
      </c>
      <c r="E467" s="3" t="s">
        <v>365</v>
      </c>
      <c r="F467" s="3" t="s">
        <v>189</v>
      </c>
      <c r="G467" s="3" t="s">
        <v>366</v>
      </c>
      <c r="H467" s="3" t="s">
        <v>28</v>
      </c>
      <c r="I467" s="3" t="s">
        <v>231</v>
      </c>
      <c r="J467" s="3" t="s">
        <v>232</v>
      </c>
      <c r="K467" s="3" t="s">
        <v>33</v>
      </c>
      <c r="L467" s="3" t="s">
        <v>51</v>
      </c>
      <c r="M467" s="3" t="s">
        <v>382</v>
      </c>
      <c r="N467" s="3" t="s">
        <v>383</v>
      </c>
      <c r="O467" s="3" t="s">
        <v>334</v>
      </c>
      <c r="P467" s="3" t="s">
        <v>335</v>
      </c>
      <c r="Q467" s="3" t="s">
        <v>39</v>
      </c>
      <c r="R467" s="3" t="s">
        <v>40</v>
      </c>
      <c r="S467" s="55">
        <v>51583.8</v>
      </c>
      <c r="T467" s="55">
        <v>51583.8</v>
      </c>
      <c r="U467" s="55">
        <v>5039.5075999999999</v>
      </c>
      <c r="V467" s="55">
        <v>0</v>
      </c>
      <c r="W467" s="3">
        <v>100</v>
      </c>
    </row>
    <row r="468" spans="1:23" x14ac:dyDescent="0.35">
      <c r="A468" s="3" t="s">
        <v>576</v>
      </c>
      <c r="B468" s="3" t="s">
        <v>577</v>
      </c>
      <c r="C468" s="3" t="s">
        <v>391</v>
      </c>
      <c r="D468" s="3" t="s">
        <v>392</v>
      </c>
      <c r="E468" s="3" t="s">
        <v>365</v>
      </c>
      <c r="F468" s="3" t="s">
        <v>28</v>
      </c>
      <c r="G468" s="3" t="s">
        <v>393</v>
      </c>
      <c r="H468" s="3" t="s">
        <v>28</v>
      </c>
      <c r="I468" s="3" t="s">
        <v>231</v>
      </c>
      <c r="J468" s="3" t="s">
        <v>232</v>
      </c>
      <c r="K468" s="3" t="s">
        <v>33</v>
      </c>
      <c r="L468" s="3" t="s">
        <v>51</v>
      </c>
      <c r="M468" s="3" t="s">
        <v>394</v>
      </c>
      <c r="N468" s="3" t="s">
        <v>395</v>
      </c>
      <c r="O468" s="3" t="s">
        <v>197</v>
      </c>
      <c r="P468" s="3" t="s">
        <v>198</v>
      </c>
      <c r="Q468" s="3" t="s">
        <v>39</v>
      </c>
      <c r="R468" s="3" t="s">
        <v>40</v>
      </c>
      <c r="S468" s="55">
        <v>48948.800000000003</v>
      </c>
      <c r="T468" s="55">
        <v>48922.671000000002</v>
      </c>
      <c r="U468" s="55">
        <v>3237.6015000000002</v>
      </c>
      <c r="V468" s="55">
        <v>26.129000000000001</v>
      </c>
      <c r="W468" s="3">
        <v>100</v>
      </c>
    </row>
    <row r="469" spans="1:23" x14ac:dyDescent="0.35">
      <c r="A469" s="3" t="s">
        <v>576</v>
      </c>
      <c r="B469" s="3" t="s">
        <v>577</v>
      </c>
      <c r="C469" s="3" t="s">
        <v>550</v>
      </c>
      <c r="D469" s="3" t="s">
        <v>397</v>
      </c>
      <c r="E469" s="3" t="s">
        <v>365</v>
      </c>
      <c r="F469" s="3" t="s">
        <v>318</v>
      </c>
      <c r="G469" s="3" t="s">
        <v>398</v>
      </c>
      <c r="H469" s="3" t="s">
        <v>28</v>
      </c>
      <c r="I469" s="3" t="s">
        <v>231</v>
      </c>
      <c r="J469" s="3" t="s">
        <v>232</v>
      </c>
      <c r="K469" s="3" t="s">
        <v>33</v>
      </c>
      <c r="L469" s="3" t="s">
        <v>51</v>
      </c>
      <c r="M469" s="3" t="s">
        <v>551</v>
      </c>
      <c r="N469" s="3" t="s">
        <v>552</v>
      </c>
      <c r="O469" s="3" t="s">
        <v>108</v>
      </c>
      <c r="P469" s="3" t="s">
        <v>109</v>
      </c>
      <c r="Q469" s="3" t="s">
        <v>39</v>
      </c>
      <c r="R469" s="3" t="s">
        <v>40</v>
      </c>
      <c r="S469" s="55">
        <v>32359.3</v>
      </c>
      <c r="T469" s="55">
        <v>32359.3</v>
      </c>
      <c r="U469" s="55">
        <v>12209.8948</v>
      </c>
      <c r="V469" s="55">
        <v>0</v>
      </c>
      <c r="W469" s="3">
        <v>100</v>
      </c>
    </row>
    <row r="470" spans="1:23" x14ac:dyDescent="0.35">
      <c r="A470" s="3" t="s">
        <v>576</v>
      </c>
      <c r="B470" s="3" t="s">
        <v>577</v>
      </c>
      <c r="C470" s="3" t="s">
        <v>396</v>
      </c>
      <c r="D470" s="3" t="s">
        <v>397</v>
      </c>
      <c r="E470" s="3" t="s">
        <v>365</v>
      </c>
      <c r="F470" s="3" t="s">
        <v>318</v>
      </c>
      <c r="G470" s="3" t="s">
        <v>398</v>
      </c>
      <c r="H470" s="3" t="s">
        <v>116</v>
      </c>
      <c r="I470" s="3" t="s">
        <v>148</v>
      </c>
      <c r="J470" s="3" t="s">
        <v>149</v>
      </c>
      <c r="K470" s="3" t="s">
        <v>33</v>
      </c>
      <c r="L470" s="3" t="s">
        <v>51</v>
      </c>
      <c r="M470" s="3" t="s">
        <v>399</v>
      </c>
      <c r="N470" s="3" t="s">
        <v>573</v>
      </c>
      <c r="O470" s="3" t="s">
        <v>401</v>
      </c>
      <c r="P470" s="3" t="s">
        <v>402</v>
      </c>
      <c r="Q470" s="3" t="s">
        <v>39</v>
      </c>
      <c r="R470" s="3" t="s">
        <v>40</v>
      </c>
      <c r="S470" s="55">
        <v>846.5</v>
      </c>
      <c r="T470" s="55">
        <v>758.12599999999998</v>
      </c>
      <c r="U470" s="55">
        <v>758.12599999999998</v>
      </c>
      <c r="V470" s="55">
        <v>88.373999999999995</v>
      </c>
      <c r="W470" s="3">
        <v>90</v>
      </c>
    </row>
    <row r="471" spans="1:23" x14ac:dyDescent="0.35">
      <c r="A471" s="3" t="s">
        <v>576</v>
      </c>
      <c r="B471" s="3" t="s">
        <v>577</v>
      </c>
      <c r="C471" s="3" t="s">
        <v>553</v>
      </c>
      <c r="D471" s="3" t="s">
        <v>404</v>
      </c>
      <c r="E471" s="3" t="s">
        <v>405</v>
      </c>
      <c r="F471" s="3" t="s">
        <v>146</v>
      </c>
      <c r="G471" s="3" t="s">
        <v>406</v>
      </c>
      <c r="H471" s="3" t="s">
        <v>318</v>
      </c>
      <c r="I471" s="3" t="s">
        <v>407</v>
      </c>
      <c r="J471" s="3" t="s">
        <v>554</v>
      </c>
      <c r="K471" s="3" t="s">
        <v>23</v>
      </c>
      <c r="L471" s="3" t="s">
        <v>203</v>
      </c>
      <c r="M471" s="3" t="s">
        <v>555</v>
      </c>
      <c r="N471" s="3" t="s">
        <v>442</v>
      </c>
      <c r="O471" s="3" t="s">
        <v>197</v>
      </c>
      <c r="P471" s="3" t="s">
        <v>198</v>
      </c>
      <c r="Q471" s="3" t="s">
        <v>39</v>
      </c>
      <c r="R471" s="3" t="s">
        <v>40</v>
      </c>
      <c r="S471" s="55">
        <v>9879.5</v>
      </c>
      <c r="T471" s="55">
        <v>9879.5</v>
      </c>
      <c r="U471" s="55">
        <v>671.43589999999995</v>
      </c>
      <c r="V471" s="55">
        <v>0</v>
      </c>
      <c r="W471" s="3">
        <v>100</v>
      </c>
    </row>
    <row r="472" spans="1:23" x14ac:dyDescent="0.35">
      <c r="A472" s="3" t="s">
        <v>576</v>
      </c>
      <c r="B472" s="3" t="s">
        <v>577</v>
      </c>
      <c r="C472" s="3" t="s">
        <v>403</v>
      </c>
      <c r="D472" s="3" t="s">
        <v>404</v>
      </c>
      <c r="E472" s="3" t="s">
        <v>405</v>
      </c>
      <c r="F472" s="3" t="s">
        <v>146</v>
      </c>
      <c r="G472" s="3" t="s">
        <v>406</v>
      </c>
      <c r="H472" s="3" t="s">
        <v>318</v>
      </c>
      <c r="I472" s="3" t="s">
        <v>407</v>
      </c>
      <c r="J472" s="3" t="s">
        <v>408</v>
      </c>
      <c r="K472" s="3" t="s">
        <v>33</v>
      </c>
      <c r="L472" s="3" t="s">
        <v>51</v>
      </c>
      <c r="M472" s="3" t="s">
        <v>409</v>
      </c>
      <c r="N472" s="3" t="s">
        <v>410</v>
      </c>
      <c r="O472" s="3" t="s">
        <v>108</v>
      </c>
      <c r="P472" s="3" t="s">
        <v>109</v>
      </c>
      <c r="Q472" s="3" t="s">
        <v>39</v>
      </c>
      <c r="R472" s="3" t="s">
        <v>40</v>
      </c>
      <c r="S472" s="55">
        <v>183125.7</v>
      </c>
      <c r="T472" s="55">
        <v>183125.7</v>
      </c>
      <c r="U472" s="55">
        <v>26935.089400000001</v>
      </c>
      <c r="V472" s="55">
        <v>0</v>
      </c>
      <c r="W472" s="3">
        <v>100</v>
      </c>
    </row>
    <row r="473" spans="1:23" x14ac:dyDescent="0.35">
      <c r="A473" s="3" t="s">
        <v>576</v>
      </c>
      <c r="B473" s="3" t="s">
        <v>577</v>
      </c>
      <c r="C473" s="3" t="s">
        <v>556</v>
      </c>
      <c r="D473" s="3" t="s">
        <v>412</v>
      </c>
      <c r="E473" s="3" t="s">
        <v>405</v>
      </c>
      <c r="F473" s="3" t="s">
        <v>189</v>
      </c>
      <c r="G473" s="3" t="s">
        <v>413</v>
      </c>
      <c r="H473" s="3" t="s">
        <v>318</v>
      </c>
      <c r="I473" s="3" t="s">
        <v>407</v>
      </c>
      <c r="J473" s="3" t="s">
        <v>554</v>
      </c>
      <c r="K473" s="3" t="s">
        <v>23</v>
      </c>
      <c r="L473" s="3" t="s">
        <v>203</v>
      </c>
      <c r="M473" s="3" t="s">
        <v>557</v>
      </c>
      <c r="N473" s="3" t="s">
        <v>415</v>
      </c>
      <c r="O473" s="3" t="s">
        <v>197</v>
      </c>
      <c r="P473" s="3" t="s">
        <v>198</v>
      </c>
      <c r="Q473" s="3" t="s">
        <v>39</v>
      </c>
      <c r="R473" s="3" t="s">
        <v>40</v>
      </c>
      <c r="S473" s="55">
        <v>3545.6</v>
      </c>
      <c r="T473" s="55">
        <v>3545.6</v>
      </c>
      <c r="U473" s="55">
        <v>663.96180000000004</v>
      </c>
      <c r="V473" s="55">
        <v>0</v>
      </c>
      <c r="W473" s="3">
        <v>100</v>
      </c>
    </row>
    <row r="474" spans="1:23" x14ac:dyDescent="0.35">
      <c r="A474" s="3" t="s">
        <v>576</v>
      </c>
      <c r="B474" s="3" t="s">
        <v>577</v>
      </c>
      <c r="C474" s="3" t="s">
        <v>416</v>
      </c>
      <c r="D474" s="3" t="s">
        <v>417</v>
      </c>
      <c r="E474" s="3" t="s">
        <v>405</v>
      </c>
      <c r="F474" s="3" t="s">
        <v>28</v>
      </c>
      <c r="G474" s="3" t="s">
        <v>418</v>
      </c>
      <c r="H474" s="3" t="s">
        <v>318</v>
      </c>
      <c r="I474" s="3" t="s">
        <v>407</v>
      </c>
      <c r="J474" s="3" t="s">
        <v>408</v>
      </c>
      <c r="K474" s="3" t="s">
        <v>33</v>
      </c>
      <c r="L474" s="3" t="s">
        <v>51</v>
      </c>
      <c r="M474" s="3" t="s">
        <v>419</v>
      </c>
      <c r="N474" s="3" t="s">
        <v>420</v>
      </c>
      <c r="O474" s="3" t="s">
        <v>108</v>
      </c>
      <c r="P474" s="3" t="s">
        <v>109</v>
      </c>
      <c r="Q474" s="3" t="s">
        <v>39</v>
      </c>
      <c r="R474" s="3" t="s">
        <v>40</v>
      </c>
      <c r="S474" s="55">
        <v>324843.3</v>
      </c>
      <c r="T474" s="55">
        <v>324843.3</v>
      </c>
      <c r="U474" s="55">
        <v>27841.555100000001</v>
      </c>
      <c r="V474" s="55">
        <v>0</v>
      </c>
      <c r="W474" s="3">
        <v>100</v>
      </c>
    </row>
    <row r="475" spans="1:23" x14ac:dyDescent="0.35">
      <c r="A475" s="3" t="s">
        <v>421</v>
      </c>
      <c r="B475" s="3" t="s">
        <v>422</v>
      </c>
      <c r="C475" s="3" t="s">
        <v>25</v>
      </c>
      <c r="D475" s="3" t="s">
        <v>26</v>
      </c>
      <c r="E475" s="3" t="s">
        <v>27</v>
      </c>
      <c r="F475" s="3" t="s">
        <v>28</v>
      </c>
      <c r="G475" s="3" t="s">
        <v>29</v>
      </c>
      <c r="H475" s="3" t="s">
        <v>30</v>
      </c>
      <c r="I475" s="3" t="s">
        <v>31</v>
      </c>
      <c r="J475" s="3" t="s">
        <v>32</v>
      </c>
      <c r="K475" s="3" t="s">
        <v>33</v>
      </c>
      <c r="L475" s="3" t="s">
        <v>51</v>
      </c>
      <c r="M475" s="3" t="s">
        <v>35</v>
      </c>
      <c r="N475" s="3" t="s">
        <v>36</v>
      </c>
      <c r="O475" s="3" t="s">
        <v>37</v>
      </c>
      <c r="P475" s="3" t="s">
        <v>38</v>
      </c>
      <c r="Q475" s="3" t="s">
        <v>39</v>
      </c>
      <c r="R475" s="3" t="s">
        <v>40</v>
      </c>
      <c r="S475" s="55">
        <v>3772.6</v>
      </c>
      <c r="T475" s="55">
        <v>0</v>
      </c>
      <c r="U475" s="55">
        <v>0</v>
      </c>
      <c r="V475" s="55">
        <v>3772.6</v>
      </c>
      <c r="W475" s="3">
        <v>0</v>
      </c>
    </row>
    <row r="476" spans="1:23" x14ac:dyDescent="0.35">
      <c r="A476" s="3" t="s">
        <v>421</v>
      </c>
      <c r="B476" s="3" t="s">
        <v>422</v>
      </c>
      <c r="C476" s="3" t="s">
        <v>41</v>
      </c>
      <c r="D476" s="3" t="s">
        <v>26</v>
      </c>
      <c r="E476" s="3" t="s">
        <v>27</v>
      </c>
      <c r="F476" s="3" t="s">
        <v>28</v>
      </c>
      <c r="G476" s="3" t="s">
        <v>29</v>
      </c>
      <c r="H476" s="3" t="s">
        <v>30</v>
      </c>
      <c r="I476" s="3" t="s">
        <v>31</v>
      </c>
      <c r="J476" s="3" t="s">
        <v>32</v>
      </c>
      <c r="K476" s="3" t="s">
        <v>33</v>
      </c>
      <c r="L476" s="3" t="s">
        <v>51</v>
      </c>
      <c r="M476" s="3" t="s">
        <v>35</v>
      </c>
      <c r="N476" s="3" t="s">
        <v>36</v>
      </c>
      <c r="O476" s="3" t="s">
        <v>42</v>
      </c>
      <c r="P476" s="3" t="s">
        <v>43</v>
      </c>
      <c r="Q476" s="3" t="s">
        <v>39</v>
      </c>
      <c r="R476" s="3" t="s">
        <v>40</v>
      </c>
      <c r="S476" s="55">
        <v>8.3000000000000007</v>
      </c>
      <c r="T476" s="55">
        <v>0</v>
      </c>
      <c r="U476" s="55">
        <v>0</v>
      </c>
      <c r="V476" s="55">
        <v>8.3000000000000007</v>
      </c>
      <c r="W476" s="3">
        <v>0</v>
      </c>
    </row>
    <row r="477" spans="1:23" x14ac:dyDescent="0.35">
      <c r="A477" s="3" t="s">
        <v>421</v>
      </c>
      <c r="B477" s="3" t="s">
        <v>422</v>
      </c>
      <c r="C477" s="3" t="s">
        <v>44</v>
      </c>
      <c r="D477" s="3" t="s">
        <v>45</v>
      </c>
      <c r="E477" s="3" t="s">
        <v>27</v>
      </c>
      <c r="F477" s="3" t="s">
        <v>46</v>
      </c>
      <c r="G477" s="3" t="s">
        <v>47</v>
      </c>
      <c r="H477" s="3" t="s">
        <v>48</v>
      </c>
      <c r="I477" s="3" t="s">
        <v>49</v>
      </c>
      <c r="J477" s="3" t="s">
        <v>50</v>
      </c>
      <c r="K477" s="3" t="s">
        <v>33</v>
      </c>
      <c r="L477" s="3" t="s">
        <v>51</v>
      </c>
      <c r="M477" s="3" t="s">
        <v>52</v>
      </c>
      <c r="N477" s="3" t="s">
        <v>53</v>
      </c>
      <c r="O477" s="3" t="s">
        <v>54</v>
      </c>
      <c r="P477" s="3" t="s">
        <v>55</v>
      </c>
      <c r="Q477" s="3" t="s">
        <v>39</v>
      </c>
      <c r="R477" s="3" t="s">
        <v>40</v>
      </c>
      <c r="S477" s="55">
        <v>64.400000000000006</v>
      </c>
      <c r="T477" s="55">
        <v>0</v>
      </c>
      <c r="U477" s="55">
        <v>0</v>
      </c>
      <c r="V477" s="55">
        <v>64.400000000000006</v>
      </c>
      <c r="W477" s="3">
        <v>0</v>
      </c>
    </row>
    <row r="478" spans="1:23" x14ac:dyDescent="0.35">
      <c r="A478" s="3" t="s">
        <v>421</v>
      </c>
      <c r="B478" s="3" t="s">
        <v>422</v>
      </c>
      <c r="C478" s="3" t="s">
        <v>59</v>
      </c>
      <c r="D478" s="3" t="s">
        <v>45</v>
      </c>
      <c r="E478" s="3" t="s">
        <v>27</v>
      </c>
      <c r="F478" s="3" t="s">
        <v>46</v>
      </c>
      <c r="G478" s="3" t="s">
        <v>47</v>
      </c>
      <c r="H478" s="3" t="s">
        <v>60</v>
      </c>
      <c r="I478" s="3" t="s">
        <v>61</v>
      </c>
      <c r="J478" s="3" t="s">
        <v>62</v>
      </c>
      <c r="K478" s="3" t="s">
        <v>33</v>
      </c>
      <c r="L478" s="3" t="s">
        <v>51</v>
      </c>
      <c r="M478" s="3" t="s">
        <v>63</v>
      </c>
      <c r="N478" s="3" t="s">
        <v>64</v>
      </c>
      <c r="O478" s="3" t="s">
        <v>37</v>
      </c>
      <c r="P478" s="3" t="s">
        <v>38</v>
      </c>
      <c r="Q478" s="3" t="s">
        <v>39</v>
      </c>
      <c r="R478" s="3" t="s">
        <v>40</v>
      </c>
      <c r="S478" s="55">
        <v>208.2</v>
      </c>
      <c r="T478" s="55">
        <v>9.1999999999999993</v>
      </c>
      <c r="U478" s="55">
        <v>9.1999999999999993</v>
      </c>
      <c r="V478" s="55">
        <v>199</v>
      </c>
      <c r="W478" s="3">
        <v>4</v>
      </c>
    </row>
    <row r="479" spans="1:23" x14ac:dyDescent="0.35">
      <c r="A479" s="3" t="s">
        <v>421</v>
      </c>
      <c r="B479" s="3" t="s">
        <v>422</v>
      </c>
      <c r="C479" s="3" t="s">
        <v>65</v>
      </c>
      <c r="D479" s="3" t="s">
        <v>45</v>
      </c>
      <c r="E479" s="3" t="s">
        <v>27</v>
      </c>
      <c r="F479" s="3" t="s">
        <v>46</v>
      </c>
      <c r="G479" s="3" t="s">
        <v>47</v>
      </c>
      <c r="H479" s="3" t="s">
        <v>66</v>
      </c>
      <c r="I479" s="3" t="s">
        <v>67</v>
      </c>
      <c r="J479" s="3" t="s">
        <v>68</v>
      </c>
      <c r="K479" s="3" t="s">
        <v>33</v>
      </c>
      <c r="L479" s="3" t="s">
        <v>51</v>
      </c>
      <c r="M479" s="3" t="s">
        <v>69</v>
      </c>
      <c r="N479" s="3" t="s">
        <v>70</v>
      </c>
      <c r="O479" s="3" t="s">
        <v>37</v>
      </c>
      <c r="P479" s="3" t="s">
        <v>38</v>
      </c>
      <c r="Q479" s="3" t="s">
        <v>39</v>
      </c>
      <c r="R479" s="3" t="s">
        <v>40</v>
      </c>
      <c r="S479" s="55">
        <v>567.9</v>
      </c>
      <c r="T479" s="55">
        <v>0</v>
      </c>
      <c r="U479" s="55">
        <v>0</v>
      </c>
      <c r="V479" s="55">
        <v>567.9</v>
      </c>
      <c r="W479" s="3">
        <v>0</v>
      </c>
    </row>
    <row r="480" spans="1:23" x14ac:dyDescent="0.35">
      <c r="A480" s="3" t="s">
        <v>421</v>
      </c>
      <c r="B480" s="3" t="s">
        <v>422</v>
      </c>
      <c r="C480" s="3" t="s">
        <v>71</v>
      </c>
      <c r="D480" s="3" t="s">
        <v>45</v>
      </c>
      <c r="E480" s="3" t="s">
        <v>27</v>
      </c>
      <c r="F480" s="3" t="s">
        <v>46</v>
      </c>
      <c r="G480" s="3" t="s">
        <v>47</v>
      </c>
      <c r="H480" s="3" t="s">
        <v>30</v>
      </c>
      <c r="I480" s="3" t="s">
        <v>31</v>
      </c>
      <c r="J480" s="3" t="s">
        <v>32</v>
      </c>
      <c r="K480" s="3" t="s">
        <v>33</v>
      </c>
      <c r="L480" s="3" t="s">
        <v>51</v>
      </c>
      <c r="M480" s="3" t="s">
        <v>72</v>
      </c>
      <c r="N480" s="3" t="s">
        <v>73</v>
      </c>
      <c r="O480" s="3" t="s">
        <v>74</v>
      </c>
      <c r="P480" s="3" t="s">
        <v>75</v>
      </c>
      <c r="Q480" s="3" t="s">
        <v>39</v>
      </c>
      <c r="R480" s="3" t="s">
        <v>40</v>
      </c>
      <c r="S480" s="55">
        <v>246128.1</v>
      </c>
      <c r="T480" s="55">
        <v>40925.040000000001</v>
      </c>
      <c r="U480" s="55">
        <v>18788.981599999999</v>
      </c>
      <c r="V480" s="55">
        <v>205203.06</v>
      </c>
      <c r="W480" s="3">
        <v>17</v>
      </c>
    </row>
    <row r="481" spans="1:23" x14ac:dyDescent="0.35">
      <c r="A481" s="3" t="s">
        <v>421</v>
      </c>
      <c r="B481" s="3" t="s">
        <v>422</v>
      </c>
      <c r="C481" s="3" t="s">
        <v>76</v>
      </c>
      <c r="D481" s="3" t="s">
        <v>45</v>
      </c>
      <c r="E481" s="3" t="s">
        <v>27</v>
      </c>
      <c r="F481" s="3" t="s">
        <v>46</v>
      </c>
      <c r="G481" s="3" t="s">
        <v>47</v>
      </c>
      <c r="H481" s="3" t="s">
        <v>30</v>
      </c>
      <c r="I481" s="3" t="s">
        <v>31</v>
      </c>
      <c r="J481" s="3" t="s">
        <v>32</v>
      </c>
      <c r="K481" s="3" t="s">
        <v>33</v>
      </c>
      <c r="L481" s="3" t="s">
        <v>51</v>
      </c>
      <c r="M481" s="3" t="s">
        <v>72</v>
      </c>
      <c r="N481" s="3" t="s">
        <v>73</v>
      </c>
      <c r="O481" s="3" t="s">
        <v>77</v>
      </c>
      <c r="P481" s="3" t="s">
        <v>78</v>
      </c>
      <c r="Q481" s="3" t="s">
        <v>39</v>
      </c>
      <c r="R481" s="3" t="s">
        <v>40</v>
      </c>
      <c r="S481" s="55">
        <v>140.5</v>
      </c>
      <c r="T481" s="55">
        <v>22.827999999999999</v>
      </c>
      <c r="U481" s="55">
        <v>2.165</v>
      </c>
      <c r="V481" s="55">
        <v>117.672</v>
      </c>
      <c r="W481" s="3">
        <v>16</v>
      </c>
    </row>
    <row r="482" spans="1:23" x14ac:dyDescent="0.35">
      <c r="A482" s="3" t="s">
        <v>421</v>
      </c>
      <c r="B482" s="3" t="s">
        <v>422</v>
      </c>
      <c r="C482" s="3" t="s">
        <v>79</v>
      </c>
      <c r="D482" s="3" t="s">
        <v>45</v>
      </c>
      <c r="E482" s="3" t="s">
        <v>27</v>
      </c>
      <c r="F482" s="3" t="s">
        <v>46</v>
      </c>
      <c r="G482" s="3" t="s">
        <v>47</v>
      </c>
      <c r="H482" s="3" t="s">
        <v>30</v>
      </c>
      <c r="I482" s="3" t="s">
        <v>31</v>
      </c>
      <c r="J482" s="3" t="s">
        <v>32</v>
      </c>
      <c r="K482" s="3" t="s">
        <v>33</v>
      </c>
      <c r="L482" s="3" t="s">
        <v>51</v>
      </c>
      <c r="M482" s="3" t="s">
        <v>72</v>
      </c>
      <c r="N482" s="3" t="s">
        <v>73</v>
      </c>
      <c r="O482" s="3" t="s">
        <v>80</v>
      </c>
      <c r="P482" s="3" t="s">
        <v>81</v>
      </c>
      <c r="Q482" s="3" t="s">
        <v>39</v>
      </c>
      <c r="R482" s="3" t="s">
        <v>40</v>
      </c>
      <c r="S482" s="55">
        <v>73941.2</v>
      </c>
      <c r="T482" s="55">
        <v>5489.5043999999998</v>
      </c>
      <c r="U482" s="55">
        <v>5412.9290000000001</v>
      </c>
      <c r="V482" s="55">
        <v>68451.695600000006</v>
      </c>
      <c r="W482" s="3">
        <v>7</v>
      </c>
    </row>
    <row r="483" spans="1:23" x14ac:dyDescent="0.35">
      <c r="A483" s="3" t="s">
        <v>421</v>
      </c>
      <c r="B483" s="3" t="s">
        <v>422</v>
      </c>
      <c r="C483" s="3" t="s">
        <v>82</v>
      </c>
      <c r="D483" s="3" t="s">
        <v>45</v>
      </c>
      <c r="E483" s="3" t="s">
        <v>27</v>
      </c>
      <c r="F483" s="3" t="s">
        <v>46</v>
      </c>
      <c r="G483" s="3" t="s">
        <v>47</v>
      </c>
      <c r="H483" s="3" t="s">
        <v>30</v>
      </c>
      <c r="I483" s="3" t="s">
        <v>31</v>
      </c>
      <c r="J483" s="3" t="s">
        <v>32</v>
      </c>
      <c r="K483" s="3" t="s">
        <v>33</v>
      </c>
      <c r="L483" s="3" t="s">
        <v>51</v>
      </c>
      <c r="M483" s="3" t="s">
        <v>72</v>
      </c>
      <c r="N483" s="3" t="s">
        <v>73</v>
      </c>
      <c r="O483" s="3" t="s">
        <v>83</v>
      </c>
      <c r="P483" s="3" t="s">
        <v>84</v>
      </c>
      <c r="Q483" s="3" t="s">
        <v>39</v>
      </c>
      <c r="R483" s="3" t="s">
        <v>40</v>
      </c>
      <c r="S483" s="55">
        <v>300</v>
      </c>
      <c r="T483" s="55">
        <v>0</v>
      </c>
      <c r="U483" s="55">
        <v>0</v>
      </c>
      <c r="V483" s="55">
        <v>300</v>
      </c>
      <c r="W483" s="3">
        <v>0</v>
      </c>
    </row>
    <row r="484" spans="1:23" x14ac:dyDescent="0.35">
      <c r="A484" s="3" t="s">
        <v>421</v>
      </c>
      <c r="B484" s="3" t="s">
        <v>422</v>
      </c>
      <c r="C484" s="3" t="s">
        <v>85</v>
      </c>
      <c r="D484" s="3" t="s">
        <v>45</v>
      </c>
      <c r="E484" s="3" t="s">
        <v>27</v>
      </c>
      <c r="F484" s="3" t="s">
        <v>46</v>
      </c>
      <c r="G484" s="3" t="s">
        <v>47</v>
      </c>
      <c r="H484" s="3" t="s">
        <v>30</v>
      </c>
      <c r="I484" s="3" t="s">
        <v>31</v>
      </c>
      <c r="J484" s="3" t="s">
        <v>32</v>
      </c>
      <c r="K484" s="3" t="s">
        <v>33</v>
      </c>
      <c r="L484" s="3" t="s">
        <v>51</v>
      </c>
      <c r="M484" s="3" t="s">
        <v>72</v>
      </c>
      <c r="N484" s="3" t="s">
        <v>73</v>
      </c>
      <c r="O484" s="3" t="s">
        <v>86</v>
      </c>
      <c r="P484" s="3" t="s">
        <v>87</v>
      </c>
      <c r="Q484" s="3" t="s">
        <v>39</v>
      </c>
      <c r="R484" s="3" t="s">
        <v>40</v>
      </c>
      <c r="S484" s="55">
        <v>18097.3</v>
      </c>
      <c r="T484" s="55">
        <v>0</v>
      </c>
      <c r="U484" s="55">
        <v>0</v>
      </c>
      <c r="V484" s="55">
        <v>18097.3</v>
      </c>
      <c r="W484" s="3">
        <v>0</v>
      </c>
    </row>
    <row r="485" spans="1:23" x14ac:dyDescent="0.35">
      <c r="A485" s="3" t="s">
        <v>421</v>
      </c>
      <c r="B485" s="3" t="s">
        <v>422</v>
      </c>
      <c r="C485" s="3" t="s">
        <v>88</v>
      </c>
      <c r="D485" s="3" t="s">
        <v>45</v>
      </c>
      <c r="E485" s="3" t="s">
        <v>27</v>
      </c>
      <c r="F485" s="3" t="s">
        <v>46</v>
      </c>
      <c r="G485" s="3" t="s">
        <v>47</v>
      </c>
      <c r="H485" s="3" t="s">
        <v>30</v>
      </c>
      <c r="I485" s="3" t="s">
        <v>31</v>
      </c>
      <c r="J485" s="3" t="s">
        <v>32</v>
      </c>
      <c r="K485" s="3" t="s">
        <v>33</v>
      </c>
      <c r="L485" s="3" t="s">
        <v>51</v>
      </c>
      <c r="M485" s="3" t="s">
        <v>72</v>
      </c>
      <c r="N485" s="3" t="s">
        <v>73</v>
      </c>
      <c r="O485" s="3" t="s">
        <v>37</v>
      </c>
      <c r="P485" s="3" t="s">
        <v>38</v>
      </c>
      <c r="Q485" s="3" t="s">
        <v>39</v>
      </c>
      <c r="R485" s="3" t="s">
        <v>40</v>
      </c>
      <c r="S485" s="55">
        <v>93368.1</v>
      </c>
      <c r="T485" s="55">
        <v>2114.9297000000001</v>
      </c>
      <c r="U485" s="55">
        <v>1710.739</v>
      </c>
      <c r="V485" s="55">
        <v>91253.170299999998</v>
      </c>
      <c r="W485" s="3">
        <v>2</v>
      </c>
    </row>
    <row r="486" spans="1:23" x14ac:dyDescent="0.35">
      <c r="A486" s="3" t="s">
        <v>421</v>
      </c>
      <c r="B486" s="3" t="s">
        <v>422</v>
      </c>
      <c r="C486" s="3" t="s">
        <v>89</v>
      </c>
      <c r="D486" s="3" t="s">
        <v>45</v>
      </c>
      <c r="E486" s="3" t="s">
        <v>27</v>
      </c>
      <c r="F486" s="3" t="s">
        <v>46</v>
      </c>
      <c r="G486" s="3" t="s">
        <v>47</v>
      </c>
      <c r="H486" s="3" t="s">
        <v>30</v>
      </c>
      <c r="I486" s="3" t="s">
        <v>31</v>
      </c>
      <c r="J486" s="3" t="s">
        <v>32</v>
      </c>
      <c r="K486" s="3" t="s">
        <v>33</v>
      </c>
      <c r="L486" s="3" t="s">
        <v>51</v>
      </c>
      <c r="M486" s="3" t="s">
        <v>72</v>
      </c>
      <c r="N486" s="3" t="s">
        <v>73</v>
      </c>
      <c r="O486" s="3" t="s">
        <v>42</v>
      </c>
      <c r="P486" s="3" t="s">
        <v>43</v>
      </c>
      <c r="Q486" s="3" t="s">
        <v>39</v>
      </c>
      <c r="R486" s="3" t="s">
        <v>40</v>
      </c>
      <c r="S486" s="55">
        <v>16160.9</v>
      </c>
      <c r="T486" s="55">
        <v>2864.2764000000002</v>
      </c>
      <c r="U486" s="55">
        <v>982.44809999999995</v>
      </c>
      <c r="V486" s="55">
        <v>13296.623600000001</v>
      </c>
      <c r="W486" s="3">
        <v>18</v>
      </c>
    </row>
    <row r="487" spans="1:23" x14ac:dyDescent="0.35">
      <c r="A487" s="3" t="s">
        <v>421</v>
      </c>
      <c r="B487" s="3" t="s">
        <v>422</v>
      </c>
      <c r="C487" s="3" t="s">
        <v>93</v>
      </c>
      <c r="D487" s="3" t="s">
        <v>45</v>
      </c>
      <c r="E487" s="3" t="s">
        <v>27</v>
      </c>
      <c r="F487" s="3" t="s">
        <v>46</v>
      </c>
      <c r="G487" s="3" t="s">
        <v>47</v>
      </c>
      <c r="H487" s="3" t="s">
        <v>30</v>
      </c>
      <c r="I487" s="3" t="s">
        <v>31</v>
      </c>
      <c r="J487" s="3" t="s">
        <v>32</v>
      </c>
      <c r="K487" s="3" t="s">
        <v>33</v>
      </c>
      <c r="L487" s="3" t="s">
        <v>51</v>
      </c>
      <c r="M487" s="3" t="s">
        <v>94</v>
      </c>
      <c r="N487" s="3" t="s">
        <v>95</v>
      </c>
      <c r="O487" s="3" t="s">
        <v>96</v>
      </c>
      <c r="P487" s="3" t="s">
        <v>97</v>
      </c>
      <c r="Q487" s="3" t="s">
        <v>39</v>
      </c>
      <c r="R487" s="3" t="s">
        <v>40</v>
      </c>
      <c r="S487" s="55">
        <v>181743.4</v>
      </c>
      <c r="T487" s="55">
        <v>27545.2451</v>
      </c>
      <c r="U487" s="55">
        <v>17330.525000000001</v>
      </c>
      <c r="V487" s="55">
        <v>154198.15489999999</v>
      </c>
      <c r="W487" s="3">
        <v>15</v>
      </c>
    </row>
    <row r="488" spans="1:23" x14ac:dyDescent="0.35">
      <c r="A488" s="3" t="s">
        <v>421</v>
      </c>
      <c r="B488" s="3" t="s">
        <v>422</v>
      </c>
      <c r="C488" s="3" t="s">
        <v>98</v>
      </c>
      <c r="D488" s="3" t="s">
        <v>45</v>
      </c>
      <c r="E488" s="3" t="s">
        <v>27</v>
      </c>
      <c r="F488" s="3" t="s">
        <v>46</v>
      </c>
      <c r="G488" s="3" t="s">
        <v>47</v>
      </c>
      <c r="H488" s="3" t="s">
        <v>30</v>
      </c>
      <c r="I488" s="3" t="s">
        <v>31</v>
      </c>
      <c r="J488" s="3" t="s">
        <v>32</v>
      </c>
      <c r="K488" s="3" t="s">
        <v>33</v>
      </c>
      <c r="L488" s="3" t="s">
        <v>51</v>
      </c>
      <c r="M488" s="3" t="s">
        <v>94</v>
      </c>
      <c r="N488" s="3" t="s">
        <v>95</v>
      </c>
      <c r="O488" s="3" t="s">
        <v>99</v>
      </c>
      <c r="P488" s="3" t="s">
        <v>100</v>
      </c>
      <c r="Q488" s="3" t="s">
        <v>39</v>
      </c>
      <c r="R488" s="3" t="s">
        <v>40</v>
      </c>
      <c r="S488" s="55">
        <v>54700.4</v>
      </c>
      <c r="T488" s="55">
        <v>5725.6437999999998</v>
      </c>
      <c r="U488" s="55">
        <v>3573.6522</v>
      </c>
      <c r="V488" s="55">
        <v>48974.756200000003</v>
      </c>
      <c r="W488" s="3">
        <v>10</v>
      </c>
    </row>
    <row r="489" spans="1:23" x14ac:dyDescent="0.35">
      <c r="A489" s="3" t="s">
        <v>421</v>
      </c>
      <c r="B489" s="3" t="s">
        <v>422</v>
      </c>
      <c r="C489" s="3" t="s">
        <v>101</v>
      </c>
      <c r="D489" s="3" t="s">
        <v>45</v>
      </c>
      <c r="E489" s="3" t="s">
        <v>27</v>
      </c>
      <c r="F489" s="3" t="s">
        <v>46</v>
      </c>
      <c r="G489" s="3" t="s">
        <v>47</v>
      </c>
      <c r="H489" s="3" t="s">
        <v>30</v>
      </c>
      <c r="I489" s="3" t="s">
        <v>31</v>
      </c>
      <c r="J489" s="3" t="s">
        <v>32</v>
      </c>
      <c r="K489" s="3" t="s">
        <v>33</v>
      </c>
      <c r="L489" s="3" t="s">
        <v>51</v>
      </c>
      <c r="M489" s="3" t="s">
        <v>94</v>
      </c>
      <c r="N489" s="3" t="s">
        <v>95</v>
      </c>
      <c r="O489" s="3" t="s">
        <v>37</v>
      </c>
      <c r="P489" s="3" t="s">
        <v>38</v>
      </c>
      <c r="Q489" s="3" t="s">
        <v>39</v>
      </c>
      <c r="R489" s="3" t="s">
        <v>40</v>
      </c>
      <c r="S489" s="55">
        <v>2625.5</v>
      </c>
      <c r="T489" s="55">
        <v>837.32889999999998</v>
      </c>
      <c r="U489" s="55">
        <v>836.19809999999995</v>
      </c>
      <c r="V489" s="55">
        <v>1788.1711</v>
      </c>
      <c r="W489" s="3">
        <v>32</v>
      </c>
    </row>
    <row r="490" spans="1:23" x14ac:dyDescent="0.35">
      <c r="A490" s="3" t="s">
        <v>421</v>
      </c>
      <c r="B490" s="3" t="s">
        <v>422</v>
      </c>
      <c r="C490" s="3" t="s">
        <v>102</v>
      </c>
      <c r="D490" s="3" t="s">
        <v>45</v>
      </c>
      <c r="E490" s="3" t="s">
        <v>27</v>
      </c>
      <c r="F490" s="3" t="s">
        <v>46</v>
      </c>
      <c r="G490" s="3" t="s">
        <v>47</v>
      </c>
      <c r="H490" s="3" t="s">
        <v>30</v>
      </c>
      <c r="I490" s="3" t="s">
        <v>31</v>
      </c>
      <c r="J490" s="3" t="s">
        <v>32</v>
      </c>
      <c r="K490" s="3" t="s">
        <v>33</v>
      </c>
      <c r="L490" s="3" t="s">
        <v>51</v>
      </c>
      <c r="M490" s="3" t="s">
        <v>94</v>
      </c>
      <c r="N490" s="3" t="s">
        <v>95</v>
      </c>
      <c r="O490" s="3" t="s">
        <v>103</v>
      </c>
      <c r="P490" s="3" t="s">
        <v>104</v>
      </c>
      <c r="Q490" s="3" t="s">
        <v>39</v>
      </c>
      <c r="R490" s="3" t="s">
        <v>40</v>
      </c>
      <c r="S490" s="55">
        <v>3.7</v>
      </c>
      <c r="T490" s="55">
        <v>0.47589999999999999</v>
      </c>
      <c r="U490" s="55">
        <v>0</v>
      </c>
      <c r="V490" s="55">
        <v>3.2241</v>
      </c>
      <c r="W490" s="3">
        <v>13</v>
      </c>
    </row>
    <row r="491" spans="1:23" x14ac:dyDescent="0.35">
      <c r="A491" s="3" t="s">
        <v>421</v>
      </c>
      <c r="B491" s="3" t="s">
        <v>422</v>
      </c>
      <c r="C491" s="3" t="s">
        <v>105</v>
      </c>
      <c r="D491" s="3" t="s">
        <v>45</v>
      </c>
      <c r="E491" s="3" t="s">
        <v>27</v>
      </c>
      <c r="F491" s="3" t="s">
        <v>46</v>
      </c>
      <c r="G491" s="3" t="s">
        <v>47</v>
      </c>
      <c r="H491" s="3" t="s">
        <v>30</v>
      </c>
      <c r="I491" s="3" t="s">
        <v>31</v>
      </c>
      <c r="J491" s="3" t="s">
        <v>32</v>
      </c>
      <c r="K491" s="3" t="s">
        <v>33</v>
      </c>
      <c r="L491" s="3" t="s">
        <v>51</v>
      </c>
      <c r="M491" s="3" t="s">
        <v>106</v>
      </c>
      <c r="N491" s="3" t="s">
        <v>107</v>
      </c>
      <c r="O491" s="3" t="s">
        <v>108</v>
      </c>
      <c r="P491" s="3" t="s">
        <v>109</v>
      </c>
      <c r="Q491" s="3" t="s">
        <v>39</v>
      </c>
      <c r="R491" s="3" t="s">
        <v>40</v>
      </c>
      <c r="S491" s="55">
        <v>70925.600000000006</v>
      </c>
      <c r="T491" s="55">
        <v>9108.6</v>
      </c>
      <c r="U491" s="55">
        <v>6050.0201999999999</v>
      </c>
      <c r="V491" s="55">
        <v>61817</v>
      </c>
      <c r="W491" s="3">
        <v>13</v>
      </c>
    </row>
    <row r="492" spans="1:23" x14ac:dyDescent="0.35">
      <c r="A492" s="3" t="s">
        <v>421</v>
      </c>
      <c r="B492" s="3" t="s">
        <v>422</v>
      </c>
      <c r="C492" s="3" t="s">
        <v>110</v>
      </c>
      <c r="D492" s="3" t="s">
        <v>45</v>
      </c>
      <c r="E492" s="3" t="s">
        <v>27</v>
      </c>
      <c r="F492" s="3" t="s">
        <v>46</v>
      </c>
      <c r="G492" s="3" t="s">
        <v>47</v>
      </c>
      <c r="H492" s="3" t="s">
        <v>30</v>
      </c>
      <c r="I492" s="3" t="s">
        <v>31</v>
      </c>
      <c r="J492" s="3" t="s">
        <v>32</v>
      </c>
      <c r="K492" s="3" t="s">
        <v>33</v>
      </c>
      <c r="L492" s="3" t="s">
        <v>51</v>
      </c>
      <c r="M492" s="3" t="s">
        <v>111</v>
      </c>
      <c r="N492" s="3" t="s">
        <v>112</v>
      </c>
      <c r="O492" s="3" t="s">
        <v>37</v>
      </c>
      <c r="P492" s="3" t="s">
        <v>38</v>
      </c>
      <c r="Q492" s="3" t="s">
        <v>39</v>
      </c>
      <c r="R492" s="3" t="s">
        <v>40</v>
      </c>
      <c r="S492" s="55">
        <v>6627.5</v>
      </c>
      <c r="T492" s="55">
        <v>251.1336</v>
      </c>
      <c r="U492" s="55">
        <v>251.1336</v>
      </c>
      <c r="V492" s="55">
        <v>6376.3663999999999</v>
      </c>
      <c r="W492" s="3">
        <v>4</v>
      </c>
    </row>
    <row r="493" spans="1:23" x14ac:dyDescent="0.35">
      <c r="A493" s="3" t="s">
        <v>421</v>
      </c>
      <c r="B493" s="3" t="s">
        <v>422</v>
      </c>
      <c r="C493" s="3" t="s">
        <v>113</v>
      </c>
      <c r="D493" s="3" t="s">
        <v>114</v>
      </c>
      <c r="E493" s="3" t="s">
        <v>115</v>
      </c>
      <c r="F493" s="3" t="s">
        <v>116</v>
      </c>
      <c r="G493" s="3" t="s">
        <v>117</v>
      </c>
      <c r="H493" s="3" t="s">
        <v>48</v>
      </c>
      <c r="I493" s="3" t="s">
        <v>49</v>
      </c>
      <c r="J493" s="3" t="s">
        <v>50</v>
      </c>
      <c r="K493" s="3" t="s">
        <v>33</v>
      </c>
      <c r="L493" s="3" t="s">
        <v>51</v>
      </c>
      <c r="M493" s="3" t="s">
        <v>118</v>
      </c>
      <c r="N493" s="3" t="s">
        <v>119</v>
      </c>
      <c r="O493" s="3" t="s">
        <v>37</v>
      </c>
      <c r="P493" s="3" t="s">
        <v>38</v>
      </c>
      <c r="Q493" s="3" t="s">
        <v>39</v>
      </c>
      <c r="R493" s="3" t="s">
        <v>40</v>
      </c>
      <c r="S493" s="55">
        <v>4082.8</v>
      </c>
      <c r="T493" s="55">
        <v>0</v>
      </c>
      <c r="U493" s="55">
        <v>0</v>
      </c>
      <c r="V493" s="55">
        <v>4082.8</v>
      </c>
      <c r="W493" s="3">
        <v>0</v>
      </c>
    </row>
    <row r="494" spans="1:23" x14ac:dyDescent="0.35">
      <c r="A494" s="3" t="s">
        <v>421</v>
      </c>
      <c r="B494" s="3" t="s">
        <v>422</v>
      </c>
      <c r="C494" s="3" t="s">
        <v>120</v>
      </c>
      <c r="D494" s="3" t="s">
        <v>114</v>
      </c>
      <c r="E494" s="3" t="s">
        <v>115</v>
      </c>
      <c r="F494" s="3" t="s">
        <v>116</v>
      </c>
      <c r="G494" s="3" t="s">
        <v>117</v>
      </c>
      <c r="H494" s="3" t="s">
        <v>48</v>
      </c>
      <c r="I494" s="3" t="s">
        <v>49</v>
      </c>
      <c r="J494" s="3" t="s">
        <v>50</v>
      </c>
      <c r="K494" s="3" t="s">
        <v>33</v>
      </c>
      <c r="L494" s="3" t="s">
        <v>51</v>
      </c>
      <c r="M494" s="3" t="s">
        <v>118</v>
      </c>
      <c r="N494" s="3" t="s">
        <v>119</v>
      </c>
      <c r="O494" s="3" t="s">
        <v>42</v>
      </c>
      <c r="P494" s="3" t="s">
        <v>43</v>
      </c>
      <c r="Q494" s="3" t="s">
        <v>39</v>
      </c>
      <c r="R494" s="3" t="s">
        <v>40</v>
      </c>
      <c r="S494" s="55">
        <v>778.7</v>
      </c>
      <c r="T494" s="55">
        <v>0</v>
      </c>
      <c r="U494" s="55">
        <v>0</v>
      </c>
      <c r="V494" s="55">
        <v>778.7</v>
      </c>
      <c r="W494" s="3">
        <v>0</v>
      </c>
    </row>
    <row r="495" spans="1:23" x14ac:dyDescent="0.35">
      <c r="A495" s="3" t="s">
        <v>421</v>
      </c>
      <c r="B495" s="3" t="s">
        <v>422</v>
      </c>
      <c r="C495" s="3" t="s">
        <v>121</v>
      </c>
      <c r="D495" s="3" t="s">
        <v>114</v>
      </c>
      <c r="E495" s="3" t="s">
        <v>115</v>
      </c>
      <c r="F495" s="3" t="s">
        <v>116</v>
      </c>
      <c r="G495" s="3" t="s">
        <v>117</v>
      </c>
      <c r="H495" s="3" t="s">
        <v>48</v>
      </c>
      <c r="I495" s="3" t="s">
        <v>49</v>
      </c>
      <c r="J495" s="3" t="s">
        <v>50</v>
      </c>
      <c r="K495" s="3" t="s">
        <v>33</v>
      </c>
      <c r="L495" s="3" t="s">
        <v>51</v>
      </c>
      <c r="M495" s="3" t="s">
        <v>118</v>
      </c>
      <c r="N495" s="3" t="s">
        <v>119</v>
      </c>
      <c r="O495" s="3" t="s">
        <v>122</v>
      </c>
      <c r="P495" s="3" t="s">
        <v>123</v>
      </c>
      <c r="Q495" s="3" t="s">
        <v>39</v>
      </c>
      <c r="R495" s="3" t="s">
        <v>40</v>
      </c>
      <c r="S495" s="55">
        <v>5312.2</v>
      </c>
      <c r="T495" s="55">
        <v>1212.2782</v>
      </c>
      <c r="U495" s="55">
        <v>1212.2782</v>
      </c>
      <c r="V495" s="55">
        <v>4099.9218000000001</v>
      </c>
      <c r="W495" s="3">
        <v>23</v>
      </c>
    </row>
    <row r="496" spans="1:23" x14ac:dyDescent="0.35">
      <c r="A496" s="3" t="s">
        <v>421</v>
      </c>
      <c r="B496" s="3" t="s">
        <v>422</v>
      </c>
      <c r="C496" s="3" t="s">
        <v>124</v>
      </c>
      <c r="D496" s="3" t="s">
        <v>114</v>
      </c>
      <c r="E496" s="3" t="s">
        <v>115</v>
      </c>
      <c r="F496" s="3" t="s">
        <v>116</v>
      </c>
      <c r="G496" s="3" t="s">
        <v>117</v>
      </c>
      <c r="H496" s="3" t="s">
        <v>48</v>
      </c>
      <c r="I496" s="3" t="s">
        <v>49</v>
      </c>
      <c r="J496" s="3" t="s">
        <v>50</v>
      </c>
      <c r="K496" s="3" t="s">
        <v>33</v>
      </c>
      <c r="L496" s="3" t="s">
        <v>51</v>
      </c>
      <c r="M496" s="3" t="s">
        <v>118</v>
      </c>
      <c r="N496" s="3" t="s">
        <v>119</v>
      </c>
      <c r="O496" s="3" t="s">
        <v>125</v>
      </c>
      <c r="P496" s="3" t="s">
        <v>126</v>
      </c>
      <c r="Q496" s="3" t="s">
        <v>39</v>
      </c>
      <c r="R496" s="3" t="s">
        <v>40</v>
      </c>
      <c r="S496" s="55">
        <v>1748.2</v>
      </c>
      <c r="T496" s="55">
        <v>317.84449999999998</v>
      </c>
      <c r="U496" s="55">
        <v>317.84449999999998</v>
      </c>
      <c r="V496" s="55">
        <v>1430.3554999999999</v>
      </c>
      <c r="W496" s="3">
        <v>18</v>
      </c>
    </row>
    <row r="497" spans="1:23" x14ac:dyDescent="0.35">
      <c r="A497" s="3" t="s">
        <v>421</v>
      </c>
      <c r="B497" s="3" t="s">
        <v>422</v>
      </c>
      <c r="C497" s="3" t="s">
        <v>130</v>
      </c>
      <c r="D497" s="3" t="s">
        <v>131</v>
      </c>
      <c r="E497" s="3" t="s">
        <v>115</v>
      </c>
      <c r="F497" s="3" t="s">
        <v>132</v>
      </c>
      <c r="G497" s="3" t="s">
        <v>133</v>
      </c>
      <c r="H497" s="3" t="s">
        <v>48</v>
      </c>
      <c r="I497" s="3" t="s">
        <v>49</v>
      </c>
      <c r="J497" s="3" t="s">
        <v>50</v>
      </c>
      <c r="K497" s="3" t="s">
        <v>33</v>
      </c>
      <c r="L497" s="3" t="s">
        <v>51</v>
      </c>
      <c r="M497" s="3" t="s">
        <v>134</v>
      </c>
      <c r="N497" s="3" t="s">
        <v>135</v>
      </c>
      <c r="O497" s="3" t="s">
        <v>37</v>
      </c>
      <c r="P497" s="3" t="s">
        <v>38</v>
      </c>
      <c r="Q497" s="3" t="s">
        <v>39</v>
      </c>
      <c r="R497" s="3" t="s">
        <v>40</v>
      </c>
      <c r="S497" s="55">
        <v>22.1</v>
      </c>
      <c r="T497" s="55">
        <v>0</v>
      </c>
      <c r="U497" s="55">
        <v>0</v>
      </c>
      <c r="V497" s="55">
        <v>22.1</v>
      </c>
      <c r="W497" s="3">
        <v>0</v>
      </c>
    </row>
    <row r="498" spans="1:23" x14ac:dyDescent="0.35">
      <c r="A498" s="3" t="s">
        <v>421</v>
      </c>
      <c r="B498" s="3" t="s">
        <v>422</v>
      </c>
      <c r="C498" s="3" t="s">
        <v>448</v>
      </c>
      <c r="D498" s="3" t="s">
        <v>137</v>
      </c>
      <c r="E498" s="3" t="s">
        <v>138</v>
      </c>
      <c r="F498" s="3" t="s">
        <v>139</v>
      </c>
      <c r="G498" s="3" t="s">
        <v>140</v>
      </c>
      <c r="H498" s="3" t="s">
        <v>48</v>
      </c>
      <c r="I498" s="3" t="s">
        <v>49</v>
      </c>
      <c r="J498" s="3" t="s">
        <v>50</v>
      </c>
      <c r="K498" s="3" t="s">
        <v>33</v>
      </c>
      <c r="L498" s="3" t="s">
        <v>51</v>
      </c>
      <c r="M498" s="3" t="s">
        <v>446</v>
      </c>
      <c r="N498" s="3" t="s">
        <v>447</v>
      </c>
      <c r="O498" s="3" t="s">
        <v>197</v>
      </c>
      <c r="P498" s="3" t="s">
        <v>198</v>
      </c>
      <c r="Q498" s="3" t="s">
        <v>39</v>
      </c>
      <c r="R498" s="3" t="s">
        <v>40</v>
      </c>
      <c r="S498" s="55">
        <v>32862.199999999997</v>
      </c>
      <c r="T498" s="55">
        <v>0</v>
      </c>
      <c r="U498" s="55">
        <v>0</v>
      </c>
      <c r="V498" s="55">
        <v>32862.199999999997</v>
      </c>
      <c r="W498" s="3">
        <v>0</v>
      </c>
    </row>
    <row r="499" spans="1:23" x14ac:dyDescent="0.35">
      <c r="A499" s="3" t="s">
        <v>421</v>
      </c>
      <c r="B499" s="3" t="s">
        <v>422</v>
      </c>
      <c r="C499" s="3" t="s">
        <v>136</v>
      </c>
      <c r="D499" s="3" t="s">
        <v>137</v>
      </c>
      <c r="E499" s="3" t="s">
        <v>138</v>
      </c>
      <c r="F499" s="3" t="s">
        <v>139</v>
      </c>
      <c r="G499" s="3" t="s">
        <v>140</v>
      </c>
      <c r="H499" s="3" t="s">
        <v>30</v>
      </c>
      <c r="I499" s="3" t="s">
        <v>31</v>
      </c>
      <c r="J499" s="3" t="s">
        <v>32</v>
      </c>
      <c r="K499" s="3" t="s">
        <v>33</v>
      </c>
      <c r="L499" s="3" t="s">
        <v>51</v>
      </c>
      <c r="M499" s="3" t="s">
        <v>141</v>
      </c>
      <c r="N499" s="3" t="s">
        <v>142</v>
      </c>
      <c r="O499" s="3" t="s">
        <v>83</v>
      </c>
      <c r="P499" s="3" t="s">
        <v>84</v>
      </c>
      <c r="Q499" s="3" t="s">
        <v>39</v>
      </c>
      <c r="R499" s="3" t="s">
        <v>40</v>
      </c>
      <c r="S499" s="55">
        <v>5402.8</v>
      </c>
      <c r="T499" s="55">
        <v>1388.6061</v>
      </c>
      <c r="U499" s="55">
        <v>1331.9248</v>
      </c>
      <c r="V499" s="55">
        <v>4014.1939000000002</v>
      </c>
      <c r="W499" s="3">
        <v>26</v>
      </c>
    </row>
    <row r="500" spans="1:23" x14ac:dyDescent="0.35">
      <c r="A500" s="3" t="s">
        <v>421</v>
      </c>
      <c r="B500" s="3" t="s">
        <v>422</v>
      </c>
      <c r="C500" s="3" t="s">
        <v>143</v>
      </c>
      <c r="D500" s="3" t="s">
        <v>144</v>
      </c>
      <c r="E500" s="3" t="s">
        <v>145</v>
      </c>
      <c r="F500" s="3" t="s">
        <v>146</v>
      </c>
      <c r="G500" s="3" t="s">
        <v>147</v>
      </c>
      <c r="H500" s="3" t="s">
        <v>116</v>
      </c>
      <c r="I500" s="3" t="s">
        <v>148</v>
      </c>
      <c r="J500" s="3" t="s">
        <v>149</v>
      </c>
      <c r="K500" s="3" t="s">
        <v>33</v>
      </c>
      <c r="L500" s="3" t="s">
        <v>51</v>
      </c>
      <c r="M500" s="3" t="s">
        <v>150</v>
      </c>
      <c r="N500" s="3" t="s">
        <v>151</v>
      </c>
      <c r="O500" s="3" t="s">
        <v>37</v>
      </c>
      <c r="P500" s="3" t="s">
        <v>38</v>
      </c>
      <c r="Q500" s="3" t="s">
        <v>39</v>
      </c>
      <c r="R500" s="3" t="s">
        <v>40</v>
      </c>
      <c r="S500" s="55">
        <v>5247.5</v>
      </c>
      <c r="T500" s="55">
        <v>0</v>
      </c>
      <c r="U500" s="55">
        <v>0</v>
      </c>
      <c r="V500" s="55">
        <v>5247.5</v>
      </c>
      <c r="W500" s="3">
        <v>0</v>
      </c>
    </row>
    <row r="501" spans="1:23" x14ac:dyDescent="0.35">
      <c r="A501" s="3" t="s">
        <v>421</v>
      </c>
      <c r="B501" s="3" t="s">
        <v>422</v>
      </c>
      <c r="C501" s="3" t="s">
        <v>152</v>
      </c>
      <c r="D501" s="3" t="s">
        <v>144</v>
      </c>
      <c r="E501" s="3" t="s">
        <v>145</v>
      </c>
      <c r="F501" s="3" t="s">
        <v>146</v>
      </c>
      <c r="G501" s="3" t="s">
        <v>147</v>
      </c>
      <c r="H501" s="3" t="s">
        <v>116</v>
      </c>
      <c r="I501" s="3" t="s">
        <v>148</v>
      </c>
      <c r="J501" s="3" t="s">
        <v>149</v>
      </c>
      <c r="K501" s="3" t="s">
        <v>33</v>
      </c>
      <c r="L501" s="3" t="s">
        <v>51</v>
      </c>
      <c r="M501" s="3" t="s">
        <v>153</v>
      </c>
      <c r="N501" s="3" t="s">
        <v>154</v>
      </c>
      <c r="O501" s="3" t="s">
        <v>37</v>
      </c>
      <c r="P501" s="3" t="s">
        <v>38</v>
      </c>
      <c r="Q501" s="3" t="s">
        <v>39</v>
      </c>
      <c r="R501" s="3" t="s">
        <v>40</v>
      </c>
      <c r="S501" s="55">
        <v>58301.1</v>
      </c>
      <c r="T501" s="55">
        <v>0</v>
      </c>
      <c r="U501" s="55">
        <v>0</v>
      </c>
      <c r="V501" s="55">
        <v>58301.1</v>
      </c>
      <c r="W501" s="3">
        <v>0</v>
      </c>
    </row>
    <row r="502" spans="1:23" x14ac:dyDescent="0.35">
      <c r="A502" s="3" t="s">
        <v>421</v>
      </c>
      <c r="B502" s="3" t="s">
        <v>422</v>
      </c>
      <c r="C502" s="3" t="s">
        <v>155</v>
      </c>
      <c r="D502" s="3" t="s">
        <v>144</v>
      </c>
      <c r="E502" s="3" t="s">
        <v>145</v>
      </c>
      <c r="F502" s="3" t="s">
        <v>146</v>
      </c>
      <c r="G502" s="3" t="s">
        <v>147</v>
      </c>
      <c r="H502" s="3" t="s">
        <v>116</v>
      </c>
      <c r="I502" s="3" t="s">
        <v>148</v>
      </c>
      <c r="J502" s="3" t="s">
        <v>149</v>
      </c>
      <c r="K502" s="3" t="s">
        <v>33</v>
      </c>
      <c r="L502" s="3" t="s">
        <v>51</v>
      </c>
      <c r="M502" s="3" t="s">
        <v>156</v>
      </c>
      <c r="N502" s="3" t="s">
        <v>157</v>
      </c>
      <c r="O502" s="3" t="s">
        <v>37</v>
      </c>
      <c r="P502" s="3" t="s">
        <v>38</v>
      </c>
      <c r="Q502" s="3" t="s">
        <v>39</v>
      </c>
      <c r="R502" s="3" t="s">
        <v>40</v>
      </c>
      <c r="S502" s="55">
        <v>1465.6</v>
      </c>
      <c r="T502" s="55">
        <v>0</v>
      </c>
      <c r="U502" s="55">
        <v>0</v>
      </c>
      <c r="V502" s="55">
        <v>1465.6</v>
      </c>
      <c r="W502" s="3">
        <v>0</v>
      </c>
    </row>
    <row r="503" spans="1:23" x14ac:dyDescent="0.35">
      <c r="A503" s="3" t="s">
        <v>421</v>
      </c>
      <c r="B503" s="3" t="s">
        <v>422</v>
      </c>
      <c r="C503" s="3" t="s">
        <v>158</v>
      </c>
      <c r="D503" s="3" t="s">
        <v>144</v>
      </c>
      <c r="E503" s="3" t="s">
        <v>145</v>
      </c>
      <c r="F503" s="3" t="s">
        <v>146</v>
      </c>
      <c r="G503" s="3" t="s">
        <v>147</v>
      </c>
      <c r="H503" s="3" t="s">
        <v>116</v>
      </c>
      <c r="I503" s="3" t="s">
        <v>148</v>
      </c>
      <c r="J503" s="3" t="s">
        <v>149</v>
      </c>
      <c r="K503" s="3" t="s">
        <v>33</v>
      </c>
      <c r="L503" s="3" t="s">
        <v>51</v>
      </c>
      <c r="M503" s="3" t="s">
        <v>156</v>
      </c>
      <c r="N503" s="3" t="s">
        <v>157</v>
      </c>
      <c r="O503" s="3" t="s">
        <v>125</v>
      </c>
      <c r="P503" s="3" t="s">
        <v>126</v>
      </c>
      <c r="Q503" s="3" t="s">
        <v>39</v>
      </c>
      <c r="R503" s="3" t="s">
        <v>40</v>
      </c>
      <c r="S503" s="55">
        <v>105638.8</v>
      </c>
      <c r="T503" s="55">
        <v>22238.394100000001</v>
      </c>
      <c r="U503" s="55">
        <v>15966.7745</v>
      </c>
      <c r="V503" s="55">
        <v>83400.405899999998</v>
      </c>
      <c r="W503" s="3">
        <v>21</v>
      </c>
    </row>
    <row r="504" spans="1:23" x14ac:dyDescent="0.35">
      <c r="A504" s="3" t="s">
        <v>421</v>
      </c>
      <c r="B504" s="3" t="s">
        <v>422</v>
      </c>
      <c r="C504" s="3" t="s">
        <v>159</v>
      </c>
      <c r="D504" s="3" t="s">
        <v>144</v>
      </c>
      <c r="E504" s="3" t="s">
        <v>145</v>
      </c>
      <c r="F504" s="3" t="s">
        <v>146</v>
      </c>
      <c r="G504" s="3" t="s">
        <v>147</v>
      </c>
      <c r="H504" s="3" t="s">
        <v>116</v>
      </c>
      <c r="I504" s="3" t="s">
        <v>148</v>
      </c>
      <c r="J504" s="3" t="s">
        <v>149</v>
      </c>
      <c r="K504" s="3" t="s">
        <v>33</v>
      </c>
      <c r="L504" s="3" t="s">
        <v>51</v>
      </c>
      <c r="M504" s="3" t="s">
        <v>160</v>
      </c>
      <c r="N504" s="3" t="s">
        <v>161</v>
      </c>
      <c r="O504" s="3" t="s">
        <v>37</v>
      </c>
      <c r="P504" s="3" t="s">
        <v>38</v>
      </c>
      <c r="Q504" s="3" t="s">
        <v>39</v>
      </c>
      <c r="R504" s="3" t="s">
        <v>40</v>
      </c>
      <c r="S504" s="55">
        <v>24678</v>
      </c>
      <c r="T504" s="55">
        <v>31.9129</v>
      </c>
      <c r="U504" s="55">
        <v>31.9129</v>
      </c>
      <c r="V504" s="55">
        <v>24646.087100000001</v>
      </c>
      <c r="W504" s="3">
        <v>0</v>
      </c>
    </row>
    <row r="505" spans="1:23" x14ac:dyDescent="0.35">
      <c r="A505" s="3" t="s">
        <v>421</v>
      </c>
      <c r="B505" s="3" t="s">
        <v>422</v>
      </c>
      <c r="C505" s="3" t="s">
        <v>162</v>
      </c>
      <c r="D505" s="3" t="s">
        <v>144</v>
      </c>
      <c r="E505" s="3" t="s">
        <v>145</v>
      </c>
      <c r="F505" s="3" t="s">
        <v>146</v>
      </c>
      <c r="G505" s="3" t="s">
        <v>147</v>
      </c>
      <c r="H505" s="3" t="s">
        <v>116</v>
      </c>
      <c r="I505" s="3" t="s">
        <v>148</v>
      </c>
      <c r="J505" s="3" t="s">
        <v>149</v>
      </c>
      <c r="K505" s="3" t="s">
        <v>33</v>
      </c>
      <c r="L505" s="3" t="s">
        <v>51</v>
      </c>
      <c r="M505" s="3" t="s">
        <v>160</v>
      </c>
      <c r="N505" s="3" t="s">
        <v>161</v>
      </c>
      <c r="O505" s="3" t="s">
        <v>42</v>
      </c>
      <c r="P505" s="3" t="s">
        <v>43</v>
      </c>
      <c r="Q505" s="3" t="s">
        <v>39</v>
      </c>
      <c r="R505" s="3" t="s">
        <v>40</v>
      </c>
      <c r="S505" s="55">
        <v>6321.4</v>
      </c>
      <c r="T505" s="55">
        <v>0</v>
      </c>
      <c r="U505" s="55">
        <v>0</v>
      </c>
      <c r="V505" s="55">
        <v>6321.4</v>
      </c>
      <c r="W505" s="3">
        <v>0</v>
      </c>
    </row>
    <row r="506" spans="1:23" x14ac:dyDescent="0.35">
      <c r="A506" s="3" t="s">
        <v>421</v>
      </c>
      <c r="B506" s="3" t="s">
        <v>422</v>
      </c>
      <c r="C506" s="3" t="s">
        <v>163</v>
      </c>
      <c r="D506" s="3" t="s">
        <v>144</v>
      </c>
      <c r="E506" s="3" t="s">
        <v>145</v>
      </c>
      <c r="F506" s="3" t="s">
        <v>146</v>
      </c>
      <c r="G506" s="3" t="s">
        <v>147</v>
      </c>
      <c r="H506" s="3" t="s">
        <v>116</v>
      </c>
      <c r="I506" s="3" t="s">
        <v>148</v>
      </c>
      <c r="J506" s="3" t="s">
        <v>149</v>
      </c>
      <c r="K506" s="3" t="s">
        <v>33</v>
      </c>
      <c r="L506" s="3" t="s">
        <v>51</v>
      </c>
      <c r="M506" s="3" t="s">
        <v>160</v>
      </c>
      <c r="N506" s="3" t="s">
        <v>161</v>
      </c>
      <c r="O506" s="3" t="s">
        <v>125</v>
      </c>
      <c r="P506" s="3" t="s">
        <v>126</v>
      </c>
      <c r="Q506" s="3" t="s">
        <v>39</v>
      </c>
      <c r="R506" s="3" t="s">
        <v>40</v>
      </c>
      <c r="S506" s="55">
        <v>4785.7</v>
      </c>
      <c r="T506" s="55">
        <v>1117.9674</v>
      </c>
      <c r="U506" s="55">
        <v>745.48159999999996</v>
      </c>
      <c r="V506" s="55">
        <v>3667.7325999999998</v>
      </c>
      <c r="W506" s="3">
        <v>23</v>
      </c>
    </row>
    <row r="507" spans="1:23" x14ac:dyDescent="0.35">
      <c r="A507" s="3" t="s">
        <v>421</v>
      </c>
      <c r="B507" s="3" t="s">
        <v>422</v>
      </c>
      <c r="C507" s="3" t="s">
        <v>423</v>
      </c>
      <c r="D507" s="3" t="s">
        <v>165</v>
      </c>
      <c r="E507" s="3" t="s">
        <v>145</v>
      </c>
      <c r="F507" s="3" t="s">
        <v>28</v>
      </c>
      <c r="G507" s="3" t="s">
        <v>166</v>
      </c>
      <c r="H507" s="3" t="s">
        <v>139</v>
      </c>
      <c r="I507" s="3" t="s">
        <v>167</v>
      </c>
      <c r="J507" s="3" t="s">
        <v>168</v>
      </c>
      <c r="K507" s="3" t="s">
        <v>33</v>
      </c>
      <c r="L507" s="3" t="s">
        <v>51</v>
      </c>
      <c r="M507" s="3" t="s">
        <v>424</v>
      </c>
      <c r="N507" s="3" t="s">
        <v>507</v>
      </c>
      <c r="O507" s="3" t="s">
        <v>37</v>
      </c>
      <c r="P507" s="3" t="s">
        <v>38</v>
      </c>
      <c r="Q507" s="3" t="s">
        <v>39</v>
      </c>
      <c r="R507" s="3" t="s">
        <v>40</v>
      </c>
      <c r="S507" s="55">
        <v>1500</v>
      </c>
      <c r="T507" s="55">
        <v>0</v>
      </c>
      <c r="U507" s="55">
        <v>0</v>
      </c>
      <c r="V507" s="55">
        <v>1500</v>
      </c>
      <c r="W507" s="3">
        <v>0</v>
      </c>
    </row>
    <row r="508" spans="1:23" x14ac:dyDescent="0.35">
      <c r="A508" s="3" t="s">
        <v>421</v>
      </c>
      <c r="B508" s="3" t="s">
        <v>422</v>
      </c>
      <c r="C508" s="3" t="s">
        <v>164</v>
      </c>
      <c r="D508" s="3" t="s">
        <v>165</v>
      </c>
      <c r="E508" s="3" t="s">
        <v>145</v>
      </c>
      <c r="F508" s="3" t="s">
        <v>28</v>
      </c>
      <c r="G508" s="3" t="s">
        <v>166</v>
      </c>
      <c r="H508" s="3" t="s">
        <v>139</v>
      </c>
      <c r="I508" s="3" t="s">
        <v>167</v>
      </c>
      <c r="J508" s="3" t="s">
        <v>168</v>
      </c>
      <c r="K508" s="3" t="s">
        <v>33</v>
      </c>
      <c r="L508" s="3" t="s">
        <v>51</v>
      </c>
      <c r="M508" s="3" t="s">
        <v>169</v>
      </c>
      <c r="N508" s="3" t="s">
        <v>170</v>
      </c>
      <c r="O508" s="3" t="s">
        <v>37</v>
      </c>
      <c r="P508" s="3" t="s">
        <v>38</v>
      </c>
      <c r="Q508" s="3" t="s">
        <v>39</v>
      </c>
      <c r="R508" s="3" t="s">
        <v>40</v>
      </c>
      <c r="S508" s="55">
        <v>52619.7</v>
      </c>
      <c r="T508" s="55">
        <v>0</v>
      </c>
      <c r="U508" s="55">
        <v>0</v>
      </c>
      <c r="V508" s="55">
        <v>52619.7</v>
      </c>
      <c r="W508" s="3">
        <v>0</v>
      </c>
    </row>
    <row r="509" spans="1:23" x14ac:dyDescent="0.35">
      <c r="A509" s="3" t="s">
        <v>421</v>
      </c>
      <c r="B509" s="3" t="s">
        <v>422</v>
      </c>
      <c r="C509" s="3" t="s">
        <v>171</v>
      </c>
      <c r="D509" s="3" t="s">
        <v>165</v>
      </c>
      <c r="E509" s="3" t="s">
        <v>145</v>
      </c>
      <c r="F509" s="3" t="s">
        <v>28</v>
      </c>
      <c r="G509" s="3" t="s">
        <v>166</v>
      </c>
      <c r="H509" s="3" t="s">
        <v>139</v>
      </c>
      <c r="I509" s="3" t="s">
        <v>167</v>
      </c>
      <c r="J509" s="3" t="s">
        <v>168</v>
      </c>
      <c r="K509" s="3" t="s">
        <v>33</v>
      </c>
      <c r="L509" s="3" t="s">
        <v>51</v>
      </c>
      <c r="M509" s="3" t="s">
        <v>172</v>
      </c>
      <c r="N509" s="3" t="s">
        <v>173</v>
      </c>
      <c r="O509" s="3" t="s">
        <v>37</v>
      </c>
      <c r="P509" s="3" t="s">
        <v>38</v>
      </c>
      <c r="Q509" s="3" t="s">
        <v>39</v>
      </c>
      <c r="R509" s="3" t="s">
        <v>40</v>
      </c>
      <c r="S509" s="55">
        <v>152084.6</v>
      </c>
      <c r="T509" s="55">
        <v>0</v>
      </c>
      <c r="U509" s="55">
        <v>0</v>
      </c>
      <c r="V509" s="55">
        <v>152084.6</v>
      </c>
      <c r="W509" s="3">
        <v>0</v>
      </c>
    </row>
    <row r="510" spans="1:23" x14ac:dyDescent="0.35">
      <c r="A510" s="3" t="s">
        <v>421</v>
      </c>
      <c r="B510" s="3" t="s">
        <v>422</v>
      </c>
      <c r="C510" s="3" t="s">
        <v>562</v>
      </c>
      <c r="D510" s="3" t="s">
        <v>165</v>
      </c>
      <c r="E510" s="3" t="s">
        <v>145</v>
      </c>
      <c r="F510" s="3" t="s">
        <v>28</v>
      </c>
      <c r="G510" s="3" t="s">
        <v>166</v>
      </c>
      <c r="H510" s="3" t="s">
        <v>139</v>
      </c>
      <c r="I510" s="3" t="s">
        <v>167</v>
      </c>
      <c r="J510" s="3" t="s">
        <v>168</v>
      </c>
      <c r="K510" s="3" t="s">
        <v>33</v>
      </c>
      <c r="L510" s="3" t="s">
        <v>51</v>
      </c>
      <c r="M510" s="3" t="s">
        <v>172</v>
      </c>
      <c r="N510" s="3" t="s">
        <v>173</v>
      </c>
      <c r="O510" s="3" t="s">
        <v>125</v>
      </c>
      <c r="P510" s="3" t="s">
        <v>126</v>
      </c>
      <c r="Q510" s="3" t="s">
        <v>39</v>
      </c>
      <c r="R510" s="3" t="s">
        <v>40</v>
      </c>
      <c r="S510" s="55">
        <v>142.80000000000001</v>
      </c>
      <c r="T510" s="55">
        <v>142.80000000000001</v>
      </c>
      <c r="U510" s="55">
        <v>142.80000000000001</v>
      </c>
      <c r="V510" s="55">
        <v>0</v>
      </c>
      <c r="W510" s="3">
        <v>100</v>
      </c>
    </row>
    <row r="511" spans="1:23" x14ac:dyDescent="0.35">
      <c r="A511" s="3" t="s">
        <v>421</v>
      </c>
      <c r="B511" s="3" t="s">
        <v>422</v>
      </c>
      <c r="C511" s="3" t="s">
        <v>174</v>
      </c>
      <c r="D511" s="3" t="s">
        <v>175</v>
      </c>
      <c r="E511" s="3" t="s">
        <v>145</v>
      </c>
      <c r="F511" s="3" t="s">
        <v>176</v>
      </c>
      <c r="G511" s="3" t="s">
        <v>177</v>
      </c>
      <c r="H511" s="3" t="s">
        <v>116</v>
      </c>
      <c r="I511" s="3" t="s">
        <v>148</v>
      </c>
      <c r="J511" s="3" t="s">
        <v>149</v>
      </c>
      <c r="K511" s="3" t="s">
        <v>33</v>
      </c>
      <c r="L511" s="3" t="s">
        <v>51</v>
      </c>
      <c r="M511" s="3" t="s">
        <v>178</v>
      </c>
      <c r="N511" s="3" t="s">
        <v>179</v>
      </c>
      <c r="O511" s="3" t="s">
        <v>96</v>
      </c>
      <c r="P511" s="3" t="s">
        <v>97</v>
      </c>
      <c r="Q511" s="3" t="s">
        <v>39</v>
      </c>
      <c r="R511" s="3" t="s">
        <v>40</v>
      </c>
      <c r="S511" s="55">
        <v>484074.8</v>
      </c>
      <c r="T511" s="55">
        <v>70749.790299999993</v>
      </c>
      <c r="U511" s="55">
        <v>37709.626199999999</v>
      </c>
      <c r="V511" s="55">
        <v>413325.0097</v>
      </c>
      <c r="W511" s="3">
        <v>15</v>
      </c>
    </row>
    <row r="512" spans="1:23" x14ac:dyDescent="0.35">
      <c r="A512" s="3" t="s">
        <v>421</v>
      </c>
      <c r="B512" s="3" t="s">
        <v>422</v>
      </c>
      <c r="C512" s="3" t="s">
        <v>180</v>
      </c>
      <c r="D512" s="3" t="s">
        <v>175</v>
      </c>
      <c r="E512" s="3" t="s">
        <v>145</v>
      </c>
      <c r="F512" s="3" t="s">
        <v>176</v>
      </c>
      <c r="G512" s="3" t="s">
        <v>177</v>
      </c>
      <c r="H512" s="3" t="s">
        <v>116</v>
      </c>
      <c r="I512" s="3" t="s">
        <v>148</v>
      </c>
      <c r="J512" s="3" t="s">
        <v>149</v>
      </c>
      <c r="K512" s="3" t="s">
        <v>33</v>
      </c>
      <c r="L512" s="3" t="s">
        <v>51</v>
      </c>
      <c r="M512" s="3" t="s">
        <v>178</v>
      </c>
      <c r="N512" s="3" t="s">
        <v>179</v>
      </c>
      <c r="O512" s="3" t="s">
        <v>99</v>
      </c>
      <c r="P512" s="3" t="s">
        <v>100</v>
      </c>
      <c r="Q512" s="3" t="s">
        <v>39</v>
      </c>
      <c r="R512" s="3" t="s">
        <v>40</v>
      </c>
      <c r="S512" s="55">
        <v>145129.20000000001</v>
      </c>
      <c r="T512" s="55">
        <v>21015.764599999999</v>
      </c>
      <c r="U512" s="55">
        <v>11716.674999999999</v>
      </c>
      <c r="V512" s="55">
        <v>124113.4354</v>
      </c>
      <c r="W512" s="3">
        <v>14</v>
      </c>
    </row>
    <row r="513" spans="1:23" x14ac:dyDescent="0.35">
      <c r="A513" s="3" t="s">
        <v>421</v>
      </c>
      <c r="B513" s="3" t="s">
        <v>422</v>
      </c>
      <c r="C513" s="3" t="s">
        <v>181</v>
      </c>
      <c r="D513" s="3" t="s">
        <v>175</v>
      </c>
      <c r="E513" s="3" t="s">
        <v>145</v>
      </c>
      <c r="F513" s="3" t="s">
        <v>176</v>
      </c>
      <c r="G513" s="3" t="s">
        <v>177</v>
      </c>
      <c r="H513" s="3" t="s">
        <v>116</v>
      </c>
      <c r="I513" s="3" t="s">
        <v>148</v>
      </c>
      <c r="J513" s="3" t="s">
        <v>149</v>
      </c>
      <c r="K513" s="3" t="s">
        <v>33</v>
      </c>
      <c r="L513" s="3" t="s">
        <v>51</v>
      </c>
      <c r="M513" s="3" t="s">
        <v>178</v>
      </c>
      <c r="N513" s="3" t="s">
        <v>179</v>
      </c>
      <c r="O513" s="3" t="s">
        <v>37</v>
      </c>
      <c r="P513" s="3" t="s">
        <v>38</v>
      </c>
      <c r="Q513" s="3" t="s">
        <v>39</v>
      </c>
      <c r="R513" s="3" t="s">
        <v>40</v>
      </c>
      <c r="S513" s="55">
        <v>106296.5</v>
      </c>
      <c r="T513" s="55">
        <v>4380.7551999999996</v>
      </c>
      <c r="U513" s="55">
        <v>4364.9144999999999</v>
      </c>
      <c r="V513" s="55">
        <v>101915.7448</v>
      </c>
      <c r="W513" s="3">
        <v>4</v>
      </c>
    </row>
    <row r="514" spans="1:23" x14ac:dyDescent="0.35">
      <c r="A514" s="3" t="s">
        <v>421</v>
      </c>
      <c r="B514" s="3" t="s">
        <v>422</v>
      </c>
      <c r="C514" s="3" t="s">
        <v>182</v>
      </c>
      <c r="D514" s="3" t="s">
        <v>175</v>
      </c>
      <c r="E514" s="3" t="s">
        <v>145</v>
      </c>
      <c r="F514" s="3" t="s">
        <v>176</v>
      </c>
      <c r="G514" s="3" t="s">
        <v>177</v>
      </c>
      <c r="H514" s="3" t="s">
        <v>116</v>
      </c>
      <c r="I514" s="3" t="s">
        <v>148</v>
      </c>
      <c r="J514" s="3" t="s">
        <v>149</v>
      </c>
      <c r="K514" s="3" t="s">
        <v>33</v>
      </c>
      <c r="L514" s="3" t="s">
        <v>51</v>
      </c>
      <c r="M514" s="3" t="s">
        <v>178</v>
      </c>
      <c r="N514" s="3" t="s">
        <v>179</v>
      </c>
      <c r="O514" s="3" t="s">
        <v>42</v>
      </c>
      <c r="P514" s="3" t="s">
        <v>43</v>
      </c>
      <c r="Q514" s="3" t="s">
        <v>39</v>
      </c>
      <c r="R514" s="3" t="s">
        <v>40</v>
      </c>
      <c r="S514" s="55">
        <v>5728.8</v>
      </c>
      <c r="T514" s="55">
        <v>122.4178</v>
      </c>
      <c r="U514" s="55">
        <v>122.4178</v>
      </c>
      <c r="V514" s="55">
        <v>5606.3822</v>
      </c>
      <c r="W514" s="3">
        <v>2</v>
      </c>
    </row>
    <row r="515" spans="1:23" x14ac:dyDescent="0.35">
      <c r="A515" s="3" t="s">
        <v>421</v>
      </c>
      <c r="B515" s="3" t="s">
        <v>422</v>
      </c>
      <c r="C515" s="3" t="s">
        <v>183</v>
      </c>
      <c r="D515" s="3" t="s">
        <v>175</v>
      </c>
      <c r="E515" s="3" t="s">
        <v>145</v>
      </c>
      <c r="F515" s="3" t="s">
        <v>176</v>
      </c>
      <c r="G515" s="3" t="s">
        <v>177</v>
      </c>
      <c r="H515" s="3" t="s">
        <v>116</v>
      </c>
      <c r="I515" s="3" t="s">
        <v>148</v>
      </c>
      <c r="J515" s="3" t="s">
        <v>149</v>
      </c>
      <c r="K515" s="3" t="s">
        <v>33</v>
      </c>
      <c r="L515" s="3" t="s">
        <v>51</v>
      </c>
      <c r="M515" s="3" t="s">
        <v>178</v>
      </c>
      <c r="N515" s="3" t="s">
        <v>179</v>
      </c>
      <c r="O515" s="3" t="s">
        <v>122</v>
      </c>
      <c r="P515" s="3" t="s">
        <v>123</v>
      </c>
      <c r="Q515" s="3" t="s">
        <v>39</v>
      </c>
      <c r="R515" s="3" t="s">
        <v>40</v>
      </c>
      <c r="S515" s="55">
        <v>1454.5</v>
      </c>
      <c r="T515" s="55">
        <v>0</v>
      </c>
      <c r="U515" s="55">
        <v>0</v>
      </c>
      <c r="V515" s="55">
        <v>1454.5</v>
      </c>
      <c r="W515" s="3">
        <v>0</v>
      </c>
    </row>
    <row r="516" spans="1:23" x14ac:dyDescent="0.35">
      <c r="A516" s="3" t="s">
        <v>421</v>
      </c>
      <c r="B516" s="3" t="s">
        <v>422</v>
      </c>
      <c r="C516" s="3" t="s">
        <v>184</v>
      </c>
      <c r="D516" s="3" t="s">
        <v>175</v>
      </c>
      <c r="E516" s="3" t="s">
        <v>145</v>
      </c>
      <c r="F516" s="3" t="s">
        <v>176</v>
      </c>
      <c r="G516" s="3" t="s">
        <v>177</v>
      </c>
      <c r="H516" s="3" t="s">
        <v>116</v>
      </c>
      <c r="I516" s="3" t="s">
        <v>148</v>
      </c>
      <c r="J516" s="3" t="s">
        <v>149</v>
      </c>
      <c r="K516" s="3" t="s">
        <v>33</v>
      </c>
      <c r="L516" s="3" t="s">
        <v>51</v>
      </c>
      <c r="M516" s="3" t="s">
        <v>178</v>
      </c>
      <c r="N516" s="3" t="s">
        <v>179</v>
      </c>
      <c r="O516" s="3" t="s">
        <v>103</v>
      </c>
      <c r="P516" s="3" t="s">
        <v>104</v>
      </c>
      <c r="Q516" s="3" t="s">
        <v>39</v>
      </c>
      <c r="R516" s="3" t="s">
        <v>40</v>
      </c>
      <c r="S516" s="55">
        <v>675.8</v>
      </c>
      <c r="T516" s="55">
        <v>49.140999999999998</v>
      </c>
      <c r="U516" s="55">
        <v>41.140999999999998</v>
      </c>
      <c r="V516" s="55">
        <v>626.65899999999999</v>
      </c>
      <c r="W516" s="3">
        <v>7</v>
      </c>
    </row>
    <row r="517" spans="1:23" x14ac:dyDescent="0.35">
      <c r="A517" s="3" t="s">
        <v>421</v>
      </c>
      <c r="B517" s="3" t="s">
        <v>422</v>
      </c>
      <c r="C517" s="3" t="s">
        <v>473</v>
      </c>
      <c r="D517" s="3" t="s">
        <v>175</v>
      </c>
      <c r="E517" s="3" t="s">
        <v>145</v>
      </c>
      <c r="F517" s="3" t="s">
        <v>176</v>
      </c>
      <c r="G517" s="3" t="s">
        <v>177</v>
      </c>
      <c r="H517" s="3" t="s">
        <v>116</v>
      </c>
      <c r="I517" s="3" t="s">
        <v>148</v>
      </c>
      <c r="J517" s="3" t="s">
        <v>149</v>
      </c>
      <c r="K517" s="3" t="s">
        <v>33</v>
      </c>
      <c r="L517" s="3" t="s">
        <v>51</v>
      </c>
      <c r="M517" s="3" t="s">
        <v>474</v>
      </c>
      <c r="N517" s="3" t="s">
        <v>475</v>
      </c>
      <c r="O517" s="3" t="s">
        <v>37</v>
      </c>
      <c r="P517" s="3" t="s">
        <v>38</v>
      </c>
      <c r="Q517" s="3" t="s">
        <v>39</v>
      </c>
      <c r="R517" s="3" t="s">
        <v>40</v>
      </c>
      <c r="S517" s="55">
        <v>3157.5</v>
      </c>
      <c r="T517" s="55">
        <v>0</v>
      </c>
      <c r="U517" s="55">
        <v>0</v>
      </c>
      <c r="V517" s="55">
        <v>3157.5</v>
      </c>
      <c r="W517" s="3">
        <v>0</v>
      </c>
    </row>
    <row r="518" spans="1:23" x14ac:dyDescent="0.35">
      <c r="A518" s="3" t="s">
        <v>421</v>
      </c>
      <c r="B518" s="3" t="s">
        <v>422</v>
      </c>
      <c r="C518" s="3" t="s">
        <v>185</v>
      </c>
      <c r="D518" s="3" t="s">
        <v>186</v>
      </c>
      <c r="E518" s="3" t="s">
        <v>187</v>
      </c>
      <c r="F518" s="3" t="s">
        <v>146</v>
      </c>
      <c r="G518" s="3" t="s">
        <v>188</v>
      </c>
      <c r="H518" s="3" t="s">
        <v>189</v>
      </c>
      <c r="I518" s="3" t="s">
        <v>190</v>
      </c>
      <c r="J518" s="3" t="s">
        <v>191</v>
      </c>
      <c r="K518" s="3" t="s">
        <v>33</v>
      </c>
      <c r="L518" s="3" t="s">
        <v>51</v>
      </c>
      <c r="M518" s="3" t="s">
        <v>192</v>
      </c>
      <c r="N518" s="3" t="s">
        <v>193</v>
      </c>
      <c r="O518" s="3" t="s">
        <v>108</v>
      </c>
      <c r="P518" s="3" t="s">
        <v>109</v>
      </c>
      <c r="Q518" s="3" t="s">
        <v>39</v>
      </c>
      <c r="R518" s="3" t="s">
        <v>40</v>
      </c>
      <c r="S518" s="55">
        <v>4988386</v>
      </c>
      <c r="T518" s="55">
        <v>652531.71799999999</v>
      </c>
      <c r="U518" s="55">
        <v>370538.83429999999</v>
      </c>
      <c r="V518" s="55">
        <v>4335854.2819999997</v>
      </c>
      <c r="W518" s="3">
        <v>13</v>
      </c>
    </row>
    <row r="519" spans="1:23" x14ac:dyDescent="0.35">
      <c r="A519" s="3" t="s">
        <v>421</v>
      </c>
      <c r="B519" s="3" t="s">
        <v>422</v>
      </c>
      <c r="C519" s="3" t="s">
        <v>508</v>
      </c>
      <c r="D519" s="3" t="s">
        <v>186</v>
      </c>
      <c r="E519" s="3" t="s">
        <v>187</v>
      </c>
      <c r="F519" s="3" t="s">
        <v>146</v>
      </c>
      <c r="G519" s="3" t="s">
        <v>188</v>
      </c>
      <c r="H519" s="3" t="s">
        <v>189</v>
      </c>
      <c r="I519" s="3" t="s">
        <v>190</v>
      </c>
      <c r="J519" s="3" t="s">
        <v>191</v>
      </c>
      <c r="K519" s="3" t="s">
        <v>33</v>
      </c>
      <c r="L519" s="3" t="s">
        <v>51</v>
      </c>
      <c r="M519" s="3" t="s">
        <v>227</v>
      </c>
      <c r="N519" s="3" t="s">
        <v>228</v>
      </c>
      <c r="O519" s="3" t="s">
        <v>197</v>
      </c>
      <c r="P519" s="3" t="s">
        <v>198</v>
      </c>
      <c r="Q519" s="3" t="s">
        <v>39</v>
      </c>
      <c r="R519" s="3" t="s">
        <v>40</v>
      </c>
      <c r="S519" s="55">
        <v>29473.1</v>
      </c>
      <c r="T519" s="55">
        <v>0</v>
      </c>
      <c r="U519" s="55">
        <v>0</v>
      </c>
      <c r="V519" s="55">
        <v>29473.1</v>
      </c>
      <c r="W519" s="3">
        <v>0</v>
      </c>
    </row>
    <row r="520" spans="1:23" x14ac:dyDescent="0.35">
      <c r="A520" s="3" t="s">
        <v>421</v>
      </c>
      <c r="B520" s="3" t="s">
        <v>422</v>
      </c>
      <c r="C520" s="3" t="s">
        <v>194</v>
      </c>
      <c r="D520" s="3" t="s">
        <v>186</v>
      </c>
      <c r="E520" s="3" t="s">
        <v>187</v>
      </c>
      <c r="F520" s="3" t="s">
        <v>146</v>
      </c>
      <c r="G520" s="3" t="s">
        <v>188</v>
      </c>
      <c r="H520" s="3" t="s">
        <v>189</v>
      </c>
      <c r="I520" s="3" t="s">
        <v>190</v>
      </c>
      <c r="J520" s="3" t="s">
        <v>191</v>
      </c>
      <c r="K520" s="3" t="s">
        <v>33</v>
      </c>
      <c r="L520" s="3" t="s">
        <v>51</v>
      </c>
      <c r="M520" s="3" t="s">
        <v>195</v>
      </c>
      <c r="N520" s="3" t="s">
        <v>509</v>
      </c>
      <c r="O520" s="3" t="s">
        <v>197</v>
      </c>
      <c r="P520" s="3" t="s">
        <v>198</v>
      </c>
      <c r="Q520" s="3" t="s">
        <v>39</v>
      </c>
      <c r="R520" s="3" t="s">
        <v>40</v>
      </c>
      <c r="S520" s="55">
        <v>34664.6</v>
      </c>
      <c r="T520" s="55">
        <v>0</v>
      </c>
      <c r="U520" s="55">
        <v>0</v>
      </c>
      <c r="V520" s="55">
        <v>34664.6</v>
      </c>
      <c r="W520" s="3">
        <v>0</v>
      </c>
    </row>
    <row r="521" spans="1:23" x14ac:dyDescent="0.35">
      <c r="A521" s="3" t="s">
        <v>421</v>
      </c>
      <c r="B521" s="3" t="s">
        <v>422</v>
      </c>
      <c r="C521" s="3" t="s">
        <v>510</v>
      </c>
      <c r="D521" s="3" t="s">
        <v>200</v>
      </c>
      <c r="E521" s="3" t="s">
        <v>187</v>
      </c>
      <c r="F521" s="3" t="s">
        <v>189</v>
      </c>
      <c r="G521" s="3" t="s">
        <v>201</v>
      </c>
      <c r="H521" s="3" t="s">
        <v>189</v>
      </c>
      <c r="I521" s="3" t="s">
        <v>190</v>
      </c>
      <c r="J521" s="3" t="s">
        <v>202</v>
      </c>
      <c r="K521" s="3" t="s">
        <v>23</v>
      </c>
      <c r="L521" s="3" t="s">
        <v>203</v>
      </c>
      <c r="M521" s="3" t="s">
        <v>511</v>
      </c>
      <c r="N521" s="3" t="s">
        <v>205</v>
      </c>
      <c r="O521" s="3" t="s">
        <v>197</v>
      </c>
      <c r="P521" s="3" t="s">
        <v>198</v>
      </c>
      <c r="Q521" s="3" t="s">
        <v>39</v>
      </c>
      <c r="R521" s="3" t="s">
        <v>40</v>
      </c>
      <c r="S521" s="55">
        <v>21148</v>
      </c>
      <c r="T521" s="55">
        <v>3524.6387</v>
      </c>
      <c r="U521" s="55">
        <v>3524.6387</v>
      </c>
      <c r="V521" s="55">
        <v>17623.3613</v>
      </c>
      <c r="W521" s="3">
        <v>17</v>
      </c>
    </row>
    <row r="522" spans="1:23" x14ac:dyDescent="0.35">
      <c r="A522" s="3" t="s">
        <v>421</v>
      </c>
      <c r="B522" s="3" t="s">
        <v>422</v>
      </c>
      <c r="C522" s="3" t="s">
        <v>512</v>
      </c>
      <c r="D522" s="3" t="s">
        <v>200</v>
      </c>
      <c r="E522" s="3" t="s">
        <v>187</v>
      </c>
      <c r="F522" s="3" t="s">
        <v>189</v>
      </c>
      <c r="G522" s="3" t="s">
        <v>201</v>
      </c>
      <c r="H522" s="3" t="s">
        <v>189</v>
      </c>
      <c r="I522" s="3" t="s">
        <v>190</v>
      </c>
      <c r="J522" s="3" t="s">
        <v>202</v>
      </c>
      <c r="K522" s="3" t="s">
        <v>23</v>
      </c>
      <c r="L522" s="3" t="s">
        <v>203</v>
      </c>
      <c r="M522" s="3" t="s">
        <v>513</v>
      </c>
      <c r="N522" s="3" t="s">
        <v>514</v>
      </c>
      <c r="O522" s="3" t="s">
        <v>197</v>
      </c>
      <c r="P522" s="3" t="s">
        <v>198</v>
      </c>
      <c r="Q522" s="3" t="s">
        <v>39</v>
      </c>
      <c r="R522" s="3" t="s">
        <v>40</v>
      </c>
      <c r="S522" s="55">
        <v>1977.2</v>
      </c>
      <c r="T522" s="55">
        <v>0</v>
      </c>
      <c r="U522" s="55">
        <v>0</v>
      </c>
      <c r="V522" s="55">
        <v>1977.2</v>
      </c>
      <c r="W522" s="3">
        <v>0</v>
      </c>
    </row>
    <row r="523" spans="1:23" x14ac:dyDescent="0.35">
      <c r="A523" s="3" t="s">
        <v>421</v>
      </c>
      <c r="B523" s="3" t="s">
        <v>422</v>
      </c>
      <c r="C523" s="3" t="s">
        <v>209</v>
      </c>
      <c r="D523" s="3" t="s">
        <v>200</v>
      </c>
      <c r="E523" s="3" t="s">
        <v>187</v>
      </c>
      <c r="F523" s="3" t="s">
        <v>189</v>
      </c>
      <c r="G523" s="3" t="s">
        <v>201</v>
      </c>
      <c r="H523" s="3" t="s">
        <v>189</v>
      </c>
      <c r="I523" s="3" t="s">
        <v>190</v>
      </c>
      <c r="J523" s="3" t="s">
        <v>191</v>
      </c>
      <c r="K523" s="3" t="s">
        <v>33</v>
      </c>
      <c r="L523" s="3" t="s">
        <v>51</v>
      </c>
      <c r="M523" s="3" t="s">
        <v>210</v>
      </c>
      <c r="N523" s="3" t="s">
        <v>211</v>
      </c>
      <c r="O523" s="3" t="s">
        <v>108</v>
      </c>
      <c r="P523" s="3" t="s">
        <v>109</v>
      </c>
      <c r="Q523" s="3" t="s">
        <v>39</v>
      </c>
      <c r="R523" s="3" t="s">
        <v>40</v>
      </c>
      <c r="S523" s="55">
        <v>4853107.2</v>
      </c>
      <c r="T523" s="55">
        <v>705256.5638</v>
      </c>
      <c r="U523" s="55">
        <v>395099.95309999998</v>
      </c>
      <c r="V523" s="55">
        <v>4147850.6362000001</v>
      </c>
      <c r="W523" s="3">
        <v>15</v>
      </c>
    </row>
    <row r="524" spans="1:23" x14ac:dyDescent="0.35">
      <c r="A524" s="3" t="s">
        <v>421</v>
      </c>
      <c r="B524" s="3" t="s">
        <v>422</v>
      </c>
      <c r="C524" s="3" t="s">
        <v>212</v>
      </c>
      <c r="D524" s="3" t="s">
        <v>200</v>
      </c>
      <c r="E524" s="3" t="s">
        <v>187</v>
      </c>
      <c r="F524" s="3" t="s">
        <v>189</v>
      </c>
      <c r="G524" s="3" t="s">
        <v>201</v>
      </c>
      <c r="H524" s="3" t="s">
        <v>189</v>
      </c>
      <c r="I524" s="3" t="s">
        <v>190</v>
      </c>
      <c r="J524" s="3" t="s">
        <v>191</v>
      </c>
      <c r="K524" s="3" t="s">
        <v>33</v>
      </c>
      <c r="L524" s="3" t="s">
        <v>51</v>
      </c>
      <c r="M524" s="3" t="s">
        <v>213</v>
      </c>
      <c r="N524" s="3" t="s">
        <v>214</v>
      </c>
      <c r="O524" s="3" t="s">
        <v>108</v>
      </c>
      <c r="P524" s="3" t="s">
        <v>109</v>
      </c>
      <c r="Q524" s="3" t="s">
        <v>39</v>
      </c>
      <c r="R524" s="3" t="s">
        <v>40</v>
      </c>
      <c r="S524" s="55">
        <v>168859</v>
      </c>
      <c r="T524" s="55">
        <v>16746.845300000001</v>
      </c>
      <c r="U524" s="55">
        <v>11147.9202</v>
      </c>
      <c r="V524" s="55">
        <v>152112.15470000001</v>
      </c>
      <c r="W524" s="3">
        <v>10</v>
      </c>
    </row>
    <row r="525" spans="1:23" x14ac:dyDescent="0.35">
      <c r="A525" s="3" t="s">
        <v>421</v>
      </c>
      <c r="B525" s="3" t="s">
        <v>422</v>
      </c>
      <c r="C525" s="3" t="s">
        <v>215</v>
      </c>
      <c r="D525" s="3" t="s">
        <v>200</v>
      </c>
      <c r="E525" s="3" t="s">
        <v>187</v>
      </c>
      <c r="F525" s="3" t="s">
        <v>189</v>
      </c>
      <c r="G525" s="3" t="s">
        <v>201</v>
      </c>
      <c r="H525" s="3" t="s">
        <v>189</v>
      </c>
      <c r="I525" s="3" t="s">
        <v>190</v>
      </c>
      <c r="J525" s="3" t="s">
        <v>191</v>
      </c>
      <c r="K525" s="3" t="s">
        <v>33</v>
      </c>
      <c r="L525" s="3" t="s">
        <v>51</v>
      </c>
      <c r="M525" s="3" t="s">
        <v>216</v>
      </c>
      <c r="N525" s="3" t="s">
        <v>217</v>
      </c>
      <c r="O525" s="3" t="s">
        <v>108</v>
      </c>
      <c r="P525" s="3" t="s">
        <v>109</v>
      </c>
      <c r="Q525" s="3" t="s">
        <v>39</v>
      </c>
      <c r="R525" s="3" t="s">
        <v>40</v>
      </c>
      <c r="S525" s="55">
        <v>81930.899999999994</v>
      </c>
      <c r="T525" s="55">
        <v>12704.3784</v>
      </c>
      <c r="U525" s="55">
        <v>7487.5190000000002</v>
      </c>
      <c r="V525" s="55">
        <v>69226.521599999993</v>
      </c>
      <c r="W525" s="3">
        <v>16</v>
      </c>
    </row>
    <row r="526" spans="1:23" x14ac:dyDescent="0.35">
      <c r="A526" s="3" t="s">
        <v>421</v>
      </c>
      <c r="B526" s="3" t="s">
        <v>422</v>
      </c>
      <c r="C526" s="3" t="s">
        <v>218</v>
      </c>
      <c r="D526" s="3" t="s">
        <v>200</v>
      </c>
      <c r="E526" s="3" t="s">
        <v>187</v>
      </c>
      <c r="F526" s="3" t="s">
        <v>189</v>
      </c>
      <c r="G526" s="3" t="s">
        <v>201</v>
      </c>
      <c r="H526" s="3" t="s">
        <v>189</v>
      </c>
      <c r="I526" s="3" t="s">
        <v>190</v>
      </c>
      <c r="J526" s="3" t="s">
        <v>191</v>
      </c>
      <c r="K526" s="3" t="s">
        <v>33</v>
      </c>
      <c r="L526" s="3" t="s">
        <v>51</v>
      </c>
      <c r="M526" s="3" t="s">
        <v>219</v>
      </c>
      <c r="N526" s="3" t="s">
        <v>220</v>
      </c>
      <c r="O526" s="3" t="s">
        <v>221</v>
      </c>
      <c r="P526" s="3" t="s">
        <v>222</v>
      </c>
      <c r="Q526" s="3" t="s">
        <v>39</v>
      </c>
      <c r="R526" s="3" t="s">
        <v>40</v>
      </c>
      <c r="S526" s="55">
        <v>1102.9000000000001</v>
      </c>
      <c r="T526" s="55">
        <v>0</v>
      </c>
      <c r="U526" s="55">
        <v>0</v>
      </c>
      <c r="V526" s="55">
        <v>1102.9000000000001</v>
      </c>
      <c r="W526" s="3">
        <v>0</v>
      </c>
    </row>
    <row r="527" spans="1:23" x14ac:dyDescent="0.35">
      <c r="A527" s="3" t="s">
        <v>421</v>
      </c>
      <c r="B527" s="3" t="s">
        <v>422</v>
      </c>
      <c r="C527" s="3" t="s">
        <v>432</v>
      </c>
      <c r="D527" s="3" t="s">
        <v>200</v>
      </c>
      <c r="E527" s="3" t="s">
        <v>187</v>
      </c>
      <c r="F527" s="3" t="s">
        <v>189</v>
      </c>
      <c r="G527" s="3" t="s">
        <v>201</v>
      </c>
      <c r="H527" s="3" t="s">
        <v>189</v>
      </c>
      <c r="I527" s="3" t="s">
        <v>190</v>
      </c>
      <c r="J527" s="3" t="s">
        <v>191</v>
      </c>
      <c r="K527" s="3" t="s">
        <v>33</v>
      </c>
      <c r="L527" s="3" t="s">
        <v>51</v>
      </c>
      <c r="M527" s="3" t="s">
        <v>427</v>
      </c>
      <c r="N527" s="3" t="s">
        <v>565</v>
      </c>
      <c r="O527" s="3" t="s">
        <v>197</v>
      </c>
      <c r="P527" s="3" t="s">
        <v>198</v>
      </c>
      <c r="Q527" s="3" t="s">
        <v>39</v>
      </c>
      <c r="R527" s="3" t="s">
        <v>40</v>
      </c>
      <c r="S527" s="55">
        <v>20000</v>
      </c>
      <c r="T527" s="55">
        <v>0</v>
      </c>
      <c r="U527" s="55">
        <v>0</v>
      </c>
      <c r="V527" s="55">
        <v>20000</v>
      </c>
      <c r="W527" s="3">
        <v>0</v>
      </c>
    </row>
    <row r="528" spans="1:23" x14ac:dyDescent="0.35">
      <c r="A528" s="3" t="s">
        <v>421</v>
      </c>
      <c r="B528" s="3" t="s">
        <v>422</v>
      </c>
      <c r="C528" s="3" t="s">
        <v>515</v>
      </c>
      <c r="D528" s="3" t="s">
        <v>200</v>
      </c>
      <c r="E528" s="3" t="s">
        <v>187</v>
      </c>
      <c r="F528" s="3" t="s">
        <v>189</v>
      </c>
      <c r="G528" s="3" t="s">
        <v>201</v>
      </c>
      <c r="H528" s="3" t="s">
        <v>189</v>
      </c>
      <c r="I528" s="3" t="s">
        <v>190</v>
      </c>
      <c r="J528" s="3" t="s">
        <v>191</v>
      </c>
      <c r="K528" s="3" t="s">
        <v>33</v>
      </c>
      <c r="L528" s="3" t="s">
        <v>51</v>
      </c>
      <c r="M528" s="3" t="s">
        <v>516</v>
      </c>
      <c r="N528" s="3" t="s">
        <v>517</v>
      </c>
      <c r="O528" s="3" t="s">
        <v>197</v>
      </c>
      <c r="P528" s="3" t="s">
        <v>198</v>
      </c>
      <c r="Q528" s="3" t="s">
        <v>39</v>
      </c>
      <c r="R528" s="3" t="s">
        <v>40</v>
      </c>
      <c r="S528" s="55">
        <v>8490.7000000000007</v>
      </c>
      <c r="T528" s="55">
        <v>0</v>
      </c>
      <c r="U528" s="55">
        <v>0</v>
      </c>
      <c r="V528" s="55">
        <v>8490.7000000000007</v>
      </c>
      <c r="W528" s="3">
        <v>0</v>
      </c>
    </row>
    <row r="529" spans="1:23" x14ac:dyDescent="0.35">
      <c r="A529" s="3" t="s">
        <v>421</v>
      </c>
      <c r="B529" s="3" t="s">
        <v>422</v>
      </c>
      <c r="C529" s="3" t="s">
        <v>226</v>
      </c>
      <c r="D529" s="3" t="s">
        <v>200</v>
      </c>
      <c r="E529" s="3" t="s">
        <v>187</v>
      </c>
      <c r="F529" s="3" t="s">
        <v>189</v>
      </c>
      <c r="G529" s="3" t="s">
        <v>201</v>
      </c>
      <c r="H529" s="3" t="s">
        <v>189</v>
      </c>
      <c r="I529" s="3" t="s">
        <v>190</v>
      </c>
      <c r="J529" s="3" t="s">
        <v>191</v>
      </c>
      <c r="K529" s="3" t="s">
        <v>33</v>
      </c>
      <c r="L529" s="3" t="s">
        <v>51</v>
      </c>
      <c r="M529" s="3" t="s">
        <v>227</v>
      </c>
      <c r="N529" s="3" t="s">
        <v>228</v>
      </c>
      <c r="O529" s="3" t="s">
        <v>197</v>
      </c>
      <c r="P529" s="3" t="s">
        <v>198</v>
      </c>
      <c r="Q529" s="3" t="s">
        <v>39</v>
      </c>
      <c r="R529" s="3" t="s">
        <v>40</v>
      </c>
      <c r="S529" s="55">
        <v>127820.2</v>
      </c>
      <c r="T529" s="55">
        <v>0</v>
      </c>
      <c r="U529" s="55">
        <v>0</v>
      </c>
      <c r="V529" s="55">
        <v>127820.2</v>
      </c>
      <c r="W529" s="3">
        <v>0</v>
      </c>
    </row>
    <row r="530" spans="1:23" x14ac:dyDescent="0.35">
      <c r="A530" s="3" t="s">
        <v>421</v>
      </c>
      <c r="B530" s="3" t="s">
        <v>422</v>
      </c>
      <c r="C530" s="3" t="s">
        <v>229</v>
      </c>
      <c r="D530" s="3" t="s">
        <v>200</v>
      </c>
      <c r="E530" s="3" t="s">
        <v>187</v>
      </c>
      <c r="F530" s="3" t="s">
        <v>189</v>
      </c>
      <c r="G530" s="3" t="s">
        <v>201</v>
      </c>
      <c r="H530" s="3" t="s">
        <v>189</v>
      </c>
      <c r="I530" s="3" t="s">
        <v>190</v>
      </c>
      <c r="J530" s="3" t="s">
        <v>191</v>
      </c>
      <c r="K530" s="3" t="s">
        <v>33</v>
      </c>
      <c r="L530" s="3" t="s">
        <v>51</v>
      </c>
      <c r="M530" s="3" t="s">
        <v>195</v>
      </c>
      <c r="N530" s="3" t="s">
        <v>509</v>
      </c>
      <c r="O530" s="3" t="s">
        <v>197</v>
      </c>
      <c r="P530" s="3" t="s">
        <v>198</v>
      </c>
      <c r="Q530" s="3" t="s">
        <v>39</v>
      </c>
      <c r="R530" s="3" t="s">
        <v>40</v>
      </c>
      <c r="S530" s="55">
        <v>28422.3</v>
      </c>
      <c r="T530" s="55">
        <v>0</v>
      </c>
      <c r="U530" s="55">
        <v>0</v>
      </c>
      <c r="V530" s="55">
        <v>28422.3</v>
      </c>
      <c r="W530" s="3">
        <v>0</v>
      </c>
    </row>
    <row r="531" spans="1:23" x14ac:dyDescent="0.35">
      <c r="A531" s="3" t="s">
        <v>421</v>
      </c>
      <c r="B531" s="3" t="s">
        <v>422</v>
      </c>
      <c r="C531" s="3" t="s">
        <v>433</v>
      </c>
      <c r="D531" s="3" t="s">
        <v>200</v>
      </c>
      <c r="E531" s="3" t="s">
        <v>187</v>
      </c>
      <c r="F531" s="3" t="s">
        <v>189</v>
      </c>
      <c r="G531" s="3" t="s">
        <v>201</v>
      </c>
      <c r="H531" s="3" t="s">
        <v>189</v>
      </c>
      <c r="I531" s="3" t="s">
        <v>190</v>
      </c>
      <c r="J531" s="3" t="s">
        <v>191</v>
      </c>
      <c r="K531" s="3" t="s">
        <v>33</v>
      </c>
      <c r="L531" s="3" t="s">
        <v>51</v>
      </c>
      <c r="M531" s="3" t="s">
        <v>434</v>
      </c>
      <c r="N531" s="3" t="s">
        <v>435</v>
      </c>
      <c r="O531" s="3" t="s">
        <v>197</v>
      </c>
      <c r="P531" s="3" t="s">
        <v>198</v>
      </c>
      <c r="Q531" s="3" t="s">
        <v>39</v>
      </c>
      <c r="R531" s="3" t="s">
        <v>40</v>
      </c>
      <c r="S531" s="55">
        <v>2923.6</v>
      </c>
      <c r="T531" s="55">
        <v>0</v>
      </c>
      <c r="U531" s="55">
        <v>0</v>
      </c>
      <c r="V531" s="55">
        <v>2923.6</v>
      </c>
      <c r="W531" s="3">
        <v>0</v>
      </c>
    </row>
    <row r="532" spans="1:23" x14ac:dyDescent="0.35">
      <c r="A532" s="3" t="s">
        <v>421</v>
      </c>
      <c r="B532" s="3" t="s">
        <v>422</v>
      </c>
      <c r="C532" s="3" t="s">
        <v>518</v>
      </c>
      <c r="D532" s="3" t="s">
        <v>200</v>
      </c>
      <c r="E532" s="3" t="s">
        <v>187</v>
      </c>
      <c r="F532" s="3" t="s">
        <v>189</v>
      </c>
      <c r="G532" s="3" t="s">
        <v>201</v>
      </c>
      <c r="H532" s="3" t="s">
        <v>189</v>
      </c>
      <c r="I532" s="3" t="s">
        <v>190</v>
      </c>
      <c r="J532" s="3" t="s">
        <v>191</v>
      </c>
      <c r="K532" s="3" t="s">
        <v>33</v>
      </c>
      <c r="L532" s="3" t="s">
        <v>51</v>
      </c>
      <c r="M532" s="3" t="s">
        <v>519</v>
      </c>
      <c r="N532" s="3" t="s">
        <v>208</v>
      </c>
      <c r="O532" s="3" t="s">
        <v>197</v>
      </c>
      <c r="P532" s="3" t="s">
        <v>198</v>
      </c>
      <c r="Q532" s="3" t="s">
        <v>39</v>
      </c>
      <c r="R532" s="3" t="s">
        <v>40</v>
      </c>
      <c r="S532" s="55">
        <v>104515.5</v>
      </c>
      <c r="T532" s="55">
        <v>17419.2</v>
      </c>
      <c r="U532" s="55">
        <v>17419.2</v>
      </c>
      <c r="V532" s="55">
        <v>87096.3</v>
      </c>
      <c r="W532" s="3">
        <v>17</v>
      </c>
    </row>
    <row r="533" spans="1:23" x14ac:dyDescent="0.35">
      <c r="A533" s="3" t="s">
        <v>421</v>
      </c>
      <c r="B533" s="3" t="s">
        <v>422</v>
      </c>
      <c r="C533" s="3" t="s">
        <v>230</v>
      </c>
      <c r="D533" s="3" t="s">
        <v>200</v>
      </c>
      <c r="E533" s="3" t="s">
        <v>187</v>
      </c>
      <c r="F533" s="3" t="s">
        <v>189</v>
      </c>
      <c r="G533" s="3" t="s">
        <v>201</v>
      </c>
      <c r="H533" s="3" t="s">
        <v>28</v>
      </c>
      <c r="I533" s="3" t="s">
        <v>231</v>
      </c>
      <c r="J533" s="3" t="s">
        <v>232</v>
      </c>
      <c r="K533" s="3" t="s">
        <v>33</v>
      </c>
      <c r="L533" s="3" t="s">
        <v>51</v>
      </c>
      <c r="M533" s="3" t="s">
        <v>233</v>
      </c>
      <c r="N533" s="3" t="s">
        <v>234</v>
      </c>
      <c r="O533" s="3" t="s">
        <v>197</v>
      </c>
      <c r="P533" s="3" t="s">
        <v>198</v>
      </c>
      <c r="Q533" s="3" t="s">
        <v>39</v>
      </c>
      <c r="R533" s="3" t="s">
        <v>40</v>
      </c>
      <c r="S533" s="55">
        <v>261384</v>
      </c>
      <c r="T533" s="55">
        <v>28257.7628</v>
      </c>
      <c r="U533" s="55">
        <v>27829.4254</v>
      </c>
      <c r="V533" s="55">
        <v>233126.2372</v>
      </c>
      <c r="W533" s="3">
        <v>11</v>
      </c>
    </row>
    <row r="534" spans="1:23" x14ac:dyDescent="0.35">
      <c r="A534" s="3" t="s">
        <v>421</v>
      </c>
      <c r="B534" s="3" t="s">
        <v>422</v>
      </c>
      <c r="C534" s="3" t="s">
        <v>235</v>
      </c>
      <c r="D534" s="3" t="s">
        <v>200</v>
      </c>
      <c r="E534" s="3" t="s">
        <v>187</v>
      </c>
      <c r="F534" s="3" t="s">
        <v>189</v>
      </c>
      <c r="G534" s="3" t="s">
        <v>201</v>
      </c>
      <c r="H534" s="3" t="s">
        <v>28</v>
      </c>
      <c r="I534" s="3" t="s">
        <v>231</v>
      </c>
      <c r="J534" s="3" t="s">
        <v>232</v>
      </c>
      <c r="K534" s="3" t="s">
        <v>33</v>
      </c>
      <c r="L534" s="3" t="s">
        <v>51</v>
      </c>
      <c r="M534" s="3" t="s">
        <v>236</v>
      </c>
      <c r="N534" s="3" t="s">
        <v>237</v>
      </c>
      <c r="O534" s="3" t="s">
        <v>197</v>
      </c>
      <c r="P534" s="3" t="s">
        <v>198</v>
      </c>
      <c r="Q534" s="3" t="s">
        <v>39</v>
      </c>
      <c r="R534" s="3" t="s">
        <v>40</v>
      </c>
      <c r="S534" s="55">
        <v>179288</v>
      </c>
      <c r="T534" s="55">
        <v>35857.436800000003</v>
      </c>
      <c r="U534" s="55">
        <v>35857.436800000003</v>
      </c>
      <c r="V534" s="55">
        <v>143430.5632</v>
      </c>
      <c r="W534" s="3">
        <v>20</v>
      </c>
    </row>
    <row r="535" spans="1:23" x14ac:dyDescent="0.35">
      <c r="A535" s="3" t="s">
        <v>421</v>
      </c>
      <c r="B535" s="3" t="s">
        <v>422</v>
      </c>
      <c r="C535" s="3" t="s">
        <v>238</v>
      </c>
      <c r="D535" s="3" t="s">
        <v>239</v>
      </c>
      <c r="E535" s="3" t="s">
        <v>187</v>
      </c>
      <c r="F535" s="3" t="s">
        <v>28</v>
      </c>
      <c r="G535" s="3" t="s">
        <v>240</v>
      </c>
      <c r="H535" s="3" t="s">
        <v>189</v>
      </c>
      <c r="I535" s="3" t="s">
        <v>190</v>
      </c>
      <c r="J535" s="3" t="s">
        <v>191</v>
      </c>
      <c r="K535" s="3" t="s">
        <v>33</v>
      </c>
      <c r="L535" s="3" t="s">
        <v>51</v>
      </c>
      <c r="M535" s="3" t="s">
        <v>241</v>
      </c>
      <c r="N535" s="3" t="s">
        <v>242</v>
      </c>
      <c r="O535" s="3" t="s">
        <v>108</v>
      </c>
      <c r="P535" s="3" t="s">
        <v>109</v>
      </c>
      <c r="Q535" s="3" t="s">
        <v>39</v>
      </c>
      <c r="R535" s="3" t="s">
        <v>40</v>
      </c>
      <c r="S535" s="55">
        <v>253526.6</v>
      </c>
      <c r="T535" s="55">
        <v>37257.109900000003</v>
      </c>
      <c r="U535" s="55">
        <v>20637.822499999998</v>
      </c>
      <c r="V535" s="55">
        <v>216269.4901</v>
      </c>
      <c r="W535" s="3">
        <v>15</v>
      </c>
    </row>
    <row r="536" spans="1:23" x14ac:dyDescent="0.35">
      <c r="A536" s="3" t="s">
        <v>421</v>
      </c>
      <c r="B536" s="3" t="s">
        <v>422</v>
      </c>
      <c r="C536" s="3" t="s">
        <v>520</v>
      </c>
      <c r="D536" s="3" t="s">
        <v>239</v>
      </c>
      <c r="E536" s="3" t="s">
        <v>187</v>
      </c>
      <c r="F536" s="3" t="s">
        <v>28</v>
      </c>
      <c r="G536" s="3" t="s">
        <v>240</v>
      </c>
      <c r="H536" s="3" t="s">
        <v>189</v>
      </c>
      <c r="I536" s="3" t="s">
        <v>190</v>
      </c>
      <c r="J536" s="3" t="s">
        <v>191</v>
      </c>
      <c r="K536" s="3" t="s">
        <v>33</v>
      </c>
      <c r="L536" s="3" t="s">
        <v>51</v>
      </c>
      <c r="M536" s="3" t="s">
        <v>521</v>
      </c>
      <c r="N536" s="3" t="s">
        <v>522</v>
      </c>
      <c r="O536" s="3" t="s">
        <v>523</v>
      </c>
      <c r="P536" s="3" t="s">
        <v>524</v>
      </c>
      <c r="Q536" s="3" t="s">
        <v>39</v>
      </c>
      <c r="R536" s="3" t="s">
        <v>40</v>
      </c>
      <c r="S536" s="55">
        <v>100</v>
      </c>
      <c r="T536" s="55">
        <v>0</v>
      </c>
      <c r="U536" s="55">
        <v>0</v>
      </c>
      <c r="V536" s="55">
        <v>100</v>
      </c>
      <c r="W536" s="3">
        <v>0</v>
      </c>
    </row>
    <row r="537" spans="1:23" x14ac:dyDescent="0.35">
      <c r="A537" s="3" t="s">
        <v>421</v>
      </c>
      <c r="B537" s="3" t="s">
        <v>422</v>
      </c>
      <c r="C537" s="3" t="s">
        <v>525</v>
      </c>
      <c r="D537" s="3" t="s">
        <v>526</v>
      </c>
      <c r="E537" s="3" t="s">
        <v>187</v>
      </c>
      <c r="F537" s="3" t="s">
        <v>176</v>
      </c>
      <c r="G537" s="3" t="s">
        <v>527</v>
      </c>
      <c r="H537" s="3" t="s">
        <v>189</v>
      </c>
      <c r="I537" s="3" t="s">
        <v>190</v>
      </c>
      <c r="J537" s="3" t="s">
        <v>191</v>
      </c>
      <c r="K537" s="3" t="s">
        <v>33</v>
      </c>
      <c r="L537" s="3" t="s">
        <v>51</v>
      </c>
      <c r="M537" s="3" t="s">
        <v>528</v>
      </c>
      <c r="N537" s="3" t="s">
        <v>529</v>
      </c>
      <c r="O537" s="3" t="s">
        <v>197</v>
      </c>
      <c r="P537" s="3" t="s">
        <v>198</v>
      </c>
      <c r="Q537" s="3" t="s">
        <v>39</v>
      </c>
      <c r="R537" s="3" t="s">
        <v>40</v>
      </c>
      <c r="S537" s="55">
        <v>1003.3</v>
      </c>
      <c r="T537" s="55">
        <v>0</v>
      </c>
      <c r="U537" s="55">
        <v>0</v>
      </c>
      <c r="V537" s="55">
        <v>1003.3</v>
      </c>
      <c r="W537" s="3">
        <v>0</v>
      </c>
    </row>
    <row r="538" spans="1:23" x14ac:dyDescent="0.35">
      <c r="A538" s="3" t="s">
        <v>421</v>
      </c>
      <c r="B538" s="3" t="s">
        <v>422</v>
      </c>
      <c r="C538" s="3" t="s">
        <v>243</v>
      </c>
      <c r="D538" s="3" t="s">
        <v>244</v>
      </c>
      <c r="E538" s="3" t="s">
        <v>187</v>
      </c>
      <c r="F538" s="3" t="s">
        <v>245</v>
      </c>
      <c r="G538" s="3" t="s">
        <v>246</v>
      </c>
      <c r="H538" s="3" t="s">
        <v>66</v>
      </c>
      <c r="I538" s="3" t="s">
        <v>67</v>
      </c>
      <c r="J538" s="3" t="s">
        <v>68</v>
      </c>
      <c r="K538" s="3" t="s">
        <v>33</v>
      </c>
      <c r="L538" s="3" t="s">
        <v>51</v>
      </c>
      <c r="M538" s="3" t="s">
        <v>247</v>
      </c>
      <c r="N538" s="3" t="s">
        <v>248</v>
      </c>
      <c r="O538" s="3" t="s">
        <v>108</v>
      </c>
      <c r="P538" s="3" t="s">
        <v>109</v>
      </c>
      <c r="Q538" s="3" t="s">
        <v>39</v>
      </c>
      <c r="R538" s="3" t="s">
        <v>40</v>
      </c>
      <c r="S538" s="55">
        <v>224582.9</v>
      </c>
      <c r="T538" s="55">
        <v>19480.817899999998</v>
      </c>
      <c r="U538" s="55">
        <v>15171.924999999999</v>
      </c>
      <c r="V538" s="55">
        <v>205102.0821</v>
      </c>
      <c r="W538" s="3">
        <v>9</v>
      </c>
    </row>
    <row r="539" spans="1:23" x14ac:dyDescent="0.35">
      <c r="A539" s="3" t="s">
        <v>421</v>
      </c>
      <c r="B539" s="3" t="s">
        <v>422</v>
      </c>
      <c r="C539" s="3" t="s">
        <v>249</v>
      </c>
      <c r="D539" s="3" t="s">
        <v>244</v>
      </c>
      <c r="E539" s="3" t="s">
        <v>187</v>
      </c>
      <c r="F539" s="3" t="s">
        <v>245</v>
      </c>
      <c r="G539" s="3" t="s">
        <v>246</v>
      </c>
      <c r="H539" s="3" t="s">
        <v>66</v>
      </c>
      <c r="I539" s="3" t="s">
        <v>67</v>
      </c>
      <c r="J539" s="3" t="s">
        <v>68</v>
      </c>
      <c r="K539" s="3" t="s">
        <v>33</v>
      </c>
      <c r="L539" s="3" t="s">
        <v>51</v>
      </c>
      <c r="M539" s="3" t="s">
        <v>250</v>
      </c>
      <c r="N539" s="3" t="s">
        <v>251</v>
      </c>
      <c r="O539" s="3" t="s">
        <v>197</v>
      </c>
      <c r="P539" s="3" t="s">
        <v>198</v>
      </c>
      <c r="Q539" s="3" t="s">
        <v>39</v>
      </c>
      <c r="R539" s="3" t="s">
        <v>40</v>
      </c>
      <c r="S539" s="55">
        <v>9320.5</v>
      </c>
      <c r="T539" s="55">
        <v>0</v>
      </c>
      <c r="U539" s="55">
        <v>0</v>
      </c>
      <c r="V539" s="55">
        <v>9320.5</v>
      </c>
      <c r="W539" s="3">
        <v>0</v>
      </c>
    </row>
    <row r="540" spans="1:23" x14ac:dyDescent="0.35">
      <c r="A540" s="3" t="s">
        <v>421</v>
      </c>
      <c r="B540" s="3" t="s">
        <v>422</v>
      </c>
      <c r="C540" s="3" t="s">
        <v>252</v>
      </c>
      <c r="D540" s="3" t="s">
        <v>244</v>
      </c>
      <c r="E540" s="3" t="s">
        <v>187</v>
      </c>
      <c r="F540" s="3" t="s">
        <v>245</v>
      </c>
      <c r="G540" s="3" t="s">
        <v>246</v>
      </c>
      <c r="H540" s="3" t="s">
        <v>66</v>
      </c>
      <c r="I540" s="3" t="s">
        <v>67</v>
      </c>
      <c r="J540" s="3" t="s">
        <v>68</v>
      </c>
      <c r="K540" s="3" t="s">
        <v>33</v>
      </c>
      <c r="L540" s="3" t="s">
        <v>51</v>
      </c>
      <c r="M540" s="3" t="s">
        <v>253</v>
      </c>
      <c r="N540" s="3" t="s">
        <v>254</v>
      </c>
      <c r="O540" s="3" t="s">
        <v>197</v>
      </c>
      <c r="P540" s="3" t="s">
        <v>198</v>
      </c>
      <c r="Q540" s="3" t="s">
        <v>39</v>
      </c>
      <c r="R540" s="3" t="s">
        <v>40</v>
      </c>
      <c r="S540" s="55">
        <v>1648.3</v>
      </c>
      <c r="T540" s="55">
        <v>0</v>
      </c>
      <c r="U540" s="55">
        <v>0</v>
      </c>
      <c r="V540" s="55">
        <v>1648.3</v>
      </c>
      <c r="W540" s="3">
        <v>0</v>
      </c>
    </row>
    <row r="541" spans="1:23" x14ac:dyDescent="0.35">
      <c r="A541" s="3" t="s">
        <v>421</v>
      </c>
      <c r="B541" s="3" t="s">
        <v>422</v>
      </c>
      <c r="C541" s="3" t="s">
        <v>255</v>
      </c>
      <c r="D541" s="3" t="s">
        <v>244</v>
      </c>
      <c r="E541" s="3" t="s">
        <v>187</v>
      </c>
      <c r="F541" s="3" t="s">
        <v>245</v>
      </c>
      <c r="G541" s="3" t="s">
        <v>246</v>
      </c>
      <c r="H541" s="3" t="s">
        <v>66</v>
      </c>
      <c r="I541" s="3" t="s">
        <v>67</v>
      </c>
      <c r="J541" s="3" t="s">
        <v>68</v>
      </c>
      <c r="K541" s="3" t="s">
        <v>33</v>
      </c>
      <c r="L541" s="3" t="s">
        <v>51</v>
      </c>
      <c r="M541" s="3" t="s">
        <v>256</v>
      </c>
      <c r="N541" s="3" t="s">
        <v>257</v>
      </c>
      <c r="O541" s="3" t="s">
        <v>197</v>
      </c>
      <c r="P541" s="3" t="s">
        <v>198</v>
      </c>
      <c r="Q541" s="3" t="s">
        <v>39</v>
      </c>
      <c r="R541" s="3" t="s">
        <v>40</v>
      </c>
      <c r="S541" s="55">
        <v>12658.4</v>
      </c>
      <c r="T541" s="55">
        <v>0</v>
      </c>
      <c r="U541" s="55">
        <v>0</v>
      </c>
      <c r="V541" s="55">
        <v>12658.4</v>
      </c>
      <c r="W541" s="3">
        <v>0</v>
      </c>
    </row>
    <row r="542" spans="1:23" x14ac:dyDescent="0.35">
      <c r="A542" s="3" t="s">
        <v>421</v>
      </c>
      <c r="B542" s="3" t="s">
        <v>422</v>
      </c>
      <c r="C542" s="3" t="s">
        <v>566</v>
      </c>
      <c r="D542" s="3" t="s">
        <v>259</v>
      </c>
      <c r="E542" s="3" t="s">
        <v>187</v>
      </c>
      <c r="F542" s="3" t="s">
        <v>116</v>
      </c>
      <c r="G542" s="3" t="s">
        <v>260</v>
      </c>
      <c r="H542" s="3" t="s">
        <v>189</v>
      </c>
      <c r="I542" s="3" t="s">
        <v>190</v>
      </c>
      <c r="J542" s="3" t="s">
        <v>202</v>
      </c>
      <c r="K542" s="3" t="s">
        <v>23</v>
      </c>
      <c r="L542" s="3" t="s">
        <v>203</v>
      </c>
      <c r="M542" s="3" t="s">
        <v>567</v>
      </c>
      <c r="N542" s="3" t="s">
        <v>568</v>
      </c>
      <c r="O542" s="3" t="s">
        <v>197</v>
      </c>
      <c r="P542" s="3" t="s">
        <v>198</v>
      </c>
      <c r="Q542" s="3" t="s">
        <v>39</v>
      </c>
      <c r="R542" s="3" t="s">
        <v>40</v>
      </c>
      <c r="S542" s="55">
        <v>13914.4</v>
      </c>
      <c r="T542" s="55">
        <v>0</v>
      </c>
      <c r="U542" s="55">
        <v>0</v>
      </c>
      <c r="V542" s="55">
        <v>13914.4</v>
      </c>
      <c r="W542" s="3">
        <v>0</v>
      </c>
    </row>
    <row r="543" spans="1:23" x14ac:dyDescent="0.35">
      <c r="A543" s="3" t="s">
        <v>421</v>
      </c>
      <c r="B543" s="3" t="s">
        <v>422</v>
      </c>
      <c r="C543" s="3" t="s">
        <v>569</v>
      </c>
      <c r="D543" s="3" t="s">
        <v>259</v>
      </c>
      <c r="E543" s="3" t="s">
        <v>187</v>
      </c>
      <c r="F543" s="3" t="s">
        <v>116</v>
      </c>
      <c r="G543" s="3" t="s">
        <v>260</v>
      </c>
      <c r="H543" s="3" t="s">
        <v>189</v>
      </c>
      <c r="I543" s="3" t="s">
        <v>190</v>
      </c>
      <c r="J543" s="3" t="s">
        <v>202</v>
      </c>
      <c r="K543" s="3" t="s">
        <v>23</v>
      </c>
      <c r="L543" s="3" t="s">
        <v>203</v>
      </c>
      <c r="M543" s="3" t="s">
        <v>570</v>
      </c>
      <c r="N543" s="3" t="s">
        <v>568</v>
      </c>
      <c r="O543" s="3" t="s">
        <v>197</v>
      </c>
      <c r="P543" s="3" t="s">
        <v>198</v>
      </c>
      <c r="Q543" s="3" t="s">
        <v>39</v>
      </c>
      <c r="R543" s="3" t="s">
        <v>40</v>
      </c>
      <c r="S543" s="55">
        <v>19077.8</v>
      </c>
      <c r="T543" s="55">
        <v>0</v>
      </c>
      <c r="U543" s="55">
        <v>0</v>
      </c>
      <c r="V543" s="55">
        <v>19077.8</v>
      </c>
      <c r="W543" s="3">
        <v>0</v>
      </c>
    </row>
    <row r="544" spans="1:23" x14ac:dyDescent="0.35">
      <c r="A544" s="3" t="s">
        <v>421</v>
      </c>
      <c r="B544" s="3" t="s">
        <v>422</v>
      </c>
      <c r="C544" s="3" t="s">
        <v>263</v>
      </c>
      <c r="D544" s="3" t="s">
        <v>259</v>
      </c>
      <c r="E544" s="3" t="s">
        <v>187</v>
      </c>
      <c r="F544" s="3" t="s">
        <v>116</v>
      </c>
      <c r="G544" s="3" t="s">
        <v>260</v>
      </c>
      <c r="H544" s="3" t="s">
        <v>189</v>
      </c>
      <c r="I544" s="3" t="s">
        <v>190</v>
      </c>
      <c r="J544" s="3" t="s">
        <v>191</v>
      </c>
      <c r="K544" s="3" t="s">
        <v>33</v>
      </c>
      <c r="L544" s="3" t="s">
        <v>51</v>
      </c>
      <c r="M544" s="3" t="s">
        <v>264</v>
      </c>
      <c r="N544" s="3" t="s">
        <v>265</v>
      </c>
      <c r="O544" s="3" t="s">
        <v>197</v>
      </c>
      <c r="P544" s="3" t="s">
        <v>198</v>
      </c>
      <c r="Q544" s="3" t="s">
        <v>39</v>
      </c>
      <c r="R544" s="3" t="s">
        <v>40</v>
      </c>
      <c r="S544" s="55">
        <v>1642.6</v>
      </c>
      <c r="T544" s="55">
        <v>0</v>
      </c>
      <c r="U544" s="55">
        <v>0</v>
      </c>
      <c r="V544" s="55">
        <v>1642.6</v>
      </c>
      <c r="W544" s="3">
        <v>0</v>
      </c>
    </row>
    <row r="545" spans="1:23" x14ac:dyDescent="0.35">
      <c r="A545" s="3" t="s">
        <v>421</v>
      </c>
      <c r="B545" s="3" t="s">
        <v>422</v>
      </c>
      <c r="C545" s="3" t="s">
        <v>266</v>
      </c>
      <c r="D545" s="3" t="s">
        <v>259</v>
      </c>
      <c r="E545" s="3" t="s">
        <v>187</v>
      </c>
      <c r="F545" s="3" t="s">
        <v>116</v>
      </c>
      <c r="G545" s="3" t="s">
        <v>260</v>
      </c>
      <c r="H545" s="3" t="s">
        <v>189</v>
      </c>
      <c r="I545" s="3" t="s">
        <v>190</v>
      </c>
      <c r="J545" s="3" t="s">
        <v>191</v>
      </c>
      <c r="K545" s="3" t="s">
        <v>33</v>
      </c>
      <c r="L545" s="3" t="s">
        <v>51</v>
      </c>
      <c r="M545" s="3" t="s">
        <v>267</v>
      </c>
      <c r="N545" s="3" t="s">
        <v>268</v>
      </c>
      <c r="O545" s="3" t="s">
        <v>37</v>
      </c>
      <c r="P545" s="3" t="s">
        <v>38</v>
      </c>
      <c r="Q545" s="3" t="s">
        <v>39</v>
      </c>
      <c r="R545" s="3" t="s">
        <v>40</v>
      </c>
      <c r="S545" s="55">
        <v>92351.4</v>
      </c>
      <c r="T545" s="55">
        <v>0</v>
      </c>
      <c r="U545" s="55">
        <v>0</v>
      </c>
      <c r="V545" s="55">
        <v>92351.4</v>
      </c>
      <c r="W545" s="3">
        <v>0</v>
      </c>
    </row>
    <row r="546" spans="1:23" x14ac:dyDescent="0.35">
      <c r="A546" s="3" t="s">
        <v>421</v>
      </c>
      <c r="B546" s="3" t="s">
        <v>422</v>
      </c>
      <c r="C546" s="3" t="s">
        <v>269</v>
      </c>
      <c r="D546" s="3" t="s">
        <v>259</v>
      </c>
      <c r="E546" s="3" t="s">
        <v>187</v>
      </c>
      <c r="F546" s="3" t="s">
        <v>116</v>
      </c>
      <c r="G546" s="3" t="s">
        <v>260</v>
      </c>
      <c r="H546" s="3" t="s">
        <v>189</v>
      </c>
      <c r="I546" s="3" t="s">
        <v>190</v>
      </c>
      <c r="J546" s="3" t="s">
        <v>191</v>
      </c>
      <c r="K546" s="3" t="s">
        <v>33</v>
      </c>
      <c r="L546" s="3" t="s">
        <v>51</v>
      </c>
      <c r="M546" s="3" t="s">
        <v>267</v>
      </c>
      <c r="N546" s="3" t="s">
        <v>268</v>
      </c>
      <c r="O546" s="3" t="s">
        <v>197</v>
      </c>
      <c r="P546" s="3" t="s">
        <v>198</v>
      </c>
      <c r="Q546" s="3" t="s">
        <v>39</v>
      </c>
      <c r="R546" s="3" t="s">
        <v>40</v>
      </c>
      <c r="S546" s="55">
        <v>14681.8</v>
      </c>
      <c r="T546" s="55">
        <v>0</v>
      </c>
      <c r="U546" s="55">
        <v>0</v>
      </c>
      <c r="V546" s="55">
        <v>14681.8</v>
      </c>
      <c r="W546" s="3">
        <v>0</v>
      </c>
    </row>
    <row r="547" spans="1:23" x14ac:dyDescent="0.35">
      <c r="A547" s="3" t="s">
        <v>421</v>
      </c>
      <c r="B547" s="3" t="s">
        <v>422</v>
      </c>
      <c r="C547" s="3" t="s">
        <v>270</v>
      </c>
      <c r="D547" s="3" t="s">
        <v>259</v>
      </c>
      <c r="E547" s="3" t="s">
        <v>187</v>
      </c>
      <c r="F547" s="3" t="s">
        <v>116</v>
      </c>
      <c r="G547" s="3" t="s">
        <v>260</v>
      </c>
      <c r="H547" s="3" t="s">
        <v>189</v>
      </c>
      <c r="I547" s="3" t="s">
        <v>190</v>
      </c>
      <c r="J547" s="3" t="s">
        <v>191</v>
      </c>
      <c r="K547" s="3" t="s">
        <v>33</v>
      </c>
      <c r="L547" s="3" t="s">
        <v>51</v>
      </c>
      <c r="M547" s="3" t="s">
        <v>271</v>
      </c>
      <c r="N547" s="3" t="s">
        <v>272</v>
      </c>
      <c r="O547" s="3" t="s">
        <v>108</v>
      </c>
      <c r="P547" s="3" t="s">
        <v>109</v>
      </c>
      <c r="Q547" s="3" t="s">
        <v>39</v>
      </c>
      <c r="R547" s="3" t="s">
        <v>40</v>
      </c>
      <c r="S547" s="55">
        <v>43320.4</v>
      </c>
      <c r="T547" s="55">
        <v>5780.5797000000002</v>
      </c>
      <c r="U547" s="55">
        <v>3508.5837999999999</v>
      </c>
      <c r="V547" s="55">
        <v>37539.820299999999</v>
      </c>
      <c r="W547" s="3">
        <v>13</v>
      </c>
    </row>
    <row r="548" spans="1:23" x14ac:dyDescent="0.35">
      <c r="A548" s="3" t="s">
        <v>421</v>
      </c>
      <c r="B548" s="3" t="s">
        <v>422</v>
      </c>
      <c r="C548" s="3" t="s">
        <v>273</v>
      </c>
      <c r="D548" s="3" t="s">
        <v>259</v>
      </c>
      <c r="E548" s="3" t="s">
        <v>187</v>
      </c>
      <c r="F548" s="3" t="s">
        <v>116</v>
      </c>
      <c r="G548" s="3" t="s">
        <v>260</v>
      </c>
      <c r="H548" s="3" t="s">
        <v>189</v>
      </c>
      <c r="I548" s="3" t="s">
        <v>190</v>
      </c>
      <c r="J548" s="3" t="s">
        <v>191</v>
      </c>
      <c r="K548" s="3" t="s">
        <v>33</v>
      </c>
      <c r="L548" s="3" t="s">
        <v>51</v>
      </c>
      <c r="M548" s="3" t="s">
        <v>274</v>
      </c>
      <c r="N548" s="3" t="s">
        <v>275</v>
      </c>
      <c r="O548" s="3" t="s">
        <v>108</v>
      </c>
      <c r="P548" s="3" t="s">
        <v>109</v>
      </c>
      <c r="Q548" s="3" t="s">
        <v>39</v>
      </c>
      <c r="R548" s="3" t="s">
        <v>40</v>
      </c>
      <c r="S548" s="55">
        <v>59928.7</v>
      </c>
      <c r="T548" s="55">
        <v>9051.9904000000006</v>
      </c>
      <c r="U548" s="55">
        <v>5077.7816000000003</v>
      </c>
      <c r="V548" s="55">
        <v>50876.709600000002</v>
      </c>
      <c r="W548" s="3">
        <v>15</v>
      </c>
    </row>
    <row r="549" spans="1:23" x14ac:dyDescent="0.35">
      <c r="A549" s="3" t="s">
        <v>421</v>
      </c>
      <c r="B549" s="3" t="s">
        <v>422</v>
      </c>
      <c r="C549" s="3" t="s">
        <v>530</v>
      </c>
      <c r="D549" s="3" t="s">
        <v>259</v>
      </c>
      <c r="E549" s="3" t="s">
        <v>187</v>
      </c>
      <c r="F549" s="3" t="s">
        <v>116</v>
      </c>
      <c r="G549" s="3" t="s">
        <v>260</v>
      </c>
      <c r="H549" s="3" t="s">
        <v>189</v>
      </c>
      <c r="I549" s="3" t="s">
        <v>190</v>
      </c>
      <c r="J549" s="3" t="s">
        <v>191</v>
      </c>
      <c r="K549" s="3" t="s">
        <v>33</v>
      </c>
      <c r="L549" s="3" t="s">
        <v>51</v>
      </c>
      <c r="M549" s="3" t="s">
        <v>531</v>
      </c>
      <c r="N549" s="3" t="s">
        <v>532</v>
      </c>
      <c r="O549" s="3" t="s">
        <v>197</v>
      </c>
      <c r="P549" s="3" t="s">
        <v>198</v>
      </c>
      <c r="Q549" s="3" t="s">
        <v>39</v>
      </c>
      <c r="R549" s="3" t="s">
        <v>40</v>
      </c>
      <c r="S549" s="55">
        <v>7028.9</v>
      </c>
      <c r="T549" s="55">
        <v>1022.4</v>
      </c>
      <c r="U549" s="55">
        <v>1022.4</v>
      </c>
      <c r="V549" s="55">
        <v>6006.5</v>
      </c>
      <c r="W549" s="3">
        <v>15</v>
      </c>
    </row>
    <row r="550" spans="1:23" x14ac:dyDescent="0.35">
      <c r="A550" s="3" t="s">
        <v>421</v>
      </c>
      <c r="B550" s="3" t="s">
        <v>422</v>
      </c>
      <c r="C550" s="3" t="s">
        <v>460</v>
      </c>
      <c r="D550" s="3" t="s">
        <v>259</v>
      </c>
      <c r="E550" s="3" t="s">
        <v>187</v>
      </c>
      <c r="F550" s="3" t="s">
        <v>116</v>
      </c>
      <c r="G550" s="3" t="s">
        <v>260</v>
      </c>
      <c r="H550" s="3" t="s">
        <v>189</v>
      </c>
      <c r="I550" s="3" t="s">
        <v>190</v>
      </c>
      <c r="J550" s="3" t="s">
        <v>191</v>
      </c>
      <c r="K550" s="3" t="s">
        <v>33</v>
      </c>
      <c r="L550" s="3" t="s">
        <v>51</v>
      </c>
      <c r="M550" s="3" t="s">
        <v>461</v>
      </c>
      <c r="N550" s="3" t="s">
        <v>462</v>
      </c>
      <c r="O550" s="3" t="s">
        <v>197</v>
      </c>
      <c r="P550" s="3" t="s">
        <v>198</v>
      </c>
      <c r="Q550" s="3" t="s">
        <v>39</v>
      </c>
      <c r="R550" s="3" t="s">
        <v>40</v>
      </c>
      <c r="S550" s="55">
        <v>19787.3</v>
      </c>
      <c r="T550" s="55">
        <v>0</v>
      </c>
      <c r="U550" s="55">
        <v>0</v>
      </c>
      <c r="V550" s="55">
        <v>19787.3</v>
      </c>
      <c r="W550" s="3">
        <v>0</v>
      </c>
    </row>
    <row r="551" spans="1:23" x14ac:dyDescent="0.35">
      <c r="A551" s="3" t="s">
        <v>421</v>
      </c>
      <c r="B551" s="3" t="s">
        <v>422</v>
      </c>
      <c r="C551" s="3" t="s">
        <v>276</v>
      </c>
      <c r="D551" s="3" t="s">
        <v>259</v>
      </c>
      <c r="E551" s="3" t="s">
        <v>187</v>
      </c>
      <c r="F551" s="3" t="s">
        <v>116</v>
      </c>
      <c r="G551" s="3" t="s">
        <v>260</v>
      </c>
      <c r="H551" s="3" t="s">
        <v>189</v>
      </c>
      <c r="I551" s="3" t="s">
        <v>190</v>
      </c>
      <c r="J551" s="3" t="s">
        <v>191</v>
      </c>
      <c r="K551" s="3" t="s">
        <v>33</v>
      </c>
      <c r="L551" s="3" t="s">
        <v>51</v>
      </c>
      <c r="M551" s="3" t="s">
        <v>277</v>
      </c>
      <c r="N551" s="3" t="s">
        <v>533</v>
      </c>
      <c r="O551" s="3" t="s">
        <v>197</v>
      </c>
      <c r="P551" s="3" t="s">
        <v>198</v>
      </c>
      <c r="Q551" s="3" t="s">
        <v>39</v>
      </c>
      <c r="R551" s="3" t="s">
        <v>40</v>
      </c>
      <c r="S551" s="55">
        <v>44012.1</v>
      </c>
      <c r="T551" s="55">
        <v>0</v>
      </c>
      <c r="U551" s="55">
        <v>0</v>
      </c>
      <c r="V551" s="55">
        <v>44012.1</v>
      </c>
      <c r="W551" s="3">
        <v>0</v>
      </c>
    </row>
    <row r="552" spans="1:23" x14ac:dyDescent="0.35">
      <c r="A552" s="3" t="s">
        <v>421</v>
      </c>
      <c r="B552" s="3" t="s">
        <v>422</v>
      </c>
      <c r="C552" s="3" t="s">
        <v>282</v>
      </c>
      <c r="D552" s="3" t="s">
        <v>259</v>
      </c>
      <c r="E552" s="3" t="s">
        <v>187</v>
      </c>
      <c r="F552" s="3" t="s">
        <v>116</v>
      </c>
      <c r="G552" s="3" t="s">
        <v>260</v>
      </c>
      <c r="H552" s="3" t="s">
        <v>66</v>
      </c>
      <c r="I552" s="3" t="s">
        <v>67</v>
      </c>
      <c r="J552" s="3" t="s">
        <v>68</v>
      </c>
      <c r="K552" s="3" t="s">
        <v>33</v>
      </c>
      <c r="L552" s="3" t="s">
        <v>51</v>
      </c>
      <c r="M552" s="3" t="s">
        <v>283</v>
      </c>
      <c r="N552" s="3" t="s">
        <v>284</v>
      </c>
      <c r="O552" s="3" t="s">
        <v>197</v>
      </c>
      <c r="P552" s="3" t="s">
        <v>198</v>
      </c>
      <c r="Q552" s="3" t="s">
        <v>39</v>
      </c>
      <c r="R552" s="3" t="s">
        <v>40</v>
      </c>
      <c r="S552" s="55">
        <v>500</v>
      </c>
      <c r="T552" s="55">
        <v>0</v>
      </c>
      <c r="U552" s="55">
        <v>0</v>
      </c>
      <c r="V552" s="55">
        <v>500</v>
      </c>
      <c r="W552" s="3">
        <v>0</v>
      </c>
    </row>
    <row r="553" spans="1:23" x14ac:dyDescent="0.35">
      <c r="A553" s="3" t="s">
        <v>421</v>
      </c>
      <c r="B553" s="3" t="s">
        <v>422</v>
      </c>
      <c r="C553" s="3" t="s">
        <v>289</v>
      </c>
      <c r="D553" s="3" t="s">
        <v>290</v>
      </c>
      <c r="E553" s="3" t="s">
        <v>291</v>
      </c>
      <c r="F553" s="3" t="s">
        <v>146</v>
      </c>
      <c r="G553" s="3" t="s">
        <v>534</v>
      </c>
      <c r="H553" s="3" t="s">
        <v>293</v>
      </c>
      <c r="I553" s="3" t="s">
        <v>294</v>
      </c>
      <c r="J553" s="3" t="s">
        <v>295</v>
      </c>
      <c r="K553" s="3" t="s">
        <v>33</v>
      </c>
      <c r="L553" s="3" t="s">
        <v>51</v>
      </c>
      <c r="M553" s="3" t="s">
        <v>296</v>
      </c>
      <c r="N553" s="3" t="s">
        <v>535</v>
      </c>
      <c r="O553" s="3" t="s">
        <v>108</v>
      </c>
      <c r="P553" s="3" t="s">
        <v>109</v>
      </c>
      <c r="Q553" s="3" t="s">
        <v>39</v>
      </c>
      <c r="R553" s="3" t="s">
        <v>40</v>
      </c>
      <c r="S553" s="55">
        <v>232056</v>
      </c>
      <c r="T553" s="55">
        <v>41655.2255</v>
      </c>
      <c r="U553" s="55">
        <v>27620.124100000001</v>
      </c>
      <c r="V553" s="55">
        <v>190400.7745</v>
      </c>
      <c r="W553" s="3">
        <v>18</v>
      </c>
    </row>
    <row r="554" spans="1:23" x14ac:dyDescent="0.35">
      <c r="A554" s="3" t="s">
        <v>421</v>
      </c>
      <c r="B554" s="3" t="s">
        <v>422</v>
      </c>
      <c r="C554" s="3" t="s">
        <v>298</v>
      </c>
      <c r="D554" s="3" t="s">
        <v>290</v>
      </c>
      <c r="E554" s="3" t="s">
        <v>291</v>
      </c>
      <c r="F554" s="3" t="s">
        <v>146</v>
      </c>
      <c r="G554" s="3" t="s">
        <v>534</v>
      </c>
      <c r="H554" s="3" t="s">
        <v>293</v>
      </c>
      <c r="I554" s="3" t="s">
        <v>294</v>
      </c>
      <c r="J554" s="3" t="s">
        <v>295</v>
      </c>
      <c r="K554" s="3" t="s">
        <v>33</v>
      </c>
      <c r="L554" s="3" t="s">
        <v>51</v>
      </c>
      <c r="M554" s="3" t="s">
        <v>299</v>
      </c>
      <c r="N554" s="3" t="s">
        <v>536</v>
      </c>
      <c r="O554" s="3" t="s">
        <v>108</v>
      </c>
      <c r="P554" s="3" t="s">
        <v>109</v>
      </c>
      <c r="Q554" s="3" t="s">
        <v>39</v>
      </c>
      <c r="R554" s="3" t="s">
        <v>40</v>
      </c>
      <c r="S554" s="55">
        <v>86322.7</v>
      </c>
      <c r="T554" s="55">
        <v>8778.5200999999997</v>
      </c>
      <c r="U554" s="55">
        <v>6163.0635000000002</v>
      </c>
      <c r="V554" s="55">
        <v>77544.179900000003</v>
      </c>
      <c r="W554" s="3">
        <v>10</v>
      </c>
    </row>
    <row r="555" spans="1:23" x14ac:dyDescent="0.35">
      <c r="A555" s="3" t="s">
        <v>421</v>
      </c>
      <c r="B555" s="3" t="s">
        <v>422</v>
      </c>
      <c r="C555" s="3" t="s">
        <v>301</v>
      </c>
      <c r="D555" s="3" t="s">
        <v>290</v>
      </c>
      <c r="E555" s="3" t="s">
        <v>291</v>
      </c>
      <c r="F555" s="3" t="s">
        <v>146</v>
      </c>
      <c r="G555" s="3" t="s">
        <v>534</v>
      </c>
      <c r="H555" s="3" t="s">
        <v>293</v>
      </c>
      <c r="I555" s="3" t="s">
        <v>294</v>
      </c>
      <c r="J555" s="3" t="s">
        <v>295</v>
      </c>
      <c r="K555" s="3" t="s">
        <v>33</v>
      </c>
      <c r="L555" s="3" t="s">
        <v>51</v>
      </c>
      <c r="M555" s="3" t="s">
        <v>302</v>
      </c>
      <c r="N555" s="3" t="s">
        <v>537</v>
      </c>
      <c r="O555" s="3" t="s">
        <v>108</v>
      </c>
      <c r="P555" s="3" t="s">
        <v>109</v>
      </c>
      <c r="Q555" s="3" t="s">
        <v>39</v>
      </c>
      <c r="R555" s="3" t="s">
        <v>40</v>
      </c>
      <c r="S555" s="55">
        <v>192328.9</v>
      </c>
      <c r="T555" s="55">
        <v>25489.874100000001</v>
      </c>
      <c r="U555" s="55">
        <v>16076.099200000001</v>
      </c>
      <c r="V555" s="55">
        <v>166839.02590000001</v>
      </c>
      <c r="W555" s="3">
        <v>13</v>
      </c>
    </row>
    <row r="556" spans="1:23" x14ac:dyDescent="0.35">
      <c r="A556" s="3" t="s">
        <v>421</v>
      </c>
      <c r="B556" s="3" t="s">
        <v>422</v>
      </c>
      <c r="C556" s="3" t="s">
        <v>304</v>
      </c>
      <c r="D556" s="3" t="s">
        <v>290</v>
      </c>
      <c r="E556" s="3" t="s">
        <v>291</v>
      </c>
      <c r="F556" s="3" t="s">
        <v>146</v>
      </c>
      <c r="G556" s="3" t="s">
        <v>534</v>
      </c>
      <c r="H556" s="3" t="s">
        <v>293</v>
      </c>
      <c r="I556" s="3" t="s">
        <v>294</v>
      </c>
      <c r="J556" s="3" t="s">
        <v>295</v>
      </c>
      <c r="K556" s="3" t="s">
        <v>33</v>
      </c>
      <c r="L556" s="3" t="s">
        <v>51</v>
      </c>
      <c r="M556" s="3" t="s">
        <v>305</v>
      </c>
      <c r="N556" s="3" t="s">
        <v>538</v>
      </c>
      <c r="O556" s="3" t="s">
        <v>108</v>
      </c>
      <c r="P556" s="3" t="s">
        <v>109</v>
      </c>
      <c r="Q556" s="3" t="s">
        <v>39</v>
      </c>
      <c r="R556" s="3" t="s">
        <v>40</v>
      </c>
      <c r="S556" s="55">
        <v>73563</v>
      </c>
      <c r="T556" s="55">
        <v>9704.3811000000005</v>
      </c>
      <c r="U556" s="55">
        <v>6324.2451000000001</v>
      </c>
      <c r="V556" s="55">
        <v>63858.618900000001</v>
      </c>
      <c r="W556" s="3">
        <v>13</v>
      </c>
    </row>
    <row r="557" spans="1:23" x14ac:dyDescent="0.35">
      <c r="A557" s="3" t="s">
        <v>421</v>
      </c>
      <c r="B557" s="3" t="s">
        <v>422</v>
      </c>
      <c r="C557" s="3" t="s">
        <v>307</v>
      </c>
      <c r="D557" s="3" t="s">
        <v>290</v>
      </c>
      <c r="E557" s="3" t="s">
        <v>291</v>
      </c>
      <c r="F557" s="3" t="s">
        <v>146</v>
      </c>
      <c r="G557" s="3" t="s">
        <v>534</v>
      </c>
      <c r="H557" s="3" t="s">
        <v>293</v>
      </c>
      <c r="I557" s="3" t="s">
        <v>294</v>
      </c>
      <c r="J557" s="3" t="s">
        <v>295</v>
      </c>
      <c r="K557" s="3" t="s">
        <v>33</v>
      </c>
      <c r="L557" s="3" t="s">
        <v>51</v>
      </c>
      <c r="M557" s="3" t="s">
        <v>308</v>
      </c>
      <c r="N557" s="3" t="s">
        <v>309</v>
      </c>
      <c r="O557" s="3" t="s">
        <v>37</v>
      </c>
      <c r="P557" s="3" t="s">
        <v>38</v>
      </c>
      <c r="Q557" s="3" t="s">
        <v>39</v>
      </c>
      <c r="R557" s="3" t="s">
        <v>40</v>
      </c>
      <c r="S557" s="55">
        <v>8508.2999999999993</v>
      </c>
      <c r="T557" s="55">
        <v>0</v>
      </c>
      <c r="U557" s="55">
        <v>0</v>
      </c>
      <c r="V557" s="55">
        <v>8508.2999999999993</v>
      </c>
      <c r="W557" s="3">
        <v>0</v>
      </c>
    </row>
    <row r="558" spans="1:23" x14ac:dyDescent="0.35">
      <c r="A558" s="3" t="s">
        <v>421</v>
      </c>
      <c r="B558" s="3" t="s">
        <v>422</v>
      </c>
      <c r="C558" s="3" t="s">
        <v>436</v>
      </c>
      <c r="D558" s="3" t="s">
        <v>290</v>
      </c>
      <c r="E558" s="3" t="s">
        <v>291</v>
      </c>
      <c r="F558" s="3" t="s">
        <v>146</v>
      </c>
      <c r="G558" s="3" t="s">
        <v>534</v>
      </c>
      <c r="H558" s="3" t="s">
        <v>293</v>
      </c>
      <c r="I558" s="3" t="s">
        <v>294</v>
      </c>
      <c r="J558" s="3" t="s">
        <v>295</v>
      </c>
      <c r="K558" s="3" t="s">
        <v>33</v>
      </c>
      <c r="L558" s="3" t="s">
        <v>51</v>
      </c>
      <c r="M558" s="3" t="s">
        <v>308</v>
      </c>
      <c r="N558" s="3" t="s">
        <v>309</v>
      </c>
      <c r="O558" s="3" t="s">
        <v>197</v>
      </c>
      <c r="P558" s="3" t="s">
        <v>198</v>
      </c>
      <c r="Q558" s="3" t="s">
        <v>39</v>
      </c>
      <c r="R558" s="3" t="s">
        <v>40</v>
      </c>
      <c r="S558" s="55">
        <v>3002.4</v>
      </c>
      <c r="T558" s="55">
        <v>0</v>
      </c>
      <c r="U558" s="55">
        <v>0</v>
      </c>
      <c r="V558" s="55">
        <v>3002.4</v>
      </c>
      <c r="W558" s="3">
        <v>0</v>
      </c>
    </row>
    <row r="559" spans="1:23" x14ac:dyDescent="0.35">
      <c r="A559" s="3" t="s">
        <v>421</v>
      </c>
      <c r="B559" s="3" t="s">
        <v>422</v>
      </c>
      <c r="C559" s="3" t="s">
        <v>310</v>
      </c>
      <c r="D559" s="3" t="s">
        <v>290</v>
      </c>
      <c r="E559" s="3" t="s">
        <v>291</v>
      </c>
      <c r="F559" s="3" t="s">
        <v>146</v>
      </c>
      <c r="G559" s="3" t="s">
        <v>534</v>
      </c>
      <c r="H559" s="3" t="s">
        <v>293</v>
      </c>
      <c r="I559" s="3" t="s">
        <v>294</v>
      </c>
      <c r="J559" s="3" t="s">
        <v>295</v>
      </c>
      <c r="K559" s="3" t="s">
        <v>33</v>
      </c>
      <c r="L559" s="3" t="s">
        <v>51</v>
      </c>
      <c r="M559" s="3" t="s">
        <v>311</v>
      </c>
      <c r="N559" s="3" t="s">
        <v>312</v>
      </c>
      <c r="O559" s="3" t="s">
        <v>197</v>
      </c>
      <c r="P559" s="3" t="s">
        <v>198</v>
      </c>
      <c r="Q559" s="3" t="s">
        <v>39</v>
      </c>
      <c r="R559" s="3" t="s">
        <v>40</v>
      </c>
      <c r="S559" s="55">
        <v>40101.9</v>
      </c>
      <c r="T559" s="55">
        <v>0</v>
      </c>
      <c r="U559" s="55">
        <v>0</v>
      </c>
      <c r="V559" s="55">
        <v>40101.9</v>
      </c>
      <c r="W559" s="3">
        <v>0</v>
      </c>
    </row>
    <row r="560" spans="1:23" x14ac:dyDescent="0.35">
      <c r="A560" s="3" t="s">
        <v>421</v>
      </c>
      <c r="B560" s="3" t="s">
        <v>422</v>
      </c>
      <c r="C560" s="3" t="s">
        <v>313</v>
      </c>
      <c r="D560" s="3" t="s">
        <v>290</v>
      </c>
      <c r="E560" s="3" t="s">
        <v>291</v>
      </c>
      <c r="F560" s="3" t="s">
        <v>146</v>
      </c>
      <c r="G560" s="3" t="s">
        <v>534</v>
      </c>
      <c r="H560" s="3" t="s">
        <v>293</v>
      </c>
      <c r="I560" s="3" t="s">
        <v>294</v>
      </c>
      <c r="J560" s="3" t="s">
        <v>295</v>
      </c>
      <c r="K560" s="3" t="s">
        <v>33</v>
      </c>
      <c r="L560" s="3" t="s">
        <v>51</v>
      </c>
      <c r="M560" s="3" t="s">
        <v>314</v>
      </c>
      <c r="N560" s="3" t="s">
        <v>315</v>
      </c>
      <c r="O560" s="3" t="s">
        <v>197</v>
      </c>
      <c r="P560" s="3" t="s">
        <v>198</v>
      </c>
      <c r="Q560" s="3" t="s">
        <v>39</v>
      </c>
      <c r="R560" s="3" t="s">
        <v>40</v>
      </c>
      <c r="S560" s="55">
        <v>712.6</v>
      </c>
      <c r="T560" s="55">
        <v>0</v>
      </c>
      <c r="U560" s="55">
        <v>0</v>
      </c>
      <c r="V560" s="55">
        <v>712.6</v>
      </c>
      <c r="W560" s="3">
        <v>0</v>
      </c>
    </row>
    <row r="561" spans="1:23" x14ac:dyDescent="0.35">
      <c r="A561" s="3" t="s">
        <v>421</v>
      </c>
      <c r="B561" s="3" t="s">
        <v>422</v>
      </c>
      <c r="C561" s="3" t="s">
        <v>539</v>
      </c>
      <c r="D561" s="3" t="s">
        <v>290</v>
      </c>
      <c r="E561" s="3" t="s">
        <v>291</v>
      </c>
      <c r="F561" s="3" t="s">
        <v>146</v>
      </c>
      <c r="G561" s="3" t="s">
        <v>534</v>
      </c>
      <c r="H561" s="3" t="s">
        <v>293</v>
      </c>
      <c r="I561" s="3" t="s">
        <v>294</v>
      </c>
      <c r="J561" s="3" t="s">
        <v>295</v>
      </c>
      <c r="K561" s="3" t="s">
        <v>33</v>
      </c>
      <c r="L561" s="3" t="s">
        <v>51</v>
      </c>
      <c r="M561" s="3" t="s">
        <v>540</v>
      </c>
      <c r="N561" s="3" t="s">
        <v>541</v>
      </c>
      <c r="O561" s="3" t="s">
        <v>197</v>
      </c>
      <c r="P561" s="3" t="s">
        <v>198</v>
      </c>
      <c r="Q561" s="3" t="s">
        <v>39</v>
      </c>
      <c r="R561" s="3" t="s">
        <v>40</v>
      </c>
      <c r="S561" s="55">
        <v>30745.7</v>
      </c>
      <c r="T561" s="55">
        <v>0</v>
      </c>
      <c r="U561" s="55">
        <v>0</v>
      </c>
      <c r="V561" s="55">
        <v>30745.7</v>
      </c>
      <c r="W561" s="3">
        <v>0</v>
      </c>
    </row>
    <row r="562" spans="1:23" x14ac:dyDescent="0.35">
      <c r="A562" s="3" t="s">
        <v>421</v>
      </c>
      <c r="B562" s="3" t="s">
        <v>422</v>
      </c>
      <c r="C562" s="3" t="s">
        <v>322</v>
      </c>
      <c r="D562" s="3" t="s">
        <v>317</v>
      </c>
      <c r="E562" s="3" t="s">
        <v>291</v>
      </c>
      <c r="F562" s="3" t="s">
        <v>318</v>
      </c>
      <c r="G562" s="3" t="s">
        <v>319</v>
      </c>
      <c r="H562" s="3" t="s">
        <v>293</v>
      </c>
      <c r="I562" s="3" t="s">
        <v>294</v>
      </c>
      <c r="J562" s="3" t="s">
        <v>295</v>
      </c>
      <c r="K562" s="3" t="s">
        <v>33</v>
      </c>
      <c r="L562" s="3" t="s">
        <v>51</v>
      </c>
      <c r="M562" s="3" t="s">
        <v>323</v>
      </c>
      <c r="N562" s="3" t="s">
        <v>324</v>
      </c>
      <c r="O562" s="3" t="s">
        <v>197</v>
      </c>
      <c r="P562" s="3" t="s">
        <v>198</v>
      </c>
      <c r="Q562" s="3" t="s">
        <v>39</v>
      </c>
      <c r="R562" s="3" t="s">
        <v>40</v>
      </c>
      <c r="S562" s="55">
        <v>12448.4</v>
      </c>
      <c r="T562" s="55">
        <v>3061.3195999999998</v>
      </c>
      <c r="U562" s="55">
        <v>3061.3195999999998</v>
      </c>
      <c r="V562" s="55">
        <v>9387.0804000000007</v>
      </c>
      <c r="W562" s="3">
        <v>25</v>
      </c>
    </row>
    <row r="563" spans="1:23" x14ac:dyDescent="0.35">
      <c r="A563" s="3" t="s">
        <v>421</v>
      </c>
      <c r="B563" s="3" t="s">
        <v>422</v>
      </c>
      <c r="C563" s="3" t="s">
        <v>325</v>
      </c>
      <c r="D563" s="3" t="s">
        <v>326</v>
      </c>
      <c r="E563" s="3" t="s">
        <v>327</v>
      </c>
      <c r="F563" s="3" t="s">
        <v>189</v>
      </c>
      <c r="G563" s="3" t="s">
        <v>328</v>
      </c>
      <c r="H563" s="3" t="s">
        <v>146</v>
      </c>
      <c r="I563" s="3" t="s">
        <v>329</v>
      </c>
      <c r="J563" s="3" t="s">
        <v>330</v>
      </c>
      <c r="K563" s="3" t="s">
        <v>33</v>
      </c>
      <c r="L563" s="3" t="s">
        <v>51</v>
      </c>
      <c r="M563" s="3" t="s">
        <v>331</v>
      </c>
      <c r="N563" s="3" t="s">
        <v>332</v>
      </c>
      <c r="O563" s="3" t="s">
        <v>108</v>
      </c>
      <c r="P563" s="3" t="s">
        <v>109</v>
      </c>
      <c r="Q563" s="3" t="s">
        <v>39</v>
      </c>
      <c r="R563" s="3" t="s">
        <v>40</v>
      </c>
      <c r="S563" s="55">
        <v>607335</v>
      </c>
      <c r="T563" s="55">
        <v>59818.211000000003</v>
      </c>
      <c r="U563" s="55">
        <v>45321.276599999997</v>
      </c>
      <c r="V563" s="55">
        <v>547516.78899999999</v>
      </c>
      <c r="W563" s="3">
        <v>10</v>
      </c>
    </row>
    <row r="564" spans="1:23" x14ac:dyDescent="0.35">
      <c r="A564" s="3" t="s">
        <v>421</v>
      </c>
      <c r="B564" s="3" t="s">
        <v>422</v>
      </c>
      <c r="C564" s="3" t="s">
        <v>333</v>
      </c>
      <c r="D564" s="3" t="s">
        <v>326</v>
      </c>
      <c r="E564" s="3" t="s">
        <v>327</v>
      </c>
      <c r="F564" s="3" t="s">
        <v>189</v>
      </c>
      <c r="G564" s="3" t="s">
        <v>328</v>
      </c>
      <c r="H564" s="3" t="s">
        <v>146</v>
      </c>
      <c r="I564" s="3" t="s">
        <v>329</v>
      </c>
      <c r="J564" s="3" t="s">
        <v>330</v>
      </c>
      <c r="K564" s="3" t="s">
        <v>33</v>
      </c>
      <c r="L564" s="3" t="s">
        <v>51</v>
      </c>
      <c r="M564" s="3" t="s">
        <v>331</v>
      </c>
      <c r="N564" s="3" t="s">
        <v>332</v>
      </c>
      <c r="O564" s="3" t="s">
        <v>334</v>
      </c>
      <c r="P564" s="3" t="s">
        <v>335</v>
      </c>
      <c r="Q564" s="3" t="s">
        <v>39</v>
      </c>
      <c r="R564" s="3" t="s">
        <v>40</v>
      </c>
      <c r="S564" s="55">
        <v>5154.6000000000004</v>
      </c>
      <c r="T564" s="55">
        <v>360.53250000000003</v>
      </c>
      <c r="U564" s="55">
        <v>289.48599999999999</v>
      </c>
      <c r="V564" s="55">
        <v>4794.0675000000001</v>
      </c>
      <c r="W564" s="3">
        <v>7</v>
      </c>
    </row>
    <row r="565" spans="1:23" x14ac:dyDescent="0.35">
      <c r="A565" s="3" t="s">
        <v>421</v>
      </c>
      <c r="B565" s="3" t="s">
        <v>422</v>
      </c>
      <c r="C565" s="3" t="s">
        <v>542</v>
      </c>
      <c r="D565" s="3" t="s">
        <v>337</v>
      </c>
      <c r="E565" s="3" t="s">
        <v>327</v>
      </c>
      <c r="F565" s="3" t="s">
        <v>116</v>
      </c>
      <c r="G565" s="3" t="s">
        <v>338</v>
      </c>
      <c r="H565" s="3" t="s">
        <v>146</v>
      </c>
      <c r="I565" s="3" t="s">
        <v>329</v>
      </c>
      <c r="J565" s="3" t="s">
        <v>339</v>
      </c>
      <c r="K565" s="3" t="s">
        <v>23</v>
      </c>
      <c r="L565" s="3" t="s">
        <v>203</v>
      </c>
      <c r="M565" s="3" t="s">
        <v>543</v>
      </c>
      <c r="N565" s="3" t="s">
        <v>341</v>
      </c>
      <c r="O565" s="3" t="s">
        <v>197</v>
      </c>
      <c r="P565" s="3" t="s">
        <v>198</v>
      </c>
      <c r="Q565" s="3" t="s">
        <v>39</v>
      </c>
      <c r="R565" s="3" t="s">
        <v>40</v>
      </c>
      <c r="S565" s="55">
        <v>79182.8</v>
      </c>
      <c r="T565" s="55">
        <v>68566.592399999994</v>
      </c>
      <c r="U565" s="55">
        <v>68566.592399999994</v>
      </c>
      <c r="V565" s="55">
        <v>10616.2076</v>
      </c>
      <c r="W565" s="3">
        <v>87</v>
      </c>
    </row>
    <row r="566" spans="1:23" x14ac:dyDescent="0.35">
      <c r="A566" s="3" t="s">
        <v>421</v>
      </c>
      <c r="B566" s="3" t="s">
        <v>422</v>
      </c>
      <c r="C566" s="3" t="s">
        <v>544</v>
      </c>
      <c r="D566" s="3" t="s">
        <v>337</v>
      </c>
      <c r="E566" s="3" t="s">
        <v>327</v>
      </c>
      <c r="F566" s="3" t="s">
        <v>116</v>
      </c>
      <c r="G566" s="3" t="s">
        <v>338</v>
      </c>
      <c r="H566" s="3" t="s">
        <v>146</v>
      </c>
      <c r="I566" s="3" t="s">
        <v>329</v>
      </c>
      <c r="J566" s="3" t="s">
        <v>339</v>
      </c>
      <c r="K566" s="3" t="s">
        <v>23</v>
      </c>
      <c r="L566" s="3" t="s">
        <v>203</v>
      </c>
      <c r="M566" s="3" t="s">
        <v>545</v>
      </c>
      <c r="N566" s="3" t="s">
        <v>359</v>
      </c>
      <c r="O566" s="3" t="s">
        <v>197</v>
      </c>
      <c r="P566" s="3" t="s">
        <v>198</v>
      </c>
      <c r="Q566" s="3" t="s">
        <v>39</v>
      </c>
      <c r="R566" s="3" t="s">
        <v>40</v>
      </c>
      <c r="S566" s="55">
        <v>50.1</v>
      </c>
      <c r="T566" s="55">
        <v>0</v>
      </c>
      <c r="U566" s="55">
        <v>0</v>
      </c>
      <c r="V566" s="55">
        <v>50.1</v>
      </c>
      <c r="W566" s="3">
        <v>0</v>
      </c>
    </row>
    <row r="567" spans="1:23" x14ac:dyDescent="0.35">
      <c r="A567" s="3" t="s">
        <v>421</v>
      </c>
      <c r="B567" s="3" t="s">
        <v>422</v>
      </c>
      <c r="C567" s="3" t="s">
        <v>437</v>
      </c>
      <c r="D567" s="3" t="s">
        <v>337</v>
      </c>
      <c r="E567" s="3" t="s">
        <v>327</v>
      </c>
      <c r="F567" s="3" t="s">
        <v>116</v>
      </c>
      <c r="G567" s="3" t="s">
        <v>338</v>
      </c>
      <c r="H567" s="3" t="s">
        <v>146</v>
      </c>
      <c r="I567" s="3" t="s">
        <v>329</v>
      </c>
      <c r="J567" s="3" t="s">
        <v>330</v>
      </c>
      <c r="K567" s="3" t="s">
        <v>33</v>
      </c>
      <c r="L567" s="3" t="s">
        <v>51</v>
      </c>
      <c r="M567" s="3" t="s">
        <v>438</v>
      </c>
      <c r="N567" s="3" t="s">
        <v>439</v>
      </c>
      <c r="O567" s="3" t="s">
        <v>197</v>
      </c>
      <c r="P567" s="3" t="s">
        <v>198</v>
      </c>
      <c r="Q567" s="3" t="s">
        <v>39</v>
      </c>
      <c r="R567" s="3" t="s">
        <v>40</v>
      </c>
      <c r="S567" s="55">
        <v>35585.699999999997</v>
      </c>
      <c r="T567" s="55">
        <v>0</v>
      </c>
      <c r="U567" s="55">
        <v>0</v>
      </c>
      <c r="V567" s="55">
        <v>35585.699999999997</v>
      </c>
      <c r="W567" s="3">
        <v>0</v>
      </c>
    </row>
    <row r="568" spans="1:23" x14ac:dyDescent="0.35">
      <c r="A568" s="3" t="s">
        <v>421</v>
      </c>
      <c r="B568" s="3" t="s">
        <v>422</v>
      </c>
      <c r="C568" s="3" t="s">
        <v>342</v>
      </c>
      <c r="D568" s="3" t="s">
        <v>337</v>
      </c>
      <c r="E568" s="3" t="s">
        <v>327</v>
      </c>
      <c r="F568" s="3" t="s">
        <v>116</v>
      </c>
      <c r="G568" s="3" t="s">
        <v>338</v>
      </c>
      <c r="H568" s="3" t="s">
        <v>146</v>
      </c>
      <c r="I568" s="3" t="s">
        <v>329</v>
      </c>
      <c r="J568" s="3" t="s">
        <v>330</v>
      </c>
      <c r="K568" s="3" t="s">
        <v>33</v>
      </c>
      <c r="L568" s="3" t="s">
        <v>51</v>
      </c>
      <c r="M568" s="3" t="s">
        <v>343</v>
      </c>
      <c r="N568" s="3" t="s">
        <v>344</v>
      </c>
      <c r="O568" s="3" t="s">
        <v>37</v>
      </c>
      <c r="P568" s="3" t="s">
        <v>38</v>
      </c>
      <c r="Q568" s="3" t="s">
        <v>39</v>
      </c>
      <c r="R568" s="3" t="s">
        <v>40</v>
      </c>
      <c r="S568" s="55">
        <v>46.1</v>
      </c>
      <c r="T568" s="55">
        <v>0</v>
      </c>
      <c r="U568" s="55">
        <v>0</v>
      </c>
      <c r="V568" s="55">
        <v>46.1</v>
      </c>
      <c r="W568" s="3">
        <v>0</v>
      </c>
    </row>
    <row r="569" spans="1:23" x14ac:dyDescent="0.35">
      <c r="A569" s="3" t="s">
        <v>421</v>
      </c>
      <c r="B569" s="3" t="s">
        <v>422</v>
      </c>
      <c r="C569" s="3" t="s">
        <v>345</v>
      </c>
      <c r="D569" s="3" t="s">
        <v>337</v>
      </c>
      <c r="E569" s="3" t="s">
        <v>327</v>
      </c>
      <c r="F569" s="3" t="s">
        <v>116</v>
      </c>
      <c r="G569" s="3" t="s">
        <v>338</v>
      </c>
      <c r="H569" s="3" t="s">
        <v>146</v>
      </c>
      <c r="I569" s="3" t="s">
        <v>329</v>
      </c>
      <c r="J569" s="3" t="s">
        <v>330</v>
      </c>
      <c r="K569" s="3" t="s">
        <v>33</v>
      </c>
      <c r="L569" s="3" t="s">
        <v>51</v>
      </c>
      <c r="M569" s="3" t="s">
        <v>346</v>
      </c>
      <c r="N569" s="3" t="s">
        <v>347</v>
      </c>
      <c r="O569" s="3" t="s">
        <v>197</v>
      </c>
      <c r="P569" s="3" t="s">
        <v>198</v>
      </c>
      <c r="Q569" s="3" t="s">
        <v>39</v>
      </c>
      <c r="R569" s="3" t="s">
        <v>40</v>
      </c>
      <c r="S569" s="55">
        <v>98282.8</v>
      </c>
      <c r="T569" s="55">
        <v>0</v>
      </c>
      <c r="U569" s="55">
        <v>0</v>
      </c>
      <c r="V569" s="55">
        <v>98282.8</v>
      </c>
      <c r="W569" s="3">
        <v>0</v>
      </c>
    </row>
    <row r="570" spans="1:23" x14ac:dyDescent="0.35">
      <c r="A570" s="3" t="s">
        <v>421</v>
      </c>
      <c r="B570" s="3" t="s">
        <v>422</v>
      </c>
      <c r="C570" s="3" t="s">
        <v>348</v>
      </c>
      <c r="D570" s="3" t="s">
        <v>337</v>
      </c>
      <c r="E570" s="3" t="s">
        <v>327</v>
      </c>
      <c r="F570" s="3" t="s">
        <v>116</v>
      </c>
      <c r="G570" s="3" t="s">
        <v>338</v>
      </c>
      <c r="H570" s="3" t="s">
        <v>146</v>
      </c>
      <c r="I570" s="3" t="s">
        <v>329</v>
      </c>
      <c r="J570" s="3" t="s">
        <v>330</v>
      </c>
      <c r="K570" s="3" t="s">
        <v>33</v>
      </c>
      <c r="L570" s="3" t="s">
        <v>51</v>
      </c>
      <c r="M570" s="3" t="s">
        <v>349</v>
      </c>
      <c r="N570" s="3" t="s">
        <v>350</v>
      </c>
      <c r="O570" s="3" t="s">
        <v>197</v>
      </c>
      <c r="P570" s="3" t="s">
        <v>198</v>
      </c>
      <c r="Q570" s="3" t="s">
        <v>39</v>
      </c>
      <c r="R570" s="3" t="s">
        <v>40</v>
      </c>
      <c r="S570" s="55">
        <v>100</v>
      </c>
      <c r="T570" s="55">
        <v>0</v>
      </c>
      <c r="U570" s="55">
        <v>0</v>
      </c>
      <c r="V570" s="55">
        <v>100</v>
      </c>
      <c r="W570" s="3">
        <v>0</v>
      </c>
    </row>
    <row r="571" spans="1:23" x14ac:dyDescent="0.35">
      <c r="A571" s="3" t="s">
        <v>421</v>
      </c>
      <c r="B571" s="3" t="s">
        <v>422</v>
      </c>
      <c r="C571" s="3" t="s">
        <v>546</v>
      </c>
      <c r="D571" s="3" t="s">
        <v>337</v>
      </c>
      <c r="E571" s="3" t="s">
        <v>327</v>
      </c>
      <c r="F571" s="3" t="s">
        <v>116</v>
      </c>
      <c r="G571" s="3" t="s">
        <v>338</v>
      </c>
      <c r="H571" s="3" t="s">
        <v>146</v>
      </c>
      <c r="I571" s="3" t="s">
        <v>329</v>
      </c>
      <c r="J571" s="3" t="s">
        <v>330</v>
      </c>
      <c r="K571" s="3" t="s">
        <v>33</v>
      </c>
      <c r="L571" s="3" t="s">
        <v>51</v>
      </c>
      <c r="M571" s="3" t="s">
        <v>547</v>
      </c>
      <c r="N571" s="3" t="s">
        <v>548</v>
      </c>
      <c r="O571" s="3" t="s">
        <v>197</v>
      </c>
      <c r="P571" s="3" t="s">
        <v>198</v>
      </c>
      <c r="Q571" s="3" t="s">
        <v>39</v>
      </c>
      <c r="R571" s="3" t="s">
        <v>40</v>
      </c>
      <c r="S571" s="55">
        <v>15384.9</v>
      </c>
      <c r="T571" s="55">
        <v>0</v>
      </c>
      <c r="U571" s="55">
        <v>0</v>
      </c>
      <c r="V571" s="55">
        <v>15384.9</v>
      </c>
      <c r="W571" s="3">
        <v>0</v>
      </c>
    </row>
    <row r="572" spans="1:23" x14ac:dyDescent="0.35">
      <c r="A572" s="3" t="s">
        <v>421</v>
      </c>
      <c r="B572" s="3" t="s">
        <v>422</v>
      </c>
      <c r="C572" s="3" t="s">
        <v>455</v>
      </c>
      <c r="D572" s="3" t="s">
        <v>337</v>
      </c>
      <c r="E572" s="3" t="s">
        <v>327</v>
      </c>
      <c r="F572" s="3" t="s">
        <v>116</v>
      </c>
      <c r="G572" s="3" t="s">
        <v>338</v>
      </c>
      <c r="H572" s="3" t="s">
        <v>146</v>
      </c>
      <c r="I572" s="3" t="s">
        <v>329</v>
      </c>
      <c r="J572" s="3" t="s">
        <v>330</v>
      </c>
      <c r="K572" s="3" t="s">
        <v>33</v>
      </c>
      <c r="L572" s="3" t="s">
        <v>51</v>
      </c>
      <c r="M572" s="3" t="s">
        <v>456</v>
      </c>
      <c r="N572" s="3" t="s">
        <v>457</v>
      </c>
      <c r="O572" s="3" t="s">
        <v>197</v>
      </c>
      <c r="P572" s="3" t="s">
        <v>198</v>
      </c>
      <c r="Q572" s="3" t="s">
        <v>39</v>
      </c>
      <c r="R572" s="3" t="s">
        <v>40</v>
      </c>
      <c r="S572" s="55">
        <v>2903.1</v>
      </c>
      <c r="T572" s="55">
        <v>0</v>
      </c>
      <c r="U572" s="55">
        <v>0</v>
      </c>
      <c r="V572" s="55">
        <v>2903.1</v>
      </c>
      <c r="W572" s="3">
        <v>0</v>
      </c>
    </row>
    <row r="573" spans="1:23" x14ac:dyDescent="0.35">
      <c r="A573" s="3" t="s">
        <v>421</v>
      </c>
      <c r="B573" s="3" t="s">
        <v>422</v>
      </c>
      <c r="C573" s="3" t="s">
        <v>354</v>
      </c>
      <c r="D573" s="3" t="s">
        <v>337</v>
      </c>
      <c r="E573" s="3" t="s">
        <v>327</v>
      </c>
      <c r="F573" s="3" t="s">
        <v>116</v>
      </c>
      <c r="G573" s="3" t="s">
        <v>338</v>
      </c>
      <c r="H573" s="3" t="s">
        <v>146</v>
      </c>
      <c r="I573" s="3" t="s">
        <v>329</v>
      </c>
      <c r="J573" s="3" t="s">
        <v>330</v>
      </c>
      <c r="K573" s="3" t="s">
        <v>33</v>
      </c>
      <c r="L573" s="3" t="s">
        <v>51</v>
      </c>
      <c r="M573" s="3" t="s">
        <v>355</v>
      </c>
      <c r="N573" s="3" t="s">
        <v>356</v>
      </c>
      <c r="O573" s="3" t="s">
        <v>197</v>
      </c>
      <c r="P573" s="3" t="s">
        <v>198</v>
      </c>
      <c r="Q573" s="3" t="s">
        <v>39</v>
      </c>
      <c r="R573" s="3" t="s">
        <v>40</v>
      </c>
      <c r="S573" s="55">
        <v>34143.9</v>
      </c>
      <c r="T573" s="55">
        <v>2895.4992000000002</v>
      </c>
      <c r="U573" s="55">
        <v>2895.4992000000002</v>
      </c>
      <c r="V573" s="55">
        <v>31248.400799999999</v>
      </c>
      <c r="W573" s="3">
        <v>8</v>
      </c>
    </row>
    <row r="574" spans="1:23" x14ac:dyDescent="0.35">
      <c r="A574" s="3" t="s">
        <v>421</v>
      </c>
      <c r="B574" s="3" t="s">
        <v>422</v>
      </c>
      <c r="C574" s="3" t="s">
        <v>363</v>
      </c>
      <c r="D574" s="3" t="s">
        <v>364</v>
      </c>
      <c r="E574" s="3" t="s">
        <v>365</v>
      </c>
      <c r="F574" s="3" t="s">
        <v>189</v>
      </c>
      <c r="G574" s="3" t="s">
        <v>366</v>
      </c>
      <c r="H574" s="3" t="s">
        <v>28</v>
      </c>
      <c r="I574" s="3" t="s">
        <v>231</v>
      </c>
      <c r="J574" s="3" t="s">
        <v>232</v>
      </c>
      <c r="K574" s="3" t="s">
        <v>33</v>
      </c>
      <c r="L574" s="3" t="s">
        <v>51</v>
      </c>
      <c r="M574" s="3" t="s">
        <v>367</v>
      </c>
      <c r="N574" s="3" t="s">
        <v>368</v>
      </c>
      <c r="O574" s="3" t="s">
        <v>108</v>
      </c>
      <c r="P574" s="3" t="s">
        <v>109</v>
      </c>
      <c r="Q574" s="3" t="s">
        <v>39</v>
      </c>
      <c r="R574" s="3" t="s">
        <v>40</v>
      </c>
      <c r="S574" s="55">
        <v>181890.3</v>
      </c>
      <c r="T574" s="55">
        <v>28166.3</v>
      </c>
      <c r="U574" s="55">
        <v>15491.475</v>
      </c>
      <c r="V574" s="55">
        <v>153724</v>
      </c>
      <c r="W574" s="3">
        <v>15</v>
      </c>
    </row>
    <row r="575" spans="1:23" x14ac:dyDescent="0.35">
      <c r="A575" s="3" t="s">
        <v>421</v>
      </c>
      <c r="B575" s="3" t="s">
        <v>422</v>
      </c>
      <c r="C575" s="3" t="s">
        <v>369</v>
      </c>
      <c r="D575" s="3" t="s">
        <v>364</v>
      </c>
      <c r="E575" s="3" t="s">
        <v>365</v>
      </c>
      <c r="F575" s="3" t="s">
        <v>189</v>
      </c>
      <c r="G575" s="3" t="s">
        <v>366</v>
      </c>
      <c r="H575" s="3" t="s">
        <v>28</v>
      </c>
      <c r="I575" s="3" t="s">
        <v>231</v>
      </c>
      <c r="J575" s="3" t="s">
        <v>232</v>
      </c>
      <c r="K575" s="3" t="s">
        <v>33</v>
      </c>
      <c r="L575" s="3" t="s">
        <v>51</v>
      </c>
      <c r="M575" s="3" t="s">
        <v>367</v>
      </c>
      <c r="N575" s="3" t="s">
        <v>368</v>
      </c>
      <c r="O575" s="3" t="s">
        <v>334</v>
      </c>
      <c r="P575" s="3" t="s">
        <v>335</v>
      </c>
      <c r="Q575" s="3" t="s">
        <v>39</v>
      </c>
      <c r="R575" s="3" t="s">
        <v>40</v>
      </c>
      <c r="S575" s="55">
        <v>18356.2</v>
      </c>
      <c r="T575" s="55">
        <v>2200.6974</v>
      </c>
      <c r="U575" s="55">
        <v>1254.2224000000001</v>
      </c>
      <c r="V575" s="55">
        <v>16155.5026</v>
      </c>
      <c r="W575" s="3">
        <v>12</v>
      </c>
    </row>
    <row r="576" spans="1:23" x14ac:dyDescent="0.35">
      <c r="A576" s="3" t="s">
        <v>421</v>
      </c>
      <c r="B576" s="3" t="s">
        <v>422</v>
      </c>
      <c r="C576" s="3" t="s">
        <v>373</v>
      </c>
      <c r="D576" s="3" t="s">
        <v>364</v>
      </c>
      <c r="E576" s="3" t="s">
        <v>365</v>
      </c>
      <c r="F576" s="3" t="s">
        <v>189</v>
      </c>
      <c r="G576" s="3" t="s">
        <v>366</v>
      </c>
      <c r="H576" s="3" t="s">
        <v>28</v>
      </c>
      <c r="I576" s="3" t="s">
        <v>231</v>
      </c>
      <c r="J576" s="3" t="s">
        <v>232</v>
      </c>
      <c r="K576" s="3" t="s">
        <v>33</v>
      </c>
      <c r="L576" s="3" t="s">
        <v>51</v>
      </c>
      <c r="M576" s="3" t="s">
        <v>371</v>
      </c>
      <c r="N576" s="3" t="s">
        <v>372</v>
      </c>
      <c r="O576" s="3" t="s">
        <v>334</v>
      </c>
      <c r="P576" s="3" t="s">
        <v>335</v>
      </c>
      <c r="Q576" s="3" t="s">
        <v>39</v>
      </c>
      <c r="R576" s="3" t="s">
        <v>40</v>
      </c>
      <c r="S576" s="55">
        <v>109296.5</v>
      </c>
      <c r="T576" s="55">
        <v>20103.070899999999</v>
      </c>
      <c r="U576" s="55">
        <v>12362.3166</v>
      </c>
      <c r="V576" s="55">
        <v>89193.429099999994</v>
      </c>
      <c r="W576" s="3">
        <v>18</v>
      </c>
    </row>
    <row r="577" spans="1:23" x14ac:dyDescent="0.35">
      <c r="A577" s="3" t="s">
        <v>421</v>
      </c>
      <c r="B577" s="3" t="s">
        <v>422</v>
      </c>
      <c r="C577" s="3" t="s">
        <v>374</v>
      </c>
      <c r="D577" s="3" t="s">
        <v>364</v>
      </c>
      <c r="E577" s="3" t="s">
        <v>365</v>
      </c>
      <c r="F577" s="3" t="s">
        <v>189</v>
      </c>
      <c r="G577" s="3" t="s">
        <v>366</v>
      </c>
      <c r="H577" s="3" t="s">
        <v>28</v>
      </c>
      <c r="I577" s="3" t="s">
        <v>231</v>
      </c>
      <c r="J577" s="3" t="s">
        <v>232</v>
      </c>
      <c r="K577" s="3" t="s">
        <v>33</v>
      </c>
      <c r="L577" s="3" t="s">
        <v>51</v>
      </c>
      <c r="M577" s="3" t="s">
        <v>375</v>
      </c>
      <c r="N577" s="3" t="s">
        <v>376</v>
      </c>
      <c r="O577" s="3" t="s">
        <v>197</v>
      </c>
      <c r="P577" s="3" t="s">
        <v>198</v>
      </c>
      <c r="Q577" s="3" t="s">
        <v>39</v>
      </c>
      <c r="R577" s="3" t="s">
        <v>40</v>
      </c>
      <c r="S577" s="55">
        <v>10386</v>
      </c>
      <c r="T577" s="55">
        <v>0</v>
      </c>
      <c r="U577" s="55">
        <v>0</v>
      </c>
      <c r="V577" s="55">
        <v>10386</v>
      </c>
      <c r="W577" s="3">
        <v>0</v>
      </c>
    </row>
    <row r="578" spans="1:23" x14ac:dyDescent="0.35">
      <c r="A578" s="3" t="s">
        <v>421</v>
      </c>
      <c r="B578" s="3" t="s">
        <v>422</v>
      </c>
      <c r="C578" s="3" t="s">
        <v>377</v>
      </c>
      <c r="D578" s="3" t="s">
        <v>364</v>
      </c>
      <c r="E578" s="3" t="s">
        <v>365</v>
      </c>
      <c r="F578" s="3" t="s">
        <v>189</v>
      </c>
      <c r="G578" s="3" t="s">
        <v>366</v>
      </c>
      <c r="H578" s="3" t="s">
        <v>28</v>
      </c>
      <c r="I578" s="3" t="s">
        <v>231</v>
      </c>
      <c r="J578" s="3" t="s">
        <v>232</v>
      </c>
      <c r="K578" s="3" t="s">
        <v>33</v>
      </c>
      <c r="L578" s="3" t="s">
        <v>51</v>
      </c>
      <c r="M578" s="3" t="s">
        <v>378</v>
      </c>
      <c r="N578" s="3" t="s">
        <v>549</v>
      </c>
      <c r="O578" s="3" t="s">
        <v>108</v>
      </c>
      <c r="P578" s="3" t="s">
        <v>109</v>
      </c>
      <c r="Q578" s="3" t="s">
        <v>39</v>
      </c>
      <c r="R578" s="3" t="s">
        <v>40</v>
      </c>
      <c r="S578" s="55">
        <v>12844.7</v>
      </c>
      <c r="T578" s="55">
        <v>1809.3429000000001</v>
      </c>
      <c r="U578" s="55">
        <v>966.94780000000003</v>
      </c>
      <c r="V578" s="55">
        <v>11035.357099999999</v>
      </c>
      <c r="W578" s="3">
        <v>14</v>
      </c>
    </row>
    <row r="579" spans="1:23" x14ac:dyDescent="0.35">
      <c r="A579" s="3" t="s">
        <v>421</v>
      </c>
      <c r="B579" s="3" t="s">
        <v>422</v>
      </c>
      <c r="C579" s="3" t="s">
        <v>380</v>
      </c>
      <c r="D579" s="3" t="s">
        <v>364</v>
      </c>
      <c r="E579" s="3" t="s">
        <v>365</v>
      </c>
      <c r="F579" s="3" t="s">
        <v>189</v>
      </c>
      <c r="G579" s="3" t="s">
        <v>366</v>
      </c>
      <c r="H579" s="3" t="s">
        <v>28</v>
      </c>
      <c r="I579" s="3" t="s">
        <v>231</v>
      </c>
      <c r="J579" s="3" t="s">
        <v>232</v>
      </c>
      <c r="K579" s="3" t="s">
        <v>33</v>
      </c>
      <c r="L579" s="3" t="s">
        <v>51</v>
      </c>
      <c r="M579" s="3" t="s">
        <v>378</v>
      </c>
      <c r="N579" s="3" t="s">
        <v>549</v>
      </c>
      <c r="O579" s="3" t="s">
        <v>334</v>
      </c>
      <c r="P579" s="3" t="s">
        <v>335</v>
      </c>
      <c r="Q579" s="3" t="s">
        <v>39</v>
      </c>
      <c r="R579" s="3" t="s">
        <v>40</v>
      </c>
      <c r="S579" s="55">
        <v>443478.3</v>
      </c>
      <c r="T579" s="55">
        <v>74056.525899999993</v>
      </c>
      <c r="U579" s="55">
        <v>37001.414299999997</v>
      </c>
      <c r="V579" s="55">
        <v>369421.77409999998</v>
      </c>
      <c r="W579" s="3">
        <v>17</v>
      </c>
    </row>
    <row r="580" spans="1:23" x14ac:dyDescent="0.35">
      <c r="A580" s="3" t="s">
        <v>421</v>
      </c>
      <c r="B580" s="3" t="s">
        <v>422</v>
      </c>
      <c r="C580" s="3" t="s">
        <v>384</v>
      </c>
      <c r="D580" s="3" t="s">
        <v>364</v>
      </c>
      <c r="E580" s="3" t="s">
        <v>365</v>
      </c>
      <c r="F580" s="3" t="s">
        <v>189</v>
      </c>
      <c r="G580" s="3" t="s">
        <v>366</v>
      </c>
      <c r="H580" s="3" t="s">
        <v>28</v>
      </c>
      <c r="I580" s="3" t="s">
        <v>231</v>
      </c>
      <c r="J580" s="3" t="s">
        <v>232</v>
      </c>
      <c r="K580" s="3" t="s">
        <v>33</v>
      </c>
      <c r="L580" s="3" t="s">
        <v>51</v>
      </c>
      <c r="M580" s="3" t="s">
        <v>382</v>
      </c>
      <c r="N580" s="3" t="s">
        <v>383</v>
      </c>
      <c r="O580" s="3" t="s">
        <v>334</v>
      </c>
      <c r="P580" s="3" t="s">
        <v>335</v>
      </c>
      <c r="Q580" s="3" t="s">
        <v>39</v>
      </c>
      <c r="R580" s="3" t="s">
        <v>40</v>
      </c>
      <c r="S580" s="55">
        <v>51058.7</v>
      </c>
      <c r="T580" s="55">
        <v>8530.0550000000003</v>
      </c>
      <c r="U580" s="55">
        <v>4045.9272000000001</v>
      </c>
      <c r="V580" s="55">
        <v>42528.644999999997</v>
      </c>
      <c r="W580" s="3">
        <v>17</v>
      </c>
    </row>
    <row r="581" spans="1:23" x14ac:dyDescent="0.35">
      <c r="A581" s="3" t="s">
        <v>421</v>
      </c>
      <c r="B581" s="3" t="s">
        <v>422</v>
      </c>
      <c r="C581" s="3" t="s">
        <v>391</v>
      </c>
      <c r="D581" s="3" t="s">
        <v>392</v>
      </c>
      <c r="E581" s="3" t="s">
        <v>365</v>
      </c>
      <c r="F581" s="3" t="s">
        <v>28</v>
      </c>
      <c r="G581" s="3" t="s">
        <v>393</v>
      </c>
      <c r="H581" s="3" t="s">
        <v>28</v>
      </c>
      <c r="I581" s="3" t="s">
        <v>231</v>
      </c>
      <c r="J581" s="3" t="s">
        <v>232</v>
      </c>
      <c r="K581" s="3" t="s">
        <v>33</v>
      </c>
      <c r="L581" s="3" t="s">
        <v>51</v>
      </c>
      <c r="M581" s="3" t="s">
        <v>394</v>
      </c>
      <c r="N581" s="3" t="s">
        <v>395</v>
      </c>
      <c r="O581" s="3" t="s">
        <v>197</v>
      </c>
      <c r="P581" s="3" t="s">
        <v>198</v>
      </c>
      <c r="Q581" s="3" t="s">
        <v>39</v>
      </c>
      <c r="R581" s="3" t="s">
        <v>40</v>
      </c>
      <c r="S581" s="55">
        <v>48948.800000000003</v>
      </c>
      <c r="T581" s="55">
        <v>1321.7375</v>
      </c>
      <c r="U581" s="55">
        <v>1321.7375</v>
      </c>
      <c r="V581" s="55">
        <v>47627.0625</v>
      </c>
      <c r="W581" s="3">
        <v>3</v>
      </c>
    </row>
    <row r="582" spans="1:23" x14ac:dyDescent="0.35">
      <c r="A582" s="3" t="s">
        <v>421</v>
      </c>
      <c r="B582" s="3" t="s">
        <v>422</v>
      </c>
      <c r="C582" s="3" t="s">
        <v>550</v>
      </c>
      <c r="D582" s="3" t="s">
        <v>397</v>
      </c>
      <c r="E582" s="3" t="s">
        <v>365</v>
      </c>
      <c r="F582" s="3" t="s">
        <v>318</v>
      </c>
      <c r="G582" s="3" t="s">
        <v>398</v>
      </c>
      <c r="H582" s="3" t="s">
        <v>28</v>
      </c>
      <c r="I582" s="3" t="s">
        <v>231</v>
      </c>
      <c r="J582" s="3" t="s">
        <v>232</v>
      </c>
      <c r="K582" s="3" t="s">
        <v>33</v>
      </c>
      <c r="L582" s="3" t="s">
        <v>51</v>
      </c>
      <c r="M582" s="3" t="s">
        <v>551</v>
      </c>
      <c r="N582" s="3" t="s">
        <v>552</v>
      </c>
      <c r="O582" s="3" t="s">
        <v>108</v>
      </c>
      <c r="P582" s="3" t="s">
        <v>109</v>
      </c>
      <c r="Q582" s="3" t="s">
        <v>39</v>
      </c>
      <c r="R582" s="3" t="s">
        <v>40</v>
      </c>
      <c r="S582" s="55">
        <v>32359.3</v>
      </c>
      <c r="T582" s="55">
        <v>260</v>
      </c>
      <c r="U582" s="55">
        <v>0</v>
      </c>
      <c r="V582" s="55">
        <v>32099.3</v>
      </c>
      <c r="W582" s="3">
        <v>1</v>
      </c>
    </row>
    <row r="583" spans="1:23" x14ac:dyDescent="0.35">
      <c r="A583" s="3" t="s">
        <v>421</v>
      </c>
      <c r="B583" s="3" t="s">
        <v>422</v>
      </c>
      <c r="C583" s="3" t="s">
        <v>553</v>
      </c>
      <c r="D583" s="3" t="s">
        <v>404</v>
      </c>
      <c r="E583" s="3" t="s">
        <v>405</v>
      </c>
      <c r="F583" s="3" t="s">
        <v>146</v>
      </c>
      <c r="G583" s="3" t="s">
        <v>406</v>
      </c>
      <c r="H583" s="3" t="s">
        <v>318</v>
      </c>
      <c r="I583" s="3" t="s">
        <v>407</v>
      </c>
      <c r="J583" s="3" t="s">
        <v>554</v>
      </c>
      <c r="K583" s="3" t="s">
        <v>23</v>
      </c>
      <c r="L583" s="3" t="s">
        <v>203</v>
      </c>
      <c r="M583" s="3" t="s">
        <v>555</v>
      </c>
      <c r="N583" s="3" t="s">
        <v>442</v>
      </c>
      <c r="O583" s="3" t="s">
        <v>197</v>
      </c>
      <c r="P583" s="3" t="s">
        <v>198</v>
      </c>
      <c r="Q583" s="3" t="s">
        <v>39</v>
      </c>
      <c r="R583" s="3" t="s">
        <v>40</v>
      </c>
      <c r="S583" s="55">
        <v>9879.5</v>
      </c>
      <c r="T583" s="55">
        <v>0</v>
      </c>
      <c r="U583" s="55">
        <v>0</v>
      </c>
      <c r="V583" s="55">
        <v>9879.5</v>
      </c>
      <c r="W583" s="3">
        <v>0</v>
      </c>
    </row>
    <row r="584" spans="1:23" x14ac:dyDescent="0.35">
      <c r="A584" s="3" t="s">
        <v>421</v>
      </c>
      <c r="B584" s="3" t="s">
        <v>422</v>
      </c>
      <c r="C584" s="3" t="s">
        <v>403</v>
      </c>
      <c r="D584" s="3" t="s">
        <v>404</v>
      </c>
      <c r="E584" s="3" t="s">
        <v>405</v>
      </c>
      <c r="F584" s="3" t="s">
        <v>146</v>
      </c>
      <c r="G584" s="3" t="s">
        <v>406</v>
      </c>
      <c r="H584" s="3" t="s">
        <v>318</v>
      </c>
      <c r="I584" s="3" t="s">
        <v>407</v>
      </c>
      <c r="J584" s="3" t="s">
        <v>408</v>
      </c>
      <c r="K584" s="3" t="s">
        <v>33</v>
      </c>
      <c r="L584" s="3" t="s">
        <v>51</v>
      </c>
      <c r="M584" s="3" t="s">
        <v>409</v>
      </c>
      <c r="N584" s="3" t="s">
        <v>410</v>
      </c>
      <c r="O584" s="3" t="s">
        <v>108</v>
      </c>
      <c r="P584" s="3" t="s">
        <v>109</v>
      </c>
      <c r="Q584" s="3" t="s">
        <v>39</v>
      </c>
      <c r="R584" s="3" t="s">
        <v>40</v>
      </c>
      <c r="S584" s="55">
        <v>183125.7</v>
      </c>
      <c r="T584" s="55">
        <v>30321.824700000001</v>
      </c>
      <c r="U584" s="55">
        <v>15621.766100000001</v>
      </c>
      <c r="V584" s="55">
        <v>152803.87530000001</v>
      </c>
      <c r="W584" s="3">
        <v>17</v>
      </c>
    </row>
    <row r="585" spans="1:23" x14ac:dyDescent="0.35">
      <c r="A585" s="3" t="s">
        <v>421</v>
      </c>
      <c r="B585" s="3" t="s">
        <v>422</v>
      </c>
      <c r="C585" s="3" t="s">
        <v>556</v>
      </c>
      <c r="D585" s="3" t="s">
        <v>412</v>
      </c>
      <c r="E585" s="3" t="s">
        <v>405</v>
      </c>
      <c r="F585" s="3" t="s">
        <v>189</v>
      </c>
      <c r="G585" s="3" t="s">
        <v>413</v>
      </c>
      <c r="H585" s="3" t="s">
        <v>318</v>
      </c>
      <c r="I585" s="3" t="s">
        <v>407</v>
      </c>
      <c r="J585" s="3" t="s">
        <v>554</v>
      </c>
      <c r="K585" s="3" t="s">
        <v>23</v>
      </c>
      <c r="L585" s="3" t="s">
        <v>203</v>
      </c>
      <c r="M585" s="3" t="s">
        <v>557</v>
      </c>
      <c r="N585" s="3" t="s">
        <v>415</v>
      </c>
      <c r="O585" s="3" t="s">
        <v>197</v>
      </c>
      <c r="P585" s="3" t="s">
        <v>198</v>
      </c>
      <c r="Q585" s="3" t="s">
        <v>39</v>
      </c>
      <c r="R585" s="3" t="s">
        <v>40</v>
      </c>
      <c r="S585" s="55">
        <v>3545.6</v>
      </c>
      <c r="T585" s="55">
        <v>0</v>
      </c>
      <c r="U585" s="55">
        <v>0</v>
      </c>
      <c r="V585" s="55">
        <v>3545.6</v>
      </c>
      <c r="W585" s="3">
        <v>0</v>
      </c>
    </row>
    <row r="586" spans="1:23" x14ac:dyDescent="0.35">
      <c r="A586" s="3" t="s">
        <v>421</v>
      </c>
      <c r="B586" s="3" t="s">
        <v>422</v>
      </c>
      <c r="C586" s="3" t="s">
        <v>416</v>
      </c>
      <c r="D586" s="3" t="s">
        <v>417</v>
      </c>
      <c r="E586" s="3" t="s">
        <v>405</v>
      </c>
      <c r="F586" s="3" t="s">
        <v>28</v>
      </c>
      <c r="G586" s="3" t="s">
        <v>418</v>
      </c>
      <c r="H586" s="3" t="s">
        <v>318</v>
      </c>
      <c r="I586" s="3" t="s">
        <v>407</v>
      </c>
      <c r="J586" s="3" t="s">
        <v>408</v>
      </c>
      <c r="K586" s="3" t="s">
        <v>33</v>
      </c>
      <c r="L586" s="3" t="s">
        <v>51</v>
      </c>
      <c r="M586" s="3" t="s">
        <v>419</v>
      </c>
      <c r="N586" s="3" t="s">
        <v>420</v>
      </c>
      <c r="O586" s="3" t="s">
        <v>108</v>
      </c>
      <c r="P586" s="3" t="s">
        <v>109</v>
      </c>
      <c r="Q586" s="3" t="s">
        <v>39</v>
      </c>
      <c r="R586" s="3" t="s">
        <v>40</v>
      </c>
      <c r="S586" s="55">
        <v>325200.09999999998</v>
      </c>
      <c r="T586" s="55">
        <v>47663.330800000003</v>
      </c>
      <c r="U586" s="55">
        <v>29598.226299999998</v>
      </c>
      <c r="V586" s="55">
        <v>277536.76919999998</v>
      </c>
      <c r="W586" s="3">
        <v>15</v>
      </c>
    </row>
    <row r="587" spans="1:23" x14ac:dyDescent="0.35">
      <c r="A587" s="3" t="s">
        <v>443</v>
      </c>
      <c r="B587" s="3" t="s">
        <v>444</v>
      </c>
      <c r="C587" s="3" t="s">
        <v>25</v>
      </c>
      <c r="D587" s="3" t="s">
        <v>26</v>
      </c>
      <c r="E587" s="3" t="s">
        <v>27</v>
      </c>
      <c r="F587" s="3" t="s">
        <v>28</v>
      </c>
      <c r="G587" s="3" t="s">
        <v>29</v>
      </c>
      <c r="H587" s="3" t="s">
        <v>30</v>
      </c>
      <c r="I587" s="3" t="s">
        <v>31</v>
      </c>
      <c r="J587" s="3" t="s">
        <v>32</v>
      </c>
      <c r="K587" s="3" t="s">
        <v>33</v>
      </c>
      <c r="L587" s="3" t="s">
        <v>51</v>
      </c>
      <c r="M587" s="3" t="s">
        <v>35</v>
      </c>
      <c r="N587" s="3" t="s">
        <v>36</v>
      </c>
      <c r="O587" s="3" t="s">
        <v>37</v>
      </c>
      <c r="P587" s="3" t="s">
        <v>38</v>
      </c>
      <c r="Q587" s="3" t="s">
        <v>39</v>
      </c>
      <c r="R587" s="3" t="s">
        <v>40</v>
      </c>
      <c r="S587" s="55">
        <v>3772.6</v>
      </c>
      <c r="T587" s="55">
        <v>0</v>
      </c>
      <c r="U587" s="55">
        <v>0</v>
      </c>
      <c r="V587" s="55">
        <v>3772.6</v>
      </c>
      <c r="W587" s="3">
        <v>0</v>
      </c>
    </row>
    <row r="588" spans="1:23" x14ac:dyDescent="0.35">
      <c r="A588" s="3" t="s">
        <v>443</v>
      </c>
      <c r="B588" s="3" t="s">
        <v>444</v>
      </c>
      <c r="C588" s="3" t="s">
        <v>41</v>
      </c>
      <c r="D588" s="3" t="s">
        <v>26</v>
      </c>
      <c r="E588" s="3" t="s">
        <v>27</v>
      </c>
      <c r="F588" s="3" t="s">
        <v>28</v>
      </c>
      <c r="G588" s="3" t="s">
        <v>29</v>
      </c>
      <c r="H588" s="3" t="s">
        <v>30</v>
      </c>
      <c r="I588" s="3" t="s">
        <v>31</v>
      </c>
      <c r="J588" s="3" t="s">
        <v>32</v>
      </c>
      <c r="K588" s="3" t="s">
        <v>33</v>
      </c>
      <c r="L588" s="3" t="s">
        <v>51</v>
      </c>
      <c r="M588" s="3" t="s">
        <v>35</v>
      </c>
      <c r="N588" s="3" t="s">
        <v>36</v>
      </c>
      <c r="O588" s="3" t="s">
        <v>42</v>
      </c>
      <c r="P588" s="3" t="s">
        <v>43</v>
      </c>
      <c r="Q588" s="3" t="s">
        <v>39</v>
      </c>
      <c r="R588" s="3" t="s">
        <v>40</v>
      </c>
      <c r="S588" s="55">
        <v>8.3000000000000007</v>
      </c>
      <c r="T588" s="55">
        <v>0</v>
      </c>
      <c r="U588" s="55">
        <v>0</v>
      </c>
      <c r="V588" s="55">
        <v>8.3000000000000007</v>
      </c>
      <c r="W588" s="3">
        <v>0</v>
      </c>
    </row>
    <row r="589" spans="1:23" x14ac:dyDescent="0.35">
      <c r="A589" s="3" t="s">
        <v>443</v>
      </c>
      <c r="B589" s="3" t="s">
        <v>444</v>
      </c>
      <c r="C589" s="3" t="s">
        <v>44</v>
      </c>
      <c r="D589" s="3" t="s">
        <v>45</v>
      </c>
      <c r="E589" s="3" t="s">
        <v>27</v>
      </c>
      <c r="F589" s="3" t="s">
        <v>46</v>
      </c>
      <c r="G589" s="3" t="s">
        <v>47</v>
      </c>
      <c r="H589" s="3" t="s">
        <v>48</v>
      </c>
      <c r="I589" s="3" t="s">
        <v>49</v>
      </c>
      <c r="J589" s="3" t="s">
        <v>50</v>
      </c>
      <c r="K589" s="3" t="s">
        <v>33</v>
      </c>
      <c r="L589" s="3" t="s">
        <v>51</v>
      </c>
      <c r="M589" s="3" t="s">
        <v>52</v>
      </c>
      <c r="N589" s="3" t="s">
        <v>53</v>
      </c>
      <c r="O589" s="3" t="s">
        <v>54</v>
      </c>
      <c r="P589" s="3" t="s">
        <v>55</v>
      </c>
      <c r="Q589" s="3" t="s">
        <v>39</v>
      </c>
      <c r="R589" s="3" t="s">
        <v>40</v>
      </c>
      <c r="S589" s="55">
        <v>64.400000000000006</v>
      </c>
      <c r="T589" s="55">
        <v>0</v>
      </c>
      <c r="U589" s="55">
        <v>0</v>
      </c>
      <c r="V589" s="55">
        <v>64.400000000000006</v>
      </c>
      <c r="W589" s="3">
        <v>0</v>
      </c>
    </row>
    <row r="590" spans="1:23" x14ac:dyDescent="0.35">
      <c r="A590" s="3" t="s">
        <v>443</v>
      </c>
      <c r="B590" s="3" t="s">
        <v>444</v>
      </c>
      <c r="C590" s="3" t="s">
        <v>59</v>
      </c>
      <c r="D590" s="3" t="s">
        <v>45</v>
      </c>
      <c r="E590" s="3" t="s">
        <v>27</v>
      </c>
      <c r="F590" s="3" t="s">
        <v>46</v>
      </c>
      <c r="G590" s="3" t="s">
        <v>47</v>
      </c>
      <c r="H590" s="3" t="s">
        <v>60</v>
      </c>
      <c r="I590" s="3" t="s">
        <v>61</v>
      </c>
      <c r="J590" s="3" t="s">
        <v>62</v>
      </c>
      <c r="K590" s="3" t="s">
        <v>33</v>
      </c>
      <c r="L590" s="3" t="s">
        <v>51</v>
      </c>
      <c r="M590" s="3" t="s">
        <v>63</v>
      </c>
      <c r="N590" s="3" t="s">
        <v>64</v>
      </c>
      <c r="O590" s="3" t="s">
        <v>37</v>
      </c>
      <c r="P590" s="3" t="s">
        <v>38</v>
      </c>
      <c r="Q590" s="3" t="s">
        <v>39</v>
      </c>
      <c r="R590" s="3" t="s">
        <v>40</v>
      </c>
      <c r="S590" s="55">
        <v>208.2</v>
      </c>
      <c r="T590" s="55">
        <v>29.3</v>
      </c>
      <c r="U590" s="55">
        <v>20.100000000000001</v>
      </c>
      <c r="V590" s="55">
        <v>178.9</v>
      </c>
      <c r="W590" s="3">
        <v>14</v>
      </c>
    </row>
    <row r="591" spans="1:23" x14ac:dyDescent="0.35">
      <c r="A591" s="3" t="s">
        <v>443</v>
      </c>
      <c r="B591" s="3" t="s">
        <v>444</v>
      </c>
      <c r="C591" s="3" t="s">
        <v>65</v>
      </c>
      <c r="D591" s="3" t="s">
        <v>45</v>
      </c>
      <c r="E591" s="3" t="s">
        <v>27</v>
      </c>
      <c r="F591" s="3" t="s">
        <v>46</v>
      </c>
      <c r="G591" s="3" t="s">
        <v>47</v>
      </c>
      <c r="H591" s="3" t="s">
        <v>66</v>
      </c>
      <c r="I591" s="3" t="s">
        <v>67</v>
      </c>
      <c r="J591" s="3" t="s">
        <v>68</v>
      </c>
      <c r="K591" s="3" t="s">
        <v>33</v>
      </c>
      <c r="L591" s="3" t="s">
        <v>51</v>
      </c>
      <c r="M591" s="3" t="s">
        <v>69</v>
      </c>
      <c r="N591" s="3" t="s">
        <v>70</v>
      </c>
      <c r="O591" s="3" t="s">
        <v>37</v>
      </c>
      <c r="P591" s="3" t="s">
        <v>38</v>
      </c>
      <c r="Q591" s="3" t="s">
        <v>39</v>
      </c>
      <c r="R591" s="3" t="s">
        <v>40</v>
      </c>
      <c r="S591" s="55">
        <v>567.9</v>
      </c>
      <c r="T591" s="55">
        <v>0</v>
      </c>
      <c r="U591" s="55">
        <v>0</v>
      </c>
      <c r="V591" s="55">
        <v>567.9</v>
      </c>
      <c r="W591" s="3">
        <v>0</v>
      </c>
    </row>
    <row r="592" spans="1:23" x14ac:dyDescent="0.35">
      <c r="A592" s="3" t="s">
        <v>443</v>
      </c>
      <c r="B592" s="3" t="s">
        <v>444</v>
      </c>
      <c r="C592" s="3" t="s">
        <v>71</v>
      </c>
      <c r="D592" s="3" t="s">
        <v>45</v>
      </c>
      <c r="E592" s="3" t="s">
        <v>27</v>
      </c>
      <c r="F592" s="3" t="s">
        <v>46</v>
      </c>
      <c r="G592" s="3" t="s">
        <v>47</v>
      </c>
      <c r="H592" s="3" t="s">
        <v>30</v>
      </c>
      <c r="I592" s="3" t="s">
        <v>31</v>
      </c>
      <c r="J592" s="3" t="s">
        <v>32</v>
      </c>
      <c r="K592" s="3" t="s">
        <v>33</v>
      </c>
      <c r="L592" s="3" t="s">
        <v>51</v>
      </c>
      <c r="M592" s="3" t="s">
        <v>72</v>
      </c>
      <c r="N592" s="3" t="s">
        <v>73</v>
      </c>
      <c r="O592" s="3" t="s">
        <v>74</v>
      </c>
      <c r="P592" s="3" t="s">
        <v>75</v>
      </c>
      <c r="Q592" s="3" t="s">
        <v>39</v>
      </c>
      <c r="R592" s="3" t="s">
        <v>40</v>
      </c>
      <c r="S592" s="55">
        <v>246128.1</v>
      </c>
      <c r="T592" s="55">
        <v>68577.834900000002</v>
      </c>
      <c r="U592" s="55">
        <v>27652.794900000001</v>
      </c>
      <c r="V592" s="55">
        <v>177550.26509999999</v>
      </c>
      <c r="W592" s="3">
        <v>28</v>
      </c>
    </row>
    <row r="593" spans="1:23" x14ac:dyDescent="0.35">
      <c r="A593" s="3" t="s">
        <v>443</v>
      </c>
      <c r="B593" s="3" t="s">
        <v>444</v>
      </c>
      <c r="C593" s="3" t="s">
        <v>76</v>
      </c>
      <c r="D593" s="3" t="s">
        <v>45</v>
      </c>
      <c r="E593" s="3" t="s">
        <v>27</v>
      </c>
      <c r="F593" s="3" t="s">
        <v>46</v>
      </c>
      <c r="G593" s="3" t="s">
        <v>47</v>
      </c>
      <c r="H593" s="3" t="s">
        <v>30</v>
      </c>
      <c r="I593" s="3" t="s">
        <v>31</v>
      </c>
      <c r="J593" s="3" t="s">
        <v>32</v>
      </c>
      <c r="K593" s="3" t="s">
        <v>33</v>
      </c>
      <c r="L593" s="3" t="s">
        <v>51</v>
      </c>
      <c r="M593" s="3" t="s">
        <v>72</v>
      </c>
      <c r="N593" s="3" t="s">
        <v>73</v>
      </c>
      <c r="O593" s="3" t="s">
        <v>77</v>
      </c>
      <c r="P593" s="3" t="s">
        <v>78</v>
      </c>
      <c r="Q593" s="3" t="s">
        <v>39</v>
      </c>
      <c r="R593" s="3" t="s">
        <v>40</v>
      </c>
      <c r="S593" s="55">
        <v>140.5</v>
      </c>
      <c r="T593" s="55">
        <v>29.449000000000002</v>
      </c>
      <c r="U593" s="55">
        <v>6.6210000000000004</v>
      </c>
      <c r="V593" s="55">
        <v>111.051</v>
      </c>
      <c r="W593" s="3">
        <v>21</v>
      </c>
    </row>
    <row r="594" spans="1:23" x14ac:dyDescent="0.35">
      <c r="A594" s="3" t="s">
        <v>443</v>
      </c>
      <c r="B594" s="3" t="s">
        <v>444</v>
      </c>
      <c r="C594" s="3" t="s">
        <v>79</v>
      </c>
      <c r="D594" s="3" t="s">
        <v>45</v>
      </c>
      <c r="E594" s="3" t="s">
        <v>27</v>
      </c>
      <c r="F594" s="3" t="s">
        <v>46</v>
      </c>
      <c r="G594" s="3" t="s">
        <v>47</v>
      </c>
      <c r="H594" s="3" t="s">
        <v>30</v>
      </c>
      <c r="I594" s="3" t="s">
        <v>31</v>
      </c>
      <c r="J594" s="3" t="s">
        <v>32</v>
      </c>
      <c r="K594" s="3" t="s">
        <v>33</v>
      </c>
      <c r="L594" s="3" t="s">
        <v>51</v>
      </c>
      <c r="M594" s="3" t="s">
        <v>72</v>
      </c>
      <c r="N594" s="3" t="s">
        <v>73</v>
      </c>
      <c r="O594" s="3" t="s">
        <v>80</v>
      </c>
      <c r="P594" s="3" t="s">
        <v>81</v>
      </c>
      <c r="Q594" s="3" t="s">
        <v>39</v>
      </c>
      <c r="R594" s="3" t="s">
        <v>40</v>
      </c>
      <c r="S594" s="55">
        <v>73941.2</v>
      </c>
      <c r="T594" s="55">
        <v>10698.413699999999</v>
      </c>
      <c r="U594" s="55">
        <v>5208.9093000000003</v>
      </c>
      <c r="V594" s="55">
        <v>63242.7863</v>
      </c>
      <c r="W594" s="3">
        <v>14</v>
      </c>
    </row>
    <row r="595" spans="1:23" x14ac:dyDescent="0.35">
      <c r="A595" s="3" t="s">
        <v>443</v>
      </c>
      <c r="B595" s="3" t="s">
        <v>444</v>
      </c>
      <c r="C595" s="3" t="s">
        <v>82</v>
      </c>
      <c r="D595" s="3" t="s">
        <v>45</v>
      </c>
      <c r="E595" s="3" t="s">
        <v>27</v>
      </c>
      <c r="F595" s="3" t="s">
        <v>46</v>
      </c>
      <c r="G595" s="3" t="s">
        <v>47</v>
      </c>
      <c r="H595" s="3" t="s">
        <v>30</v>
      </c>
      <c r="I595" s="3" t="s">
        <v>31</v>
      </c>
      <c r="J595" s="3" t="s">
        <v>32</v>
      </c>
      <c r="K595" s="3" t="s">
        <v>33</v>
      </c>
      <c r="L595" s="3" t="s">
        <v>51</v>
      </c>
      <c r="M595" s="3" t="s">
        <v>72</v>
      </c>
      <c r="N595" s="3" t="s">
        <v>73</v>
      </c>
      <c r="O595" s="3" t="s">
        <v>83</v>
      </c>
      <c r="P595" s="3" t="s">
        <v>84</v>
      </c>
      <c r="Q595" s="3" t="s">
        <v>39</v>
      </c>
      <c r="R595" s="3" t="s">
        <v>40</v>
      </c>
      <c r="S595" s="55">
        <v>300</v>
      </c>
      <c r="T595" s="55">
        <v>0</v>
      </c>
      <c r="U595" s="55">
        <v>0</v>
      </c>
      <c r="V595" s="55">
        <v>300</v>
      </c>
      <c r="W595" s="3">
        <v>0</v>
      </c>
    </row>
    <row r="596" spans="1:23" x14ac:dyDescent="0.35">
      <c r="A596" s="3" t="s">
        <v>443</v>
      </c>
      <c r="B596" s="3" t="s">
        <v>444</v>
      </c>
      <c r="C596" s="3" t="s">
        <v>85</v>
      </c>
      <c r="D596" s="3" t="s">
        <v>45</v>
      </c>
      <c r="E596" s="3" t="s">
        <v>27</v>
      </c>
      <c r="F596" s="3" t="s">
        <v>46</v>
      </c>
      <c r="G596" s="3" t="s">
        <v>47</v>
      </c>
      <c r="H596" s="3" t="s">
        <v>30</v>
      </c>
      <c r="I596" s="3" t="s">
        <v>31</v>
      </c>
      <c r="J596" s="3" t="s">
        <v>32</v>
      </c>
      <c r="K596" s="3" t="s">
        <v>33</v>
      </c>
      <c r="L596" s="3" t="s">
        <v>51</v>
      </c>
      <c r="M596" s="3" t="s">
        <v>72</v>
      </c>
      <c r="N596" s="3" t="s">
        <v>73</v>
      </c>
      <c r="O596" s="3" t="s">
        <v>86</v>
      </c>
      <c r="P596" s="3" t="s">
        <v>87</v>
      </c>
      <c r="Q596" s="3" t="s">
        <v>39</v>
      </c>
      <c r="R596" s="3" t="s">
        <v>40</v>
      </c>
      <c r="S596" s="55">
        <v>16354.3</v>
      </c>
      <c r="T596" s="55">
        <v>0</v>
      </c>
      <c r="U596" s="55">
        <v>0</v>
      </c>
      <c r="V596" s="55">
        <v>16354.3</v>
      </c>
      <c r="W596" s="3">
        <v>0</v>
      </c>
    </row>
    <row r="597" spans="1:23" x14ac:dyDescent="0.35">
      <c r="A597" s="3" t="s">
        <v>443</v>
      </c>
      <c r="B597" s="3" t="s">
        <v>444</v>
      </c>
      <c r="C597" s="3" t="s">
        <v>88</v>
      </c>
      <c r="D597" s="3" t="s">
        <v>45</v>
      </c>
      <c r="E597" s="3" t="s">
        <v>27</v>
      </c>
      <c r="F597" s="3" t="s">
        <v>46</v>
      </c>
      <c r="G597" s="3" t="s">
        <v>47</v>
      </c>
      <c r="H597" s="3" t="s">
        <v>30</v>
      </c>
      <c r="I597" s="3" t="s">
        <v>31</v>
      </c>
      <c r="J597" s="3" t="s">
        <v>32</v>
      </c>
      <c r="K597" s="3" t="s">
        <v>33</v>
      </c>
      <c r="L597" s="3" t="s">
        <v>51</v>
      </c>
      <c r="M597" s="3" t="s">
        <v>72</v>
      </c>
      <c r="N597" s="3" t="s">
        <v>73</v>
      </c>
      <c r="O597" s="3" t="s">
        <v>37</v>
      </c>
      <c r="P597" s="3" t="s">
        <v>38</v>
      </c>
      <c r="Q597" s="3" t="s">
        <v>39</v>
      </c>
      <c r="R597" s="3" t="s">
        <v>40</v>
      </c>
      <c r="S597" s="55">
        <v>95111.1</v>
      </c>
      <c r="T597" s="55">
        <v>4252.0698000000002</v>
      </c>
      <c r="U597" s="55">
        <v>2137.1401000000001</v>
      </c>
      <c r="V597" s="55">
        <v>90859.030199999994</v>
      </c>
      <c r="W597" s="3">
        <v>4</v>
      </c>
    </row>
    <row r="598" spans="1:23" x14ac:dyDescent="0.35">
      <c r="A598" s="3" t="s">
        <v>443</v>
      </c>
      <c r="B598" s="3" t="s">
        <v>444</v>
      </c>
      <c r="C598" s="3" t="s">
        <v>89</v>
      </c>
      <c r="D598" s="3" t="s">
        <v>45</v>
      </c>
      <c r="E598" s="3" t="s">
        <v>27</v>
      </c>
      <c r="F598" s="3" t="s">
        <v>46</v>
      </c>
      <c r="G598" s="3" t="s">
        <v>47</v>
      </c>
      <c r="H598" s="3" t="s">
        <v>30</v>
      </c>
      <c r="I598" s="3" t="s">
        <v>31</v>
      </c>
      <c r="J598" s="3" t="s">
        <v>32</v>
      </c>
      <c r="K598" s="3" t="s">
        <v>33</v>
      </c>
      <c r="L598" s="3" t="s">
        <v>51</v>
      </c>
      <c r="M598" s="3" t="s">
        <v>72</v>
      </c>
      <c r="N598" s="3" t="s">
        <v>73</v>
      </c>
      <c r="O598" s="3" t="s">
        <v>42</v>
      </c>
      <c r="P598" s="3" t="s">
        <v>43</v>
      </c>
      <c r="Q598" s="3" t="s">
        <v>39</v>
      </c>
      <c r="R598" s="3" t="s">
        <v>40</v>
      </c>
      <c r="S598" s="55">
        <v>16160.9</v>
      </c>
      <c r="T598" s="55">
        <v>4761.4795999999997</v>
      </c>
      <c r="U598" s="55">
        <v>1897.2031999999999</v>
      </c>
      <c r="V598" s="55">
        <v>11399.420400000001</v>
      </c>
      <c r="W598" s="3">
        <v>29</v>
      </c>
    </row>
    <row r="599" spans="1:23" x14ac:dyDescent="0.35">
      <c r="A599" s="3" t="s">
        <v>443</v>
      </c>
      <c r="B599" s="3" t="s">
        <v>444</v>
      </c>
      <c r="C599" s="3" t="s">
        <v>93</v>
      </c>
      <c r="D599" s="3" t="s">
        <v>45</v>
      </c>
      <c r="E599" s="3" t="s">
        <v>27</v>
      </c>
      <c r="F599" s="3" t="s">
        <v>46</v>
      </c>
      <c r="G599" s="3" t="s">
        <v>47</v>
      </c>
      <c r="H599" s="3" t="s">
        <v>30</v>
      </c>
      <c r="I599" s="3" t="s">
        <v>31</v>
      </c>
      <c r="J599" s="3" t="s">
        <v>32</v>
      </c>
      <c r="K599" s="3" t="s">
        <v>33</v>
      </c>
      <c r="L599" s="3" t="s">
        <v>51</v>
      </c>
      <c r="M599" s="3" t="s">
        <v>94</v>
      </c>
      <c r="N599" s="3" t="s">
        <v>95</v>
      </c>
      <c r="O599" s="3" t="s">
        <v>96</v>
      </c>
      <c r="P599" s="3" t="s">
        <v>97</v>
      </c>
      <c r="Q599" s="3" t="s">
        <v>39</v>
      </c>
      <c r="R599" s="3" t="s">
        <v>40</v>
      </c>
      <c r="S599" s="55">
        <v>181743.4</v>
      </c>
      <c r="T599" s="55">
        <v>41472.531199999998</v>
      </c>
      <c r="U599" s="55">
        <v>13927.286099999999</v>
      </c>
      <c r="V599" s="55">
        <v>140270.8688</v>
      </c>
      <c r="W599" s="3">
        <v>23</v>
      </c>
    </row>
    <row r="600" spans="1:23" x14ac:dyDescent="0.35">
      <c r="A600" s="3" t="s">
        <v>443</v>
      </c>
      <c r="B600" s="3" t="s">
        <v>444</v>
      </c>
      <c r="C600" s="3" t="s">
        <v>98</v>
      </c>
      <c r="D600" s="3" t="s">
        <v>45</v>
      </c>
      <c r="E600" s="3" t="s">
        <v>27</v>
      </c>
      <c r="F600" s="3" t="s">
        <v>46</v>
      </c>
      <c r="G600" s="3" t="s">
        <v>47</v>
      </c>
      <c r="H600" s="3" t="s">
        <v>30</v>
      </c>
      <c r="I600" s="3" t="s">
        <v>31</v>
      </c>
      <c r="J600" s="3" t="s">
        <v>32</v>
      </c>
      <c r="K600" s="3" t="s">
        <v>33</v>
      </c>
      <c r="L600" s="3" t="s">
        <v>51</v>
      </c>
      <c r="M600" s="3" t="s">
        <v>94</v>
      </c>
      <c r="N600" s="3" t="s">
        <v>95</v>
      </c>
      <c r="O600" s="3" t="s">
        <v>99</v>
      </c>
      <c r="P600" s="3" t="s">
        <v>100</v>
      </c>
      <c r="Q600" s="3" t="s">
        <v>39</v>
      </c>
      <c r="R600" s="3" t="s">
        <v>40</v>
      </c>
      <c r="S600" s="55">
        <v>54698.400000000001</v>
      </c>
      <c r="T600" s="55">
        <v>10242.047500000001</v>
      </c>
      <c r="U600" s="55">
        <v>4516.4036999999998</v>
      </c>
      <c r="V600" s="55">
        <v>44456.352500000001</v>
      </c>
      <c r="W600" s="3">
        <v>19</v>
      </c>
    </row>
    <row r="601" spans="1:23" x14ac:dyDescent="0.35">
      <c r="A601" s="3" t="s">
        <v>443</v>
      </c>
      <c r="B601" s="3" t="s">
        <v>444</v>
      </c>
      <c r="C601" s="3" t="s">
        <v>101</v>
      </c>
      <c r="D601" s="3" t="s">
        <v>45</v>
      </c>
      <c r="E601" s="3" t="s">
        <v>27</v>
      </c>
      <c r="F601" s="3" t="s">
        <v>46</v>
      </c>
      <c r="G601" s="3" t="s">
        <v>47</v>
      </c>
      <c r="H601" s="3" t="s">
        <v>30</v>
      </c>
      <c r="I601" s="3" t="s">
        <v>31</v>
      </c>
      <c r="J601" s="3" t="s">
        <v>32</v>
      </c>
      <c r="K601" s="3" t="s">
        <v>33</v>
      </c>
      <c r="L601" s="3" t="s">
        <v>51</v>
      </c>
      <c r="M601" s="3" t="s">
        <v>94</v>
      </c>
      <c r="N601" s="3" t="s">
        <v>95</v>
      </c>
      <c r="O601" s="3" t="s">
        <v>37</v>
      </c>
      <c r="P601" s="3" t="s">
        <v>38</v>
      </c>
      <c r="Q601" s="3" t="s">
        <v>39</v>
      </c>
      <c r="R601" s="3" t="s">
        <v>40</v>
      </c>
      <c r="S601" s="55">
        <v>2625.5</v>
      </c>
      <c r="T601" s="55">
        <v>962.14850000000001</v>
      </c>
      <c r="U601" s="55">
        <v>124.81959999999999</v>
      </c>
      <c r="V601" s="55">
        <v>1663.3515</v>
      </c>
      <c r="W601" s="3">
        <v>37</v>
      </c>
    </row>
    <row r="602" spans="1:23" x14ac:dyDescent="0.35">
      <c r="A602" s="3" t="s">
        <v>443</v>
      </c>
      <c r="B602" s="3" t="s">
        <v>444</v>
      </c>
      <c r="C602" s="3" t="s">
        <v>467</v>
      </c>
      <c r="D602" s="3" t="s">
        <v>45</v>
      </c>
      <c r="E602" s="3" t="s">
        <v>27</v>
      </c>
      <c r="F602" s="3" t="s">
        <v>46</v>
      </c>
      <c r="G602" s="3" t="s">
        <v>47</v>
      </c>
      <c r="H602" s="3" t="s">
        <v>30</v>
      </c>
      <c r="I602" s="3" t="s">
        <v>31</v>
      </c>
      <c r="J602" s="3" t="s">
        <v>32</v>
      </c>
      <c r="K602" s="3" t="s">
        <v>33</v>
      </c>
      <c r="L602" s="3" t="s">
        <v>51</v>
      </c>
      <c r="M602" s="3" t="s">
        <v>94</v>
      </c>
      <c r="N602" s="3" t="s">
        <v>95</v>
      </c>
      <c r="O602" s="3" t="s">
        <v>468</v>
      </c>
      <c r="P602" s="3" t="s">
        <v>469</v>
      </c>
      <c r="Q602" s="3" t="s">
        <v>39</v>
      </c>
      <c r="R602" s="3" t="s">
        <v>40</v>
      </c>
      <c r="S602" s="55">
        <v>2</v>
      </c>
      <c r="T602" s="55">
        <v>1.9904999999999999</v>
      </c>
      <c r="U602" s="55">
        <v>1.9904999999999999</v>
      </c>
      <c r="V602" s="55">
        <v>9.4999999999999998E-3</v>
      </c>
      <c r="W602" s="3">
        <v>100</v>
      </c>
    </row>
    <row r="603" spans="1:23" x14ac:dyDescent="0.35">
      <c r="A603" s="3" t="s">
        <v>443</v>
      </c>
      <c r="B603" s="3" t="s">
        <v>444</v>
      </c>
      <c r="C603" s="3" t="s">
        <v>102</v>
      </c>
      <c r="D603" s="3" t="s">
        <v>45</v>
      </c>
      <c r="E603" s="3" t="s">
        <v>27</v>
      </c>
      <c r="F603" s="3" t="s">
        <v>46</v>
      </c>
      <c r="G603" s="3" t="s">
        <v>47</v>
      </c>
      <c r="H603" s="3" t="s">
        <v>30</v>
      </c>
      <c r="I603" s="3" t="s">
        <v>31</v>
      </c>
      <c r="J603" s="3" t="s">
        <v>32</v>
      </c>
      <c r="K603" s="3" t="s">
        <v>33</v>
      </c>
      <c r="L603" s="3" t="s">
        <v>51</v>
      </c>
      <c r="M603" s="3" t="s">
        <v>94</v>
      </c>
      <c r="N603" s="3" t="s">
        <v>95</v>
      </c>
      <c r="O603" s="3" t="s">
        <v>103</v>
      </c>
      <c r="P603" s="3" t="s">
        <v>104</v>
      </c>
      <c r="Q603" s="3" t="s">
        <v>39</v>
      </c>
      <c r="R603" s="3" t="s">
        <v>40</v>
      </c>
      <c r="S603" s="55">
        <v>3.7</v>
      </c>
      <c r="T603" s="55">
        <v>0.47589999999999999</v>
      </c>
      <c r="U603" s="55">
        <v>0</v>
      </c>
      <c r="V603" s="55">
        <v>3.2241</v>
      </c>
      <c r="W603" s="3">
        <v>13</v>
      </c>
    </row>
    <row r="604" spans="1:23" x14ac:dyDescent="0.35">
      <c r="A604" s="3" t="s">
        <v>443</v>
      </c>
      <c r="B604" s="3" t="s">
        <v>444</v>
      </c>
      <c r="C604" s="3" t="s">
        <v>105</v>
      </c>
      <c r="D604" s="3" t="s">
        <v>45</v>
      </c>
      <c r="E604" s="3" t="s">
        <v>27</v>
      </c>
      <c r="F604" s="3" t="s">
        <v>46</v>
      </c>
      <c r="G604" s="3" t="s">
        <v>47</v>
      </c>
      <c r="H604" s="3" t="s">
        <v>30</v>
      </c>
      <c r="I604" s="3" t="s">
        <v>31</v>
      </c>
      <c r="J604" s="3" t="s">
        <v>32</v>
      </c>
      <c r="K604" s="3" t="s">
        <v>33</v>
      </c>
      <c r="L604" s="3" t="s">
        <v>51</v>
      </c>
      <c r="M604" s="3" t="s">
        <v>106</v>
      </c>
      <c r="N604" s="3" t="s">
        <v>107</v>
      </c>
      <c r="O604" s="3" t="s">
        <v>108</v>
      </c>
      <c r="P604" s="3" t="s">
        <v>109</v>
      </c>
      <c r="Q604" s="3" t="s">
        <v>39</v>
      </c>
      <c r="R604" s="3" t="s">
        <v>40</v>
      </c>
      <c r="S604" s="55">
        <v>70925.600000000006</v>
      </c>
      <c r="T604" s="55">
        <v>14608.6</v>
      </c>
      <c r="U604" s="55">
        <v>5500</v>
      </c>
      <c r="V604" s="55">
        <v>56317</v>
      </c>
      <c r="W604" s="3">
        <v>21</v>
      </c>
    </row>
    <row r="605" spans="1:23" x14ac:dyDescent="0.35">
      <c r="A605" s="3" t="s">
        <v>443</v>
      </c>
      <c r="B605" s="3" t="s">
        <v>444</v>
      </c>
      <c r="C605" s="3" t="s">
        <v>110</v>
      </c>
      <c r="D605" s="3" t="s">
        <v>45</v>
      </c>
      <c r="E605" s="3" t="s">
        <v>27</v>
      </c>
      <c r="F605" s="3" t="s">
        <v>46</v>
      </c>
      <c r="G605" s="3" t="s">
        <v>47</v>
      </c>
      <c r="H605" s="3" t="s">
        <v>30</v>
      </c>
      <c r="I605" s="3" t="s">
        <v>31</v>
      </c>
      <c r="J605" s="3" t="s">
        <v>32</v>
      </c>
      <c r="K605" s="3" t="s">
        <v>33</v>
      </c>
      <c r="L605" s="3" t="s">
        <v>51</v>
      </c>
      <c r="M605" s="3" t="s">
        <v>111</v>
      </c>
      <c r="N605" s="3" t="s">
        <v>112</v>
      </c>
      <c r="O605" s="3" t="s">
        <v>37</v>
      </c>
      <c r="P605" s="3" t="s">
        <v>38</v>
      </c>
      <c r="Q605" s="3" t="s">
        <v>39</v>
      </c>
      <c r="R605" s="3" t="s">
        <v>40</v>
      </c>
      <c r="S605" s="55">
        <v>6362.8</v>
      </c>
      <c r="T605" s="55">
        <v>536.76199999999994</v>
      </c>
      <c r="U605" s="55">
        <v>285.6284</v>
      </c>
      <c r="V605" s="55">
        <v>5826.0379999999996</v>
      </c>
      <c r="W605" s="3">
        <v>8</v>
      </c>
    </row>
    <row r="606" spans="1:23" x14ac:dyDescent="0.35">
      <c r="A606" s="3" t="s">
        <v>443</v>
      </c>
      <c r="B606" s="3" t="s">
        <v>444</v>
      </c>
      <c r="C606" s="3" t="s">
        <v>113</v>
      </c>
      <c r="D606" s="3" t="s">
        <v>114</v>
      </c>
      <c r="E606" s="3" t="s">
        <v>115</v>
      </c>
      <c r="F606" s="3" t="s">
        <v>116</v>
      </c>
      <c r="G606" s="3" t="s">
        <v>117</v>
      </c>
      <c r="H606" s="3" t="s">
        <v>48</v>
      </c>
      <c r="I606" s="3" t="s">
        <v>49</v>
      </c>
      <c r="J606" s="3" t="s">
        <v>50</v>
      </c>
      <c r="K606" s="3" t="s">
        <v>33</v>
      </c>
      <c r="L606" s="3" t="s">
        <v>51</v>
      </c>
      <c r="M606" s="3" t="s">
        <v>118</v>
      </c>
      <c r="N606" s="3" t="s">
        <v>119</v>
      </c>
      <c r="O606" s="3" t="s">
        <v>37</v>
      </c>
      <c r="P606" s="3" t="s">
        <v>38</v>
      </c>
      <c r="Q606" s="3" t="s">
        <v>39</v>
      </c>
      <c r="R606" s="3" t="s">
        <v>40</v>
      </c>
      <c r="S606" s="55">
        <v>4082.8</v>
      </c>
      <c r="T606" s="55">
        <v>0</v>
      </c>
      <c r="U606" s="55">
        <v>0</v>
      </c>
      <c r="V606" s="55">
        <v>4082.8</v>
      </c>
      <c r="W606" s="3">
        <v>0</v>
      </c>
    </row>
    <row r="607" spans="1:23" x14ac:dyDescent="0.35">
      <c r="A607" s="3" t="s">
        <v>443</v>
      </c>
      <c r="B607" s="3" t="s">
        <v>444</v>
      </c>
      <c r="C607" s="3" t="s">
        <v>120</v>
      </c>
      <c r="D607" s="3" t="s">
        <v>114</v>
      </c>
      <c r="E607" s="3" t="s">
        <v>115</v>
      </c>
      <c r="F607" s="3" t="s">
        <v>116</v>
      </c>
      <c r="G607" s="3" t="s">
        <v>117</v>
      </c>
      <c r="H607" s="3" t="s">
        <v>48</v>
      </c>
      <c r="I607" s="3" t="s">
        <v>49</v>
      </c>
      <c r="J607" s="3" t="s">
        <v>50</v>
      </c>
      <c r="K607" s="3" t="s">
        <v>33</v>
      </c>
      <c r="L607" s="3" t="s">
        <v>51</v>
      </c>
      <c r="M607" s="3" t="s">
        <v>118</v>
      </c>
      <c r="N607" s="3" t="s">
        <v>119</v>
      </c>
      <c r="O607" s="3" t="s">
        <v>42</v>
      </c>
      <c r="P607" s="3" t="s">
        <v>43</v>
      </c>
      <c r="Q607" s="3" t="s">
        <v>39</v>
      </c>
      <c r="R607" s="3" t="s">
        <v>40</v>
      </c>
      <c r="S607" s="55">
        <v>778.7</v>
      </c>
      <c r="T607" s="55">
        <v>110.6816</v>
      </c>
      <c r="U607" s="55">
        <v>110.6816</v>
      </c>
      <c r="V607" s="55">
        <v>668.01840000000004</v>
      </c>
      <c r="W607" s="3">
        <v>14</v>
      </c>
    </row>
    <row r="608" spans="1:23" x14ac:dyDescent="0.35">
      <c r="A608" s="3" t="s">
        <v>443</v>
      </c>
      <c r="B608" s="3" t="s">
        <v>444</v>
      </c>
      <c r="C608" s="3" t="s">
        <v>121</v>
      </c>
      <c r="D608" s="3" t="s">
        <v>114</v>
      </c>
      <c r="E608" s="3" t="s">
        <v>115</v>
      </c>
      <c r="F608" s="3" t="s">
        <v>116</v>
      </c>
      <c r="G608" s="3" t="s">
        <v>117</v>
      </c>
      <c r="H608" s="3" t="s">
        <v>48</v>
      </c>
      <c r="I608" s="3" t="s">
        <v>49</v>
      </c>
      <c r="J608" s="3" t="s">
        <v>50</v>
      </c>
      <c r="K608" s="3" t="s">
        <v>33</v>
      </c>
      <c r="L608" s="3" t="s">
        <v>51</v>
      </c>
      <c r="M608" s="3" t="s">
        <v>118</v>
      </c>
      <c r="N608" s="3" t="s">
        <v>119</v>
      </c>
      <c r="O608" s="3" t="s">
        <v>122</v>
      </c>
      <c r="P608" s="3" t="s">
        <v>123</v>
      </c>
      <c r="Q608" s="3" t="s">
        <v>39</v>
      </c>
      <c r="R608" s="3" t="s">
        <v>40</v>
      </c>
      <c r="S608" s="55">
        <v>5312.2</v>
      </c>
      <c r="T608" s="55">
        <v>2714.5491999999999</v>
      </c>
      <c r="U608" s="55">
        <v>1502.271</v>
      </c>
      <c r="V608" s="55">
        <v>2597.6507999999999</v>
      </c>
      <c r="W608" s="3">
        <v>51</v>
      </c>
    </row>
    <row r="609" spans="1:23" x14ac:dyDescent="0.35">
      <c r="A609" s="3" t="s">
        <v>443</v>
      </c>
      <c r="B609" s="3" t="s">
        <v>444</v>
      </c>
      <c r="C609" s="3" t="s">
        <v>124</v>
      </c>
      <c r="D609" s="3" t="s">
        <v>114</v>
      </c>
      <c r="E609" s="3" t="s">
        <v>115</v>
      </c>
      <c r="F609" s="3" t="s">
        <v>116</v>
      </c>
      <c r="G609" s="3" t="s">
        <v>117</v>
      </c>
      <c r="H609" s="3" t="s">
        <v>48</v>
      </c>
      <c r="I609" s="3" t="s">
        <v>49</v>
      </c>
      <c r="J609" s="3" t="s">
        <v>50</v>
      </c>
      <c r="K609" s="3" t="s">
        <v>33</v>
      </c>
      <c r="L609" s="3" t="s">
        <v>51</v>
      </c>
      <c r="M609" s="3" t="s">
        <v>118</v>
      </c>
      <c r="N609" s="3" t="s">
        <v>119</v>
      </c>
      <c r="O609" s="3" t="s">
        <v>125</v>
      </c>
      <c r="P609" s="3" t="s">
        <v>126</v>
      </c>
      <c r="Q609" s="3" t="s">
        <v>39</v>
      </c>
      <c r="R609" s="3" t="s">
        <v>40</v>
      </c>
      <c r="S609" s="55">
        <v>1748.2</v>
      </c>
      <c r="T609" s="55">
        <v>476.76670000000001</v>
      </c>
      <c r="U609" s="55">
        <v>158.9222</v>
      </c>
      <c r="V609" s="55">
        <v>1271.4332999999999</v>
      </c>
      <c r="W609" s="3">
        <v>27</v>
      </c>
    </row>
    <row r="610" spans="1:23" x14ac:dyDescent="0.35">
      <c r="A610" s="3" t="s">
        <v>443</v>
      </c>
      <c r="B610" s="3" t="s">
        <v>444</v>
      </c>
      <c r="C610" s="3" t="s">
        <v>130</v>
      </c>
      <c r="D610" s="3" t="s">
        <v>131</v>
      </c>
      <c r="E610" s="3" t="s">
        <v>115</v>
      </c>
      <c r="F610" s="3" t="s">
        <v>132</v>
      </c>
      <c r="G610" s="3" t="s">
        <v>133</v>
      </c>
      <c r="H610" s="3" t="s">
        <v>48</v>
      </c>
      <c r="I610" s="3" t="s">
        <v>49</v>
      </c>
      <c r="J610" s="3" t="s">
        <v>50</v>
      </c>
      <c r="K610" s="3" t="s">
        <v>33</v>
      </c>
      <c r="L610" s="3" t="s">
        <v>51</v>
      </c>
      <c r="M610" s="3" t="s">
        <v>134</v>
      </c>
      <c r="N610" s="3" t="s">
        <v>135</v>
      </c>
      <c r="O610" s="3" t="s">
        <v>37</v>
      </c>
      <c r="P610" s="3" t="s">
        <v>38</v>
      </c>
      <c r="Q610" s="3" t="s">
        <v>39</v>
      </c>
      <c r="R610" s="3" t="s">
        <v>40</v>
      </c>
      <c r="S610" s="55">
        <v>22.1</v>
      </c>
      <c r="T610" s="55">
        <v>0</v>
      </c>
      <c r="U610" s="55">
        <v>0</v>
      </c>
      <c r="V610" s="55">
        <v>22.1</v>
      </c>
      <c r="W610" s="3">
        <v>0</v>
      </c>
    </row>
    <row r="611" spans="1:23" x14ac:dyDescent="0.35">
      <c r="A611" s="3" t="s">
        <v>443</v>
      </c>
      <c r="B611" s="3" t="s">
        <v>444</v>
      </c>
      <c r="C611" s="3" t="s">
        <v>448</v>
      </c>
      <c r="D611" s="3" t="s">
        <v>137</v>
      </c>
      <c r="E611" s="3" t="s">
        <v>138</v>
      </c>
      <c r="F611" s="3" t="s">
        <v>139</v>
      </c>
      <c r="G611" s="3" t="s">
        <v>140</v>
      </c>
      <c r="H611" s="3" t="s">
        <v>48</v>
      </c>
      <c r="I611" s="3" t="s">
        <v>49</v>
      </c>
      <c r="J611" s="3" t="s">
        <v>50</v>
      </c>
      <c r="K611" s="3" t="s">
        <v>33</v>
      </c>
      <c r="L611" s="3" t="s">
        <v>51</v>
      </c>
      <c r="M611" s="3" t="s">
        <v>446</v>
      </c>
      <c r="N611" s="3" t="s">
        <v>447</v>
      </c>
      <c r="O611" s="3" t="s">
        <v>197</v>
      </c>
      <c r="P611" s="3" t="s">
        <v>198</v>
      </c>
      <c r="Q611" s="3" t="s">
        <v>39</v>
      </c>
      <c r="R611" s="3" t="s">
        <v>40</v>
      </c>
      <c r="S611" s="55">
        <v>32862.199999999997</v>
      </c>
      <c r="T611" s="55">
        <v>0</v>
      </c>
      <c r="U611" s="55">
        <v>0</v>
      </c>
      <c r="V611" s="55">
        <v>32862.199999999997</v>
      </c>
      <c r="W611" s="3">
        <v>0</v>
      </c>
    </row>
    <row r="612" spans="1:23" x14ac:dyDescent="0.35">
      <c r="A612" s="3" t="s">
        <v>443</v>
      </c>
      <c r="B612" s="3" t="s">
        <v>444</v>
      </c>
      <c r="C612" s="3" t="s">
        <v>136</v>
      </c>
      <c r="D612" s="3" t="s">
        <v>137</v>
      </c>
      <c r="E612" s="3" t="s">
        <v>138</v>
      </c>
      <c r="F612" s="3" t="s">
        <v>139</v>
      </c>
      <c r="G612" s="3" t="s">
        <v>140</v>
      </c>
      <c r="H612" s="3" t="s">
        <v>30</v>
      </c>
      <c r="I612" s="3" t="s">
        <v>31</v>
      </c>
      <c r="J612" s="3" t="s">
        <v>32</v>
      </c>
      <c r="K612" s="3" t="s">
        <v>33</v>
      </c>
      <c r="L612" s="3" t="s">
        <v>51</v>
      </c>
      <c r="M612" s="3" t="s">
        <v>141</v>
      </c>
      <c r="N612" s="3" t="s">
        <v>142</v>
      </c>
      <c r="O612" s="3" t="s">
        <v>83</v>
      </c>
      <c r="P612" s="3" t="s">
        <v>84</v>
      </c>
      <c r="Q612" s="3" t="s">
        <v>39</v>
      </c>
      <c r="R612" s="3" t="s">
        <v>40</v>
      </c>
      <c r="S612" s="55">
        <v>5402.8</v>
      </c>
      <c r="T612" s="55">
        <v>1388.6061</v>
      </c>
      <c r="U612" s="55">
        <v>0</v>
      </c>
      <c r="V612" s="55">
        <v>4014.1939000000002</v>
      </c>
      <c r="W612" s="3">
        <v>26</v>
      </c>
    </row>
    <row r="613" spans="1:23" x14ac:dyDescent="0.35">
      <c r="A613" s="3" t="s">
        <v>443</v>
      </c>
      <c r="B613" s="3" t="s">
        <v>444</v>
      </c>
      <c r="C613" s="3" t="s">
        <v>143</v>
      </c>
      <c r="D613" s="3" t="s">
        <v>144</v>
      </c>
      <c r="E613" s="3" t="s">
        <v>145</v>
      </c>
      <c r="F613" s="3" t="s">
        <v>146</v>
      </c>
      <c r="G613" s="3" t="s">
        <v>147</v>
      </c>
      <c r="H613" s="3" t="s">
        <v>116</v>
      </c>
      <c r="I613" s="3" t="s">
        <v>148</v>
      </c>
      <c r="J613" s="3" t="s">
        <v>149</v>
      </c>
      <c r="K613" s="3" t="s">
        <v>33</v>
      </c>
      <c r="L613" s="3" t="s">
        <v>51</v>
      </c>
      <c r="M613" s="3" t="s">
        <v>150</v>
      </c>
      <c r="N613" s="3" t="s">
        <v>151</v>
      </c>
      <c r="O613" s="3" t="s">
        <v>37</v>
      </c>
      <c r="P613" s="3" t="s">
        <v>38</v>
      </c>
      <c r="Q613" s="3" t="s">
        <v>39</v>
      </c>
      <c r="R613" s="3" t="s">
        <v>40</v>
      </c>
      <c r="S613" s="55">
        <v>5247.5</v>
      </c>
      <c r="T613" s="55">
        <v>0</v>
      </c>
      <c r="U613" s="55">
        <v>0</v>
      </c>
      <c r="V613" s="55">
        <v>5247.5</v>
      </c>
      <c r="W613" s="3">
        <v>0</v>
      </c>
    </row>
    <row r="614" spans="1:23" x14ac:dyDescent="0.35">
      <c r="A614" s="3" t="s">
        <v>443</v>
      </c>
      <c r="B614" s="3" t="s">
        <v>444</v>
      </c>
      <c r="C614" s="3" t="s">
        <v>152</v>
      </c>
      <c r="D614" s="3" t="s">
        <v>144</v>
      </c>
      <c r="E614" s="3" t="s">
        <v>145</v>
      </c>
      <c r="F614" s="3" t="s">
        <v>146</v>
      </c>
      <c r="G614" s="3" t="s">
        <v>147</v>
      </c>
      <c r="H614" s="3" t="s">
        <v>116</v>
      </c>
      <c r="I614" s="3" t="s">
        <v>148</v>
      </c>
      <c r="J614" s="3" t="s">
        <v>149</v>
      </c>
      <c r="K614" s="3" t="s">
        <v>33</v>
      </c>
      <c r="L614" s="3" t="s">
        <v>51</v>
      </c>
      <c r="M614" s="3" t="s">
        <v>153</v>
      </c>
      <c r="N614" s="3" t="s">
        <v>154</v>
      </c>
      <c r="O614" s="3" t="s">
        <v>37</v>
      </c>
      <c r="P614" s="3" t="s">
        <v>38</v>
      </c>
      <c r="Q614" s="3" t="s">
        <v>39</v>
      </c>
      <c r="R614" s="3" t="s">
        <v>40</v>
      </c>
      <c r="S614" s="55">
        <v>58395.199999999997</v>
      </c>
      <c r="T614" s="55">
        <v>0</v>
      </c>
      <c r="U614" s="55">
        <v>0</v>
      </c>
      <c r="V614" s="55">
        <v>58395.199999999997</v>
      </c>
      <c r="W614" s="3">
        <v>0</v>
      </c>
    </row>
    <row r="615" spans="1:23" x14ac:dyDescent="0.35">
      <c r="A615" s="3" t="s">
        <v>443</v>
      </c>
      <c r="B615" s="3" t="s">
        <v>444</v>
      </c>
      <c r="C615" s="3" t="s">
        <v>155</v>
      </c>
      <c r="D615" s="3" t="s">
        <v>144</v>
      </c>
      <c r="E615" s="3" t="s">
        <v>145</v>
      </c>
      <c r="F615" s="3" t="s">
        <v>146</v>
      </c>
      <c r="G615" s="3" t="s">
        <v>147</v>
      </c>
      <c r="H615" s="3" t="s">
        <v>116</v>
      </c>
      <c r="I615" s="3" t="s">
        <v>148</v>
      </c>
      <c r="J615" s="3" t="s">
        <v>149</v>
      </c>
      <c r="K615" s="3" t="s">
        <v>33</v>
      </c>
      <c r="L615" s="3" t="s">
        <v>51</v>
      </c>
      <c r="M615" s="3" t="s">
        <v>156</v>
      </c>
      <c r="N615" s="3" t="s">
        <v>157</v>
      </c>
      <c r="O615" s="3" t="s">
        <v>37</v>
      </c>
      <c r="P615" s="3" t="s">
        <v>38</v>
      </c>
      <c r="Q615" s="3" t="s">
        <v>39</v>
      </c>
      <c r="R615" s="3" t="s">
        <v>40</v>
      </c>
      <c r="S615" s="55">
        <v>1465.6</v>
      </c>
      <c r="T615" s="55">
        <v>48.814900000000002</v>
      </c>
      <c r="U615" s="55">
        <v>48.814900000000002</v>
      </c>
      <c r="V615" s="55">
        <v>1416.7851000000001</v>
      </c>
      <c r="W615" s="3">
        <v>3</v>
      </c>
    </row>
    <row r="616" spans="1:23" x14ac:dyDescent="0.35">
      <c r="A616" s="3" t="s">
        <v>443</v>
      </c>
      <c r="B616" s="3" t="s">
        <v>444</v>
      </c>
      <c r="C616" s="3" t="s">
        <v>158</v>
      </c>
      <c r="D616" s="3" t="s">
        <v>144</v>
      </c>
      <c r="E616" s="3" t="s">
        <v>145</v>
      </c>
      <c r="F616" s="3" t="s">
        <v>146</v>
      </c>
      <c r="G616" s="3" t="s">
        <v>147</v>
      </c>
      <c r="H616" s="3" t="s">
        <v>116</v>
      </c>
      <c r="I616" s="3" t="s">
        <v>148</v>
      </c>
      <c r="J616" s="3" t="s">
        <v>149</v>
      </c>
      <c r="K616" s="3" t="s">
        <v>33</v>
      </c>
      <c r="L616" s="3" t="s">
        <v>51</v>
      </c>
      <c r="M616" s="3" t="s">
        <v>156</v>
      </c>
      <c r="N616" s="3" t="s">
        <v>157</v>
      </c>
      <c r="O616" s="3" t="s">
        <v>125</v>
      </c>
      <c r="P616" s="3" t="s">
        <v>126</v>
      </c>
      <c r="Q616" s="3" t="s">
        <v>39</v>
      </c>
      <c r="R616" s="3" t="s">
        <v>40</v>
      </c>
      <c r="S616" s="55">
        <v>105638.8</v>
      </c>
      <c r="T616" s="55">
        <v>30733.2186</v>
      </c>
      <c r="U616" s="55">
        <v>8494.8245000000006</v>
      </c>
      <c r="V616" s="55">
        <v>74905.581399999995</v>
      </c>
      <c r="W616" s="3">
        <v>29</v>
      </c>
    </row>
    <row r="617" spans="1:23" x14ac:dyDescent="0.35">
      <c r="A617" s="3" t="s">
        <v>443</v>
      </c>
      <c r="B617" s="3" t="s">
        <v>444</v>
      </c>
      <c r="C617" s="3" t="s">
        <v>159</v>
      </c>
      <c r="D617" s="3" t="s">
        <v>144</v>
      </c>
      <c r="E617" s="3" t="s">
        <v>145</v>
      </c>
      <c r="F617" s="3" t="s">
        <v>146</v>
      </c>
      <c r="G617" s="3" t="s">
        <v>147</v>
      </c>
      <c r="H617" s="3" t="s">
        <v>116</v>
      </c>
      <c r="I617" s="3" t="s">
        <v>148</v>
      </c>
      <c r="J617" s="3" t="s">
        <v>149</v>
      </c>
      <c r="K617" s="3" t="s">
        <v>33</v>
      </c>
      <c r="L617" s="3" t="s">
        <v>51</v>
      </c>
      <c r="M617" s="3" t="s">
        <v>160</v>
      </c>
      <c r="N617" s="3" t="s">
        <v>161</v>
      </c>
      <c r="O617" s="3" t="s">
        <v>37</v>
      </c>
      <c r="P617" s="3" t="s">
        <v>38</v>
      </c>
      <c r="Q617" s="3" t="s">
        <v>39</v>
      </c>
      <c r="R617" s="3" t="s">
        <v>40</v>
      </c>
      <c r="S617" s="55">
        <v>24583.9</v>
      </c>
      <c r="T617" s="55">
        <v>360.12139999999999</v>
      </c>
      <c r="U617" s="55">
        <v>328.20850000000002</v>
      </c>
      <c r="V617" s="55">
        <v>24223.778600000001</v>
      </c>
      <c r="W617" s="3">
        <v>1</v>
      </c>
    </row>
    <row r="618" spans="1:23" x14ac:dyDescent="0.35">
      <c r="A618" s="3" t="s">
        <v>443</v>
      </c>
      <c r="B618" s="3" t="s">
        <v>444</v>
      </c>
      <c r="C618" s="3" t="s">
        <v>162</v>
      </c>
      <c r="D618" s="3" t="s">
        <v>144</v>
      </c>
      <c r="E618" s="3" t="s">
        <v>145</v>
      </c>
      <c r="F618" s="3" t="s">
        <v>146</v>
      </c>
      <c r="G618" s="3" t="s">
        <v>147</v>
      </c>
      <c r="H618" s="3" t="s">
        <v>116</v>
      </c>
      <c r="I618" s="3" t="s">
        <v>148</v>
      </c>
      <c r="J618" s="3" t="s">
        <v>149</v>
      </c>
      <c r="K618" s="3" t="s">
        <v>33</v>
      </c>
      <c r="L618" s="3" t="s">
        <v>51</v>
      </c>
      <c r="M618" s="3" t="s">
        <v>160</v>
      </c>
      <c r="N618" s="3" t="s">
        <v>161</v>
      </c>
      <c r="O618" s="3" t="s">
        <v>42</v>
      </c>
      <c r="P618" s="3" t="s">
        <v>43</v>
      </c>
      <c r="Q618" s="3" t="s">
        <v>39</v>
      </c>
      <c r="R618" s="3" t="s">
        <v>40</v>
      </c>
      <c r="S618" s="55">
        <v>6321.4</v>
      </c>
      <c r="T618" s="55">
        <v>0</v>
      </c>
      <c r="U618" s="55">
        <v>0</v>
      </c>
      <c r="V618" s="55">
        <v>6321.4</v>
      </c>
      <c r="W618" s="3">
        <v>0</v>
      </c>
    </row>
    <row r="619" spans="1:23" x14ac:dyDescent="0.35">
      <c r="A619" s="3" t="s">
        <v>443</v>
      </c>
      <c r="B619" s="3" t="s">
        <v>444</v>
      </c>
      <c r="C619" s="3" t="s">
        <v>163</v>
      </c>
      <c r="D619" s="3" t="s">
        <v>144</v>
      </c>
      <c r="E619" s="3" t="s">
        <v>145</v>
      </c>
      <c r="F619" s="3" t="s">
        <v>146</v>
      </c>
      <c r="G619" s="3" t="s">
        <v>147</v>
      </c>
      <c r="H619" s="3" t="s">
        <v>116</v>
      </c>
      <c r="I619" s="3" t="s">
        <v>148</v>
      </c>
      <c r="J619" s="3" t="s">
        <v>149</v>
      </c>
      <c r="K619" s="3" t="s">
        <v>33</v>
      </c>
      <c r="L619" s="3" t="s">
        <v>51</v>
      </c>
      <c r="M619" s="3" t="s">
        <v>160</v>
      </c>
      <c r="N619" s="3" t="s">
        <v>161</v>
      </c>
      <c r="O619" s="3" t="s">
        <v>125</v>
      </c>
      <c r="P619" s="3" t="s">
        <v>126</v>
      </c>
      <c r="Q619" s="3" t="s">
        <v>39</v>
      </c>
      <c r="R619" s="3" t="s">
        <v>40</v>
      </c>
      <c r="S619" s="55">
        <v>4785.7</v>
      </c>
      <c r="T619" s="55">
        <v>1490.7082</v>
      </c>
      <c r="U619" s="55">
        <v>372.74079999999998</v>
      </c>
      <c r="V619" s="55">
        <v>3294.9917999999998</v>
      </c>
      <c r="W619" s="3">
        <v>31</v>
      </c>
    </row>
    <row r="620" spans="1:23" x14ac:dyDescent="0.35">
      <c r="A620" s="3" t="s">
        <v>443</v>
      </c>
      <c r="B620" s="3" t="s">
        <v>444</v>
      </c>
      <c r="C620" s="3" t="s">
        <v>423</v>
      </c>
      <c r="D620" s="3" t="s">
        <v>165</v>
      </c>
      <c r="E620" s="3" t="s">
        <v>145</v>
      </c>
      <c r="F620" s="3" t="s">
        <v>28</v>
      </c>
      <c r="G620" s="3" t="s">
        <v>166</v>
      </c>
      <c r="H620" s="3" t="s">
        <v>139</v>
      </c>
      <c r="I620" s="3" t="s">
        <v>167</v>
      </c>
      <c r="J620" s="3" t="s">
        <v>168</v>
      </c>
      <c r="K620" s="3" t="s">
        <v>33</v>
      </c>
      <c r="L620" s="3" t="s">
        <v>51</v>
      </c>
      <c r="M620" s="3" t="s">
        <v>424</v>
      </c>
      <c r="N620" s="3" t="s">
        <v>507</v>
      </c>
      <c r="O620" s="3" t="s">
        <v>37</v>
      </c>
      <c r="P620" s="3" t="s">
        <v>38</v>
      </c>
      <c r="Q620" s="3" t="s">
        <v>39</v>
      </c>
      <c r="R620" s="3" t="s">
        <v>40</v>
      </c>
      <c r="S620" s="55">
        <v>1249.3</v>
      </c>
      <c r="T620" s="55">
        <v>0</v>
      </c>
      <c r="U620" s="55">
        <v>0</v>
      </c>
      <c r="V620" s="55">
        <v>1249.3</v>
      </c>
      <c r="W620" s="3">
        <v>0</v>
      </c>
    </row>
    <row r="621" spans="1:23" x14ac:dyDescent="0.35">
      <c r="A621" s="3" t="s">
        <v>443</v>
      </c>
      <c r="B621" s="3" t="s">
        <v>444</v>
      </c>
      <c r="C621" s="3" t="s">
        <v>560</v>
      </c>
      <c r="D621" s="3" t="s">
        <v>165</v>
      </c>
      <c r="E621" s="3" t="s">
        <v>145</v>
      </c>
      <c r="F621" s="3" t="s">
        <v>28</v>
      </c>
      <c r="G621" s="3" t="s">
        <v>166</v>
      </c>
      <c r="H621" s="3" t="s">
        <v>139</v>
      </c>
      <c r="I621" s="3" t="s">
        <v>167</v>
      </c>
      <c r="J621" s="3" t="s">
        <v>168</v>
      </c>
      <c r="K621" s="3" t="s">
        <v>33</v>
      </c>
      <c r="L621" s="3" t="s">
        <v>51</v>
      </c>
      <c r="M621" s="3" t="s">
        <v>424</v>
      </c>
      <c r="N621" s="3" t="s">
        <v>507</v>
      </c>
      <c r="O621" s="3" t="s">
        <v>125</v>
      </c>
      <c r="P621" s="3" t="s">
        <v>126</v>
      </c>
      <c r="Q621" s="3" t="s">
        <v>39</v>
      </c>
      <c r="R621" s="3" t="s">
        <v>40</v>
      </c>
      <c r="S621" s="55">
        <v>250.7</v>
      </c>
      <c r="T621" s="55">
        <v>250.65</v>
      </c>
      <c r="U621" s="55">
        <v>250.65</v>
      </c>
      <c r="V621" s="55">
        <v>0.05</v>
      </c>
      <c r="W621" s="3">
        <v>100</v>
      </c>
    </row>
    <row r="622" spans="1:23" x14ac:dyDescent="0.35">
      <c r="A622" s="3" t="s">
        <v>443</v>
      </c>
      <c r="B622" s="3" t="s">
        <v>444</v>
      </c>
      <c r="C622" s="3" t="s">
        <v>164</v>
      </c>
      <c r="D622" s="3" t="s">
        <v>165</v>
      </c>
      <c r="E622" s="3" t="s">
        <v>145</v>
      </c>
      <c r="F622" s="3" t="s">
        <v>28</v>
      </c>
      <c r="G622" s="3" t="s">
        <v>166</v>
      </c>
      <c r="H622" s="3" t="s">
        <v>139</v>
      </c>
      <c r="I622" s="3" t="s">
        <v>167</v>
      </c>
      <c r="J622" s="3" t="s">
        <v>168</v>
      </c>
      <c r="K622" s="3" t="s">
        <v>33</v>
      </c>
      <c r="L622" s="3" t="s">
        <v>51</v>
      </c>
      <c r="M622" s="3" t="s">
        <v>169</v>
      </c>
      <c r="N622" s="3" t="s">
        <v>170</v>
      </c>
      <c r="O622" s="3" t="s">
        <v>37</v>
      </c>
      <c r="P622" s="3" t="s">
        <v>38</v>
      </c>
      <c r="Q622" s="3" t="s">
        <v>39</v>
      </c>
      <c r="R622" s="3" t="s">
        <v>40</v>
      </c>
      <c r="S622" s="55">
        <v>52212.9</v>
      </c>
      <c r="T622" s="55">
        <v>2153.4225999999999</v>
      </c>
      <c r="U622" s="55">
        <v>2153.4225999999999</v>
      </c>
      <c r="V622" s="55">
        <v>50059.477400000003</v>
      </c>
      <c r="W622" s="3">
        <v>4</v>
      </c>
    </row>
    <row r="623" spans="1:23" x14ac:dyDescent="0.35">
      <c r="A623" s="3" t="s">
        <v>443</v>
      </c>
      <c r="B623" s="3" t="s">
        <v>444</v>
      </c>
      <c r="C623" s="3" t="s">
        <v>561</v>
      </c>
      <c r="D623" s="3" t="s">
        <v>165</v>
      </c>
      <c r="E623" s="3" t="s">
        <v>145</v>
      </c>
      <c r="F623" s="3" t="s">
        <v>28</v>
      </c>
      <c r="G623" s="3" t="s">
        <v>166</v>
      </c>
      <c r="H623" s="3" t="s">
        <v>139</v>
      </c>
      <c r="I623" s="3" t="s">
        <v>167</v>
      </c>
      <c r="J623" s="3" t="s">
        <v>168</v>
      </c>
      <c r="K623" s="3" t="s">
        <v>33</v>
      </c>
      <c r="L623" s="3" t="s">
        <v>51</v>
      </c>
      <c r="M623" s="3" t="s">
        <v>169</v>
      </c>
      <c r="N623" s="3" t="s">
        <v>170</v>
      </c>
      <c r="O623" s="3" t="s">
        <v>125</v>
      </c>
      <c r="P623" s="3" t="s">
        <v>126</v>
      </c>
      <c r="Q623" s="3" t="s">
        <v>39</v>
      </c>
      <c r="R623" s="3" t="s">
        <v>40</v>
      </c>
      <c r="S623" s="55">
        <v>406.8</v>
      </c>
      <c r="T623" s="55">
        <v>406.8</v>
      </c>
      <c r="U623" s="55">
        <v>406.8</v>
      </c>
      <c r="V623" s="55">
        <v>0</v>
      </c>
      <c r="W623" s="3">
        <v>100</v>
      </c>
    </row>
    <row r="624" spans="1:23" x14ac:dyDescent="0.35">
      <c r="A624" s="3" t="s">
        <v>443</v>
      </c>
      <c r="B624" s="3" t="s">
        <v>444</v>
      </c>
      <c r="C624" s="3" t="s">
        <v>171</v>
      </c>
      <c r="D624" s="3" t="s">
        <v>165</v>
      </c>
      <c r="E624" s="3" t="s">
        <v>145</v>
      </c>
      <c r="F624" s="3" t="s">
        <v>28</v>
      </c>
      <c r="G624" s="3" t="s">
        <v>166</v>
      </c>
      <c r="H624" s="3" t="s">
        <v>139</v>
      </c>
      <c r="I624" s="3" t="s">
        <v>167</v>
      </c>
      <c r="J624" s="3" t="s">
        <v>168</v>
      </c>
      <c r="K624" s="3" t="s">
        <v>33</v>
      </c>
      <c r="L624" s="3" t="s">
        <v>51</v>
      </c>
      <c r="M624" s="3" t="s">
        <v>172</v>
      </c>
      <c r="N624" s="3" t="s">
        <v>173</v>
      </c>
      <c r="O624" s="3" t="s">
        <v>37</v>
      </c>
      <c r="P624" s="3" t="s">
        <v>38</v>
      </c>
      <c r="Q624" s="3" t="s">
        <v>39</v>
      </c>
      <c r="R624" s="3" t="s">
        <v>40</v>
      </c>
      <c r="S624" s="55">
        <v>152084.6</v>
      </c>
      <c r="T624" s="55">
        <v>583</v>
      </c>
      <c r="U624" s="55">
        <v>583</v>
      </c>
      <c r="V624" s="55">
        <v>151501.6</v>
      </c>
      <c r="W624" s="3">
        <v>0</v>
      </c>
    </row>
    <row r="625" spans="1:23" x14ac:dyDescent="0.35">
      <c r="A625" s="3" t="s">
        <v>443</v>
      </c>
      <c r="B625" s="3" t="s">
        <v>444</v>
      </c>
      <c r="C625" s="3" t="s">
        <v>562</v>
      </c>
      <c r="D625" s="3" t="s">
        <v>165</v>
      </c>
      <c r="E625" s="3" t="s">
        <v>145</v>
      </c>
      <c r="F625" s="3" t="s">
        <v>28</v>
      </c>
      <c r="G625" s="3" t="s">
        <v>166</v>
      </c>
      <c r="H625" s="3" t="s">
        <v>139</v>
      </c>
      <c r="I625" s="3" t="s">
        <v>167</v>
      </c>
      <c r="J625" s="3" t="s">
        <v>168</v>
      </c>
      <c r="K625" s="3" t="s">
        <v>33</v>
      </c>
      <c r="L625" s="3" t="s">
        <v>51</v>
      </c>
      <c r="M625" s="3" t="s">
        <v>172</v>
      </c>
      <c r="N625" s="3" t="s">
        <v>173</v>
      </c>
      <c r="O625" s="3" t="s">
        <v>125</v>
      </c>
      <c r="P625" s="3" t="s">
        <v>126</v>
      </c>
      <c r="Q625" s="3" t="s">
        <v>39</v>
      </c>
      <c r="R625" s="3" t="s">
        <v>40</v>
      </c>
      <c r="S625" s="55">
        <v>142.80000000000001</v>
      </c>
      <c r="T625" s="55">
        <v>142.80000000000001</v>
      </c>
      <c r="U625" s="55">
        <v>0</v>
      </c>
      <c r="V625" s="55">
        <v>0</v>
      </c>
      <c r="W625" s="3">
        <v>100</v>
      </c>
    </row>
    <row r="626" spans="1:23" x14ac:dyDescent="0.35">
      <c r="A626" s="3" t="s">
        <v>443</v>
      </c>
      <c r="B626" s="3" t="s">
        <v>444</v>
      </c>
      <c r="C626" s="3" t="s">
        <v>174</v>
      </c>
      <c r="D626" s="3" t="s">
        <v>175</v>
      </c>
      <c r="E626" s="3" t="s">
        <v>145</v>
      </c>
      <c r="F626" s="3" t="s">
        <v>176</v>
      </c>
      <c r="G626" s="3" t="s">
        <v>177</v>
      </c>
      <c r="H626" s="3" t="s">
        <v>116</v>
      </c>
      <c r="I626" s="3" t="s">
        <v>148</v>
      </c>
      <c r="J626" s="3" t="s">
        <v>149</v>
      </c>
      <c r="K626" s="3" t="s">
        <v>33</v>
      </c>
      <c r="L626" s="3" t="s">
        <v>51</v>
      </c>
      <c r="M626" s="3" t="s">
        <v>178</v>
      </c>
      <c r="N626" s="3" t="s">
        <v>179</v>
      </c>
      <c r="O626" s="3" t="s">
        <v>96</v>
      </c>
      <c r="P626" s="3" t="s">
        <v>97</v>
      </c>
      <c r="Q626" s="3" t="s">
        <v>39</v>
      </c>
      <c r="R626" s="3" t="s">
        <v>40</v>
      </c>
      <c r="S626" s="55">
        <v>484074.8</v>
      </c>
      <c r="T626" s="55">
        <v>120528.34390000001</v>
      </c>
      <c r="U626" s="55">
        <v>49778.553599999999</v>
      </c>
      <c r="V626" s="55">
        <v>363546.45610000001</v>
      </c>
      <c r="W626" s="3">
        <v>25</v>
      </c>
    </row>
    <row r="627" spans="1:23" x14ac:dyDescent="0.35">
      <c r="A627" s="3" t="s">
        <v>443</v>
      </c>
      <c r="B627" s="3" t="s">
        <v>444</v>
      </c>
      <c r="C627" s="3" t="s">
        <v>180</v>
      </c>
      <c r="D627" s="3" t="s">
        <v>175</v>
      </c>
      <c r="E627" s="3" t="s">
        <v>145</v>
      </c>
      <c r="F627" s="3" t="s">
        <v>176</v>
      </c>
      <c r="G627" s="3" t="s">
        <v>177</v>
      </c>
      <c r="H627" s="3" t="s">
        <v>116</v>
      </c>
      <c r="I627" s="3" t="s">
        <v>148</v>
      </c>
      <c r="J627" s="3" t="s">
        <v>149</v>
      </c>
      <c r="K627" s="3" t="s">
        <v>33</v>
      </c>
      <c r="L627" s="3" t="s">
        <v>51</v>
      </c>
      <c r="M627" s="3" t="s">
        <v>178</v>
      </c>
      <c r="N627" s="3" t="s">
        <v>179</v>
      </c>
      <c r="O627" s="3" t="s">
        <v>99</v>
      </c>
      <c r="P627" s="3" t="s">
        <v>100</v>
      </c>
      <c r="Q627" s="3" t="s">
        <v>39</v>
      </c>
      <c r="R627" s="3" t="s">
        <v>40</v>
      </c>
      <c r="S627" s="55">
        <v>145129.20000000001</v>
      </c>
      <c r="T627" s="55">
        <v>39773.577599999997</v>
      </c>
      <c r="U627" s="55">
        <v>18757.812999999998</v>
      </c>
      <c r="V627" s="55">
        <v>105355.62239999999</v>
      </c>
      <c r="W627" s="3">
        <v>27</v>
      </c>
    </row>
    <row r="628" spans="1:23" x14ac:dyDescent="0.35">
      <c r="A628" s="3" t="s">
        <v>443</v>
      </c>
      <c r="B628" s="3" t="s">
        <v>444</v>
      </c>
      <c r="C628" s="3" t="s">
        <v>181</v>
      </c>
      <c r="D628" s="3" t="s">
        <v>175</v>
      </c>
      <c r="E628" s="3" t="s">
        <v>145</v>
      </c>
      <c r="F628" s="3" t="s">
        <v>176</v>
      </c>
      <c r="G628" s="3" t="s">
        <v>177</v>
      </c>
      <c r="H628" s="3" t="s">
        <v>116</v>
      </c>
      <c r="I628" s="3" t="s">
        <v>148</v>
      </c>
      <c r="J628" s="3" t="s">
        <v>149</v>
      </c>
      <c r="K628" s="3" t="s">
        <v>33</v>
      </c>
      <c r="L628" s="3" t="s">
        <v>51</v>
      </c>
      <c r="M628" s="3" t="s">
        <v>178</v>
      </c>
      <c r="N628" s="3" t="s">
        <v>179</v>
      </c>
      <c r="O628" s="3" t="s">
        <v>37</v>
      </c>
      <c r="P628" s="3" t="s">
        <v>38</v>
      </c>
      <c r="Q628" s="3" t="s">
        <v>39</v>
      </c>
      <c r="R628" s="3" t="s">
        <v>40</v>
      </c>
      <c r="S628" s="55">
        <v>106296.5</v>
      </c>
      <c r="T628" s="55">
        <v>14262.549499999999</v>
      </c>
      <c r="U628" s="55">
        <v>9881.7942999999996</v>
      </c>
      <c r="V628" s="55">
        <v>92033.950500000006</v>
      </c>
      <c r="W628" s="3">
        <v>13</v>
      </c>
    </row>
    <row r="629" spans="1:23" x14ac:dyDescent="0.35">
      <c r="A629" s="3" t="s">
        <v>443</v>
      </c>
      <c r="B629" s="3" t="s">
        <v>444</v>
      </c>
      <c r="C629" s="3" t="s">
        <v>182</v>
      </c>
      <c r="D629" s="3" t="s">
        <v>175</v>
      </c>
      <c r="E629" s="3" t="s">
        <v>145</v>
      </c>
      <c r="F629" s="3" t="s">
        <v>176</v>
      </c>
      <c r="G629" s="3" t="s">
        <v>177</v>
      </c>
      <c r="H629" s="3" t="s">
        <v>116</v>
      </c>
      <c r="I629" s="3" t="s">
        <v>148</v>
      </c>
      <c r="J629" s="3" t="s">
        <v>149</v>
      </c>
      <c r="K629" s="3" t="s">
        <v>33</v>
      </c>
      <c r="L629" s="3" t="s">
        <v>51</v>
      </c>
      <c r="M629" s="3" t="s">
        <v>178</v>
      </c>
      <c r="N629" s="3" t="s">
        <v>179</v>
      </c>
      <c r="O629" s="3" t="s">
        <v>42</v>
      </c>
      <c r="P629" s="3" t="s">
        <v>43</v>
      </c>
      <c r="Q629" s="3" t="s">
        <v>39</v>
      </c>
      <c r="R629" s="3" t="s">
        <v>40</v>
      </c>
      <c r="S629" s="55">
        <v>5728.8</v>
      </c>
      <c r="T629" s="55">
        <v>330.55079999999998</v>
      </c>
      <c r="U629" s="55">
        <v>208.13300000000001</v>
      </c>
      <c r="V629" s="55">
        <v>5398.2492000000002</v>
      </c>
      <c r="W629" s="3">
        <v>6</v>
      </c>
    </row>
    <row r="630" spans="1:23" x14ac:dyDescent="0.35">
      <c r="A630" s="3" t="s">
        <v>443</v>
      </c>
      <c r="B630" s="3" t="s">
        <v>444</v>
      </c>
      <c r="C630" s="3" t="s">
        <v>486</v>
      </c>
      <c r="D630" s="3" t="s">
        <v>175</v>
      </c>
      <c r="E630" s="3" t="s">
        <v>145</v>
      </c>
      <c r="F630" s="3" t="s">
        <v>176</v>
      </c>
      <c r="G630" s="3" t="s">
        <v>177</v>
      </c>
      <c r="H630" s="3" t="s">
        <v>116</v>
      </c>
      <c r="I630" s="3" t="s">
        <v>148</v>
      </c>
      <c r="J630" s="3" t="s">
        <v>149</v>
      </c>
      <c r="K630" s="3" t="s">
        <v>33</v>
      </c>
      <c r="L630" s="3" t="s">
        <v>51</v>
      </c>
      <c r="M630" s="3" t="s">
        <v>178</v>
      </c>
      <c r="N630" s="3" t="s">
        <v>179</v>
      </c>
      <c r="O630" s="3" t="s">
        <v>91</v>
      </c>
      <c r="P630" s="3" t="s">
        <v>92</v>
      </c>
      <c r="Q630" s="3" t="s">
        <v>39</v>
      </c>
      <c r="R630" s="3" t="s">
        <v>40</v>
      </c>
      <c r="S630" s="55">
        <v>264.7</v>
      </c>
      <c r="T630" s="55">
        <v>260.87279999999998</v>
      </c>
      <c r="U630" s="55">
        <v>260.87279999999998</v>
      </c>
      <c r="V630" s="55">
        <v>3.8271999999999999</v>
      </c>
      <c r="W630" s="3">
        <v>99</v>
      </c>
    </row>
    <row r="631" spans="1:23" x14ac:dyDescent="0.35">
      <c r="A631" s="3" t="s">
        <v>443</v>
      </c>
      <c r="B631" s="3" t="s">
        <v>444</v>
      </c>
      <c r="C631" s="3" t="s">
        <v>183</v>
      </c>
      <c r="D631" s="3" t="s">
        <v>175</v>
      </c>
      <c r="E631" s="3" t="s">
        <v>145</v>
      </c>
      <c r="F631" s="3" t="s">
        <v>176</v>
      </c>
      <c r="G631" s="3" t="s">
        <v>177</v>
      </c>
      <c r="H631" s="3" t="s">
        <v>116</v>
      </c>
      <c r="I631" s="3" t="s">
        <v>148</v>
      </c>
      <c r="J631" s="3" t="s">
        <v>149</v>
      </c>
      <c r="K631" s="3" t="s">
        <v>33</v>
      </c>
      <c r="L631" s="3" t="s">
        <v>51</v>
      </c>
      <c r="M631" s="3" t="s">
        <v>178</v>
      </c>
      <c r="N631" s="3" t="s">
        <v>179</v>
      </c>
      <c r="O631" s="3" t="s">
        <v>122</v>
      </c>
      <c r="P631" s="3" t="s">
        <v>123</v>
      </c>
      <c r="Q631" s="3" t="s">
        <v>39</v>
      </c>
      <c r="R631" s="3" t="s">
        <v>40</v>
      </c>
      <c r="S631" s="55">
        <v>1454.5</v>
      </c>
      <c r="T631" s="55">
        <v>45.942</v>
      </c>
      <c r="U631" s="55">
        <v>45.942</v>
      </c>
      <c r="V631" s="55">
        <v>1408.558</v>
      </c>
      <c r="W631" s="3">
        <v>3</v>
      </c>
    </row>
    <row r="632" spans="1:23" x14ac:dyDescent="0.35">
      <c r="A632" s="3" t="s">
        <v>443</v>
      </c>
      <c r="B632" s="3" t="s">
        <v>444</v>
      </c>
      <c r="C632" s="3" t="s">
        <v>184</v>
      </c>
      <c r="D632" s="3" t="s">
        <v>175</v>
      </c>
      <c r="E632" s="3" t="s">
        <v>145</v>
      </c>
      <c r="F632" s="3" t="s">
        <v>176</v>
      </c>
      <c r="G632" s="3" t="s">
        <v>177</v>
      </c>
      <c r="H632" s="3" t="s">
        <v>116</v>
      </c>
      <c r="I632" s="3" t="s">
        <v>148</v>
      </c>
      <c r="J632" s="3" t="s">
        <v>149</v>
      </c>
      <c r="K632" s="3" t="s">
        <v>33</v>
      </c>
      <c r="L632" s="3" t="s">
        <v>51</v>
      </c>
      <c r="M632" s="3" t="s">
        <v>178</v>
      </c>
      <c r="N632" s="3" t="s">
        <v>179</v>
      </c>
      <c r="O632" s="3" t="s">
        <v>103</v>
      </c>
      <c r="P632" s="3" t="s">
        <v>104</v>
      </c>
      <c r="Q632" s="3" t="s">
        <v>39</v>
      </c>
      <c r="R632" s="3" t="s">
        <v>40</v>
      </c>
      <c r="S632" s="55">
        <v>675.8</v>
      </c>
      <c r="T632" s="55">
        <v>133.74</v>
      </c>
      <c r="U632" s="55">
        <v>84.599000000000004</v>
      </c>
      <c r="V632" s="55">
        <v>542.05999999999995</v>
      </c>
      <c r="W632" s="3">
        <v>20</v>
      </c>
    </row>
    <row r="633" spans="1:23" x14ac:dyDescent="0.35">
      <c r="A633" s="3" t="s">
        <v>443</v>
      </c>
      <c r="B633" s="3" t="s">
        <v>444</v>
      </c>
      <c r="C633" s="3" t="s">
        <v>473</v>
      </c>
      <c r="D633" s="3" t="s">
        <v>175</v>
      </c>
      <c r="E633" s="3" t="s">
        <v>145</v>
      </c>
      <c r="F633" s="3" t="s">
        <v>176</v>
      </c>
      <c r="G633" s="3" t="s">
        <v>177</v>
      </c>
      <c r="H633" s="3" t="s">
        <v>116</v>
      </c>
      <c r="I633" s="3" t="s">
        <v>148</v>
      </c>
      <c r="J633" s="3" t="s">
        <v>149</v>
      </c>
      <c r="K633" s="3" t="s">
        <v>33</v>
      </c>
      <c r="L633" s="3" t="s">
        <v>51</v>
      </c>
      <c r="M633" s="3" t="s">
        <v>474</v>
      </c>
      <c r="N633" s="3" t="s">
        <v>475</v>
      </c>
      <c r="O633" s="3" t="s">
        <v>37</v>
      </c>
      <c r="P633" s="3" t="s">
        <v>38</v>
      </c>
      <c r="Q633" s="3" t="s">
        <v>39</v>
      </c>
      <c r="R633" s="3" t="s">
        <v>40</v>
      </c>
      <c r="S633" s="55">
        <v>3157.5</v>
      </c>
      <c r="T633" s="55">
        <v>0</v>
      </c>
      <c r="U633" s="55">
        <v>0</v>
      </c>
      <c r="V633" s="55">
        <v>3157.5</v>
      </c>
      <c r="W633" s="3">
        <v>0</v>
      </c>
    </row>
    <row r="634" spans="1:23" x14ac:dyDescent="0.35">
      <c r="A634" s="3" t="s">
        <v>443</v>
      </c>
      <c r="B634" s="3" t="s">
        <v>444</v>
      </c>
      <c r="C634" s="3" t="s">
        <v>185</v>
      </c>
      <c r="D634" s="3" t="s">
        <v>186</v>
      </c>
      <c r="E634" s="3" t="s">
        <v>187</v>
      </c>
      <c r="F634" s="3" t="s">
        <v>146</v>
      </c>
      <c r="G634" s="3" t="s">
        <v>188</v>
      </c>
      <c r="H634" s="3" t="s">
        <v>189</v>
      </c>
      <c r="I634" s="3" t="s">
        <v>190</v>
      </c>
      <c r="J634" s="3" t="s">
        <v>191</v>
      </c>
      <c r="K634" s="3" t="s">
        <v>33</v>
      </c>
      <c r="L634" s="3" t="s">
        <v>51</v>
      </c>
      <c r="M634" s="3" t="s">
        <v>192</v>
      </c>
      <c r="N634" s="3" t="s">
        <v>193</v>
      </c>
      <c r="O634" s="3" t="s">
        <v>108</v>
      </c>
      <c r="P634" s="3" t="s">
        <v>109</v>
      </c>
      <c r="Q634" s="3" t="s">
        <v>39</v>
      </c>
      <c r="R634" s="3" t="s">
        <v>40</v>
      </c>
      <c r="S634" s="55">
        <v>4988386</v>
      </c>
      <c r="T634" s="55">
        <v>1036380.0371</v>
      </c>
      <c r="U634" s="55">
        <v>383848.31910000002</v>
      </c>
      <c r="V634" s="55">
        <v>3952005.9629000002</v>
      </c>
      <c r="W634" s="3">
        <v>21</v>
      </c>
    </row>
    <row r="635" spans="1:23" x14ac:dyDescent="0.35">
      <c r="A635" s="3" t="s">
        <v>443</v>
      </c>
      <c r="B635" s="3" t="s">
        <v>444</v>
      </c>
      <c r="C635" s="3" t="s">
        <v>508</v>
      </c>
      <c r="D635" s="3" t="s">
        <v>186</v>
      </c>
      <c r="E635" s="3" t="s">
        <v>187</v>
      </c>
      <c r="F635" s="3" t="s">
        <v>146</v>
      </c>
      <c r="G635" s="3" t="s">
        <v>188</v>
      </c>
      <c r="H635" s="3" t="s">
        <v>189</v>
      </c>
      <c r="I635" s="3" t="s">
        <v>190</v>
      </c>
      <c r="J635" s="3" t="s">
        <v>191</v>
      </c>
      <c r="K635" s="3" t="s">
        <v>33</v>
      </c>
      <c r="L635" s="3" t="s">
        <v>51</v>
      </c>
      <c r="M635" s="3" t="s">
        <v>227</v>
      </c>
      <c r="N635" s="3" t="s">
        <v>228</v>
      </c>
      <c r="O635" s="3" t="s">
        <v>197</v>
      </c>
      <c r="P635" s="3" t="s">
        <v>198</v>
      </c>
      <c r="Q635" s="3" t="s">
        <v>39</v>
      </c>
      <c r="R635" s="3" t="s">
        <v>40</v>
      </c>
      <c r="S635" s="55">
        <v>29473.1</v>
      </c>
      <c r="T635" s="55">
        <v>0</v>
      </c>
      <c r="U635" s="55">
        <v>0</v>
      </c>
      <c r="V635" s="55">
        <v>29473.1</v>
      </c>
      <c r="W635" s="3">
        <v>0</v>
      </c>
    </row>
    <row r="636" spans="1:23" x14ac:dyDescent="0.35">
      <c r="A636" s="3" t="s">
        <v>443</v>
      </c>
      <c r="B636" s="3" t="s">
        <v>444</v>
      </c>
      <c r="C636" s="3" t="s">
        <v>194</v>
      </c>
      <c r="D636" s="3" t="s">
        <v>186</v>
      </c>
      <c r="E636" s="3" t="s">
        <v>187</v>
      </c>
      <c r="F636" s="3" t="s">
        <v>146</v>
      </c>
      <c r="G636" s="3" t="s">
        <v>188</v>
      </c>
      <c r="H636" s="3" t="s">
        <v>189</v>
      </c>
      <c r="I636" s="3" t="s">
        <v>190</v>
      </c>
      <c r="J636" s="3" t="s">
        <v>191</v>
      </c>
      <c r="K636" s="3" t="s">
        <v>33</v>
      </c>
      <c r="L636" s="3" t="s">
        <v>51</v>
      </c>
      <c r="M636" s="3" t="s">
        <v>195</v>
      </c>
      <c r="N636" s="3" t="s">
        <v>509</v>
      </c>
      <c r="O636" s="3" t="s">
        <v>197</v>
      </c>
      <c r="P636" s="3" t="s">
        <v>198</v>
      </c>
      <c r="Q636" s="3" t="s">
        <v>39</v>
      </c>
      <c r="R636" s="3" t="s">
        <v>40</v>
      </c>
      <c r="S636" s="55">
        <v>34664.6</v>
      </c>
      <c r="T636" s="55">
        <v>0</v>
      </c>
      <c r="U636" s="55">
        <v>0</v>
      </c>
      <c r="V636" s="55">
        <v>34664.6</v>
      </c>
      <c r="W636" s="3">
        <v>0</v>
      </c>
    </row>
    <row r="637" spans="1:23" x14ac:dyDescent="0.35">
      <c r="A637" s="3" t="s">
        <v>443</v>
      </c>
      <c r="B637" s="3" t="s">
        <v>444</v>
      </c>
      <c r="C637" s="3" t="s">
        <v>510</v>
      </c>
      <c r="D637" s="3" t="s">
        <v>200</v>
      </c>
      <c r="E637" s="3" t="s">
        <v>187</v>
      </c>
      <c r="F637" s="3" t="s">
        <v>189</v>
      </c>
      <c r="G637" s="3" t="s">
        <v>201</v>
      </c>
      <c r="H637" s="3" t="s">
        <v>189</v>
      </c>
      <c r="I637" s="3" t="s">
        <v>190</v>
      </c>
      <c r="J637" s="3" t="s">
        <v>202</v>
      </c>
      <c r="K637" s="3" t="s">
        <v>23</v>
      </c>
      <c r="L637" s="3" t="s">
        <v>203</v>
      </c>
      <c r="M637" s="3" t="s">
        <v>511</v>
      </c>
      <c r="N637" s="3" t="s">
        <v>205</v>
      </c>
      <c r="O637" s="3" t="s">
        <v>197</v>
      </c>
      <c r="P637" s="3" t="s">
        <v>198</v>
      </c>
      <c r="Q637" s="3" t="s">
        <v>39</v>
      </c>
      <c r="R637" s="3" t="s">
        <v>40</v>
      </c>
      <c r="S637" s="55">
        <v>21148</v>
      </c>
      <c r="T637" s="55">
        <v>5286.9404999999997</v>
      </c>
      <c r="U637" s="55">
        <v>1762.3018</v>
      </c>
      <c r="V637" s="55">
        <v>15861.059499999999</v>
      </c>
      <c r="W637" s="3">
        <v>25</v>
      </c>
    </row>
    <row r="638" spans="1:23" x14ac:dyDescent="0.35">
      <c r="A638" s="3" t="s">
        <v>443</v>
      </c>
      <c r="B638" s="3" t="s">
        <v>444</v>
      </c>
      <c r="C638" s="3" t="s">
        <v>512</v>
      </c>
      <c r="D638" s="3" t="s">
        <v>200</v>
      </c>
      <c r="E638" s="3" t="s">
        <v>187</v>
      </c>
      <c r="F638" s="3" t="s">
        <v>189</v>
      </c>
      <c r="G638" s="3" t="s">
        <v>201</v>
      </c>
      <c r="H638" s="3" t="s">
        <v>189</v>
      </c>
      <c r="I638" s="3" t="s">
        <v>190</v>
      </c>
      <c r="J638" s="3" t="s">
        <v>202</v>
      </c>
      <c r="K638" s="3" t="s">
        <v>23</v>
      </c>
      <c r="L638" s="3" t="s">
        <v>203</v>
      </c>
      <c r="M638" s="3" t="s">
        <v>513</v>
      </c>
      <c r="N638" s="3" t="s">
        <v>514</v>
      </c>
      <c r="O638" s="3" t="s">
        <v>197</v>
      </c>
      <c r="P638" s="3" t="s">
        <v>198</v>
      </c>
      <c r="Q638" s="3" t="s">
        <v>39</v>
      </c>
      <c r="R638" s="3" t="s">
        <v>40</v>
      </c>
      <c r="S638" s="55">
        <v>1977.2</v>
      </c>
      <c r="T638" s="55">
        <v>0</v>
      </c>
      <c r="U638" s="55">
        <v>0</v>
      </c>
      <c r="V638" s="55">
        <v>1977.2</v>
      </c>
      <c r="W638" s="3">
        <v>0</v>
      </c>
    </row>
    <row r="639" spans="1:23" x14ac:dyDescent="0.35">
      <c r="A639" s="3" t="s">
        <v>443</v>
      </c>
      <c r="B639" s="3" t="s">
        <v>444</v>
      </c>
      <c r="C639" s="3" t="s">
        <v>209</v>
      </c>
      <c r="D639" s="3" t="s">
        <v>200</v>
      </c>
      <c r="E639" s="3" t="s">
        <v>187</v>
      </c>
      <c r="F639" s="3" t="s">
        <v>189</v>
      </c>
      <c r="G639" s="3" t="s">
        <v>201</v>
      </c>
      <c r="H639" s="3" t="s">
        <v>189</v>
      </c>
      <c r="I639" s="3" t="s">
        <v>190</v>
      </c>
      <c r="J639" s="3" t="s">
        <v>191</v>
      </c>
      <c r="K639" s="3" t="s">
        <v>33</v>
      </c>
      <c r="L639" s="3" t="s">
        <v>51</v>
      </c>
      <c r="M639" s="3" t="s">
        <v>210</v>
      </c>
      <c r="N639" s="3" t="s">
        <v>211</v>
      </c>
      <c r="O639" s="3" t="s">
        <v>108</v>
      </c>
      <c r="P639" s="3" t="s">
        <v>109</v>
      </c>
      <c r="Q639" s="3" t="s">
        <v>39</v>
      </c>
      <c r="R639" s="3" t="s">
        <v>40</v>
      </c>
      <c r="S639" s="55">
        <v>4853107.2</v>
      </c>
      <c r="T639" s="55">
        <v>1099750.4853999999</v>
      </c>
      <c r="U639" s="55">
        <v>394493.9216</v>
      </c>
      <c r="V639" s="55">
        <v>3753356.7146000001</v>
      </c>
      <c r="W639" s="3">
        <v>23</v>
      </c>
    </row>
    <row r="640" spans="1:23" x14ac:dyDescent="0.35">
      <c r="A640" s="3" t="s">
        <v>443</v>
      </c>
      <c r="B640" s="3" t="s">
        <v>444</v>
      </c>
      <c r="C640" s="3" t="s">
        <v>212</v>
      </c>
      <c r="D640" s="3" t="s">
        <v>200</v>
      </c>
      <c r="E640" s="3" t="s">
        <v>187</v>
      </c>
      <c r="F640" s="3" t="s">
        <v>189</v>
      </c>
      <c r="G640" s="3" t="s">
        <v>201</v>
      </c>
      <c r="H640" s="3" t="s">
        <v>189</v>
      </c>
      <c r="I640" s="3" t="s">
        <v>190</v>
      </c>
      <c r="J640" s="3" t="s">
        <v>191</v>
      </c>
      <c r="K640" s="3" t="s">
        <v>33</v>
      </c>
      <c r="L640" s="3" t="s">
        <v>51</v>
      </c>
      <c r="M640" s="3" t="s">
        <v>213</v>
      </c>
      <c r="N640" s="3" t="s">
        <v>214</v>
      </c>
      <c r="O640" s="3" t="s">
        <v>108</v>
      </c>
      <c r="P640" s="3" t="s">
        <v>109</v>
      </c>
      <c r="Q640" s="3" t="s">
        <v>39</v>
      </c>
      <c r="R640" s="3" t="s">
        <v>40</v>
      </c>
      <c r="S640" s="55">
        <v>168859</v>
      </c>
      <c r="T640" s="55">
        <v>30058.396799999999</v>
      </c>
      <c r="U640" s="55">
        <v>13311.5515</v>
      </c>
      <c r="V640" s="55">
        <v>138800.60320000001</v>
      </c>
      <c r="W640" s="3">
        <v>18</v>
      </c>
    </row>
    <row r="641" spans="1:23" x14ac:dyDescent="0.35">
      <c r="A641" s="3" t="s">
        <v>443</v>
      </c>
      <c r="B641" s="3" t="s">
        <v>444</v>
      </c>
      <c r="C641" s="3" t="s">
        <v>215</v>
      </c>
      <c r="D641" s="3" t="s">
        <v>200</v>
      </c>
      <c r="E641" s="3" t="s">
        <v>187</v>
      </c>
      <c r="F641" s="3" t="s">
        <v>189</v>
      </c>
      <c r="G641" s="3" t="s">
        <v>201</v>
      </c>
      <c r="H641" s="3" t="s">
        <v>189</v>
      </c>
      <c r="I641" s="3" t="s">
        <v>190</v>
      </c>
      <c r="J641" s="3" t="s">
        <v>191</v>
      </c>
      <c r="K641" s="3" t="s">
        <v>33</v>
      </c>
      <c r="L641" s="3" t="s">
        <v>51</v>
      </c>
      <c r="M641" s="3" t="s">
        <v>216</v>
      </c>
      <c r="N641" s="3" t="s">
        <v>217</v>
      </c>
      <c r="O641" s="3" t="s">
        <v>108</v>
      </c>
      <c r="P641" s="3" t="s">
        <v>109</v>
      </c>
      <c r="Q641" s="3" t="s">
        <v>39</v>
      </c>
      <c r="R641" s="3" t="s">
        <v>40</v>
      </c>
      <c r="S641" s="55">
        <v>81930.899999999994</v>
      </c>
      <c r="T641" s="55">
        <v>18202.752199999999</v>
      </c>
      <c r="U641" s="55">
        <v>5498.3738000000003</v>
      </c>
      <c r="V641" s="55">
        <v>63728.147799999999</v>
      </c>
      <c r="W641" s="3">
        <v>22</v>
      </c>
    </row>
    <row r="642" spans="1:23" x14ac:dyDescent="0.35">
      <c r="A642" s="3" t="s">
        <v>443</v>
      </c>
      <c r="B642" s="3" t="s">
        <v>444</v>
      </c>
      <c r="C642" s="3" t="s">
        <v>218</v>
      </c>
      <c r="D642" s="3" t="s">
        <v>200</v>
      </c>
      <c r="E642" s="3" t="s">
        <v>187</v>
      </c>
      <c r="F642" s="3" t="s">
        <v>189</v>
      </c>
      <c r="G642" s="3" t="s">
        <v>201</v>
      </c>
      <c r="H642" s="3" t="s">
        <v>189</v>
      </c>
      <c r="I642" s="3" t="s">
        <v>190</v>
      </c>
      <c r="J642" s="3" t="s">
        <v>191</v>
      </c>
      <c r="K642" s="3" t="s">
        <v>33</v>
      </c>
      <c r="L642" s="3" t="s">
        <v>51</v>
      </c>
      <c r="M642" s="3" t="s">
        <v>219</v>
      </c>
      <c r="N642" s="3" t="s">
        <v>220</v>
      </c>
      <c r="O642" s="3" t="s">
        <v>221</v>
      </c>
      <c r="P642" s="3" t="s">
        <v>222</v>
      </c>
      <c r="Q642" s="3" t="s">
        <v>39</v>
      </c>
      <c r="R642" s="3" t="s">
        <v>40</v>
      </c>
      <c r="S642" s="55">
        <v>1102.9000000000001</v>
      </c>
      <c r="T642" s="55">
        <v>0</v>
      </c>
      <c r="U642" s="55">
        <v>0</v>
      </c>
      <c r="V642" s="55">
        <v>1102.9000000000001</v>
      </c>
      <c r="W642" s="3">
        <v>0</v>
      </c>
    </row>
    <row r="643" spans="1:23" x14ac:dyDescent="0.35">
      <c r="A643" s="3" t="s">
        <v>443</v>
      </c>
      <c r="B643" s="3" t="s">
        <v>444</v>
      </c>
      <c r="C643" s="3" t="s">
        <v>223</v>
      </c>
      <c r="D643" s="3" t="s">
        <v>200</v>
      </c>
      <c r="E643" s="3" t="s">
        <v>187</v>
      </c>
      <c r="F643" s="3" t="s">
        <v>189</v>
      </c>
      <c r="G643" s="3" t="s">
        <v>201</v>
      </c>
      <c r="H643" s="3" t="s">
        <v>189</v>
      </c>
      <c r="I643" s="3" t="s">
        <v>190</v>
      </c>
      <c r="J643" s="3" t="s">
        <v>191</v>
      </c>
      <c r="K643" s="3" t="s">
        <v>33</v>
      </c>
      <c r="L643" s="3" t="s">
        <v>51</v>
      </c>
      <c r="M643" s="3" t="s">
        <v>224</v>
      </c>
      <c r="N643" s="3" t="s">
        <v>564</v>
      </c>
      <c r="O643" s="3" t="s">
        <v>197</v>
      </c>
      <c r="P643" s="3" t="s">
        <v>198</v>
      </c>
      <c r="Q643" s="3" t="s">
        <v>39</v>
      </c>
      <c r="R643" s="3" t="s">
        <v>40</v>
      </c>
      <c r="S643" s="55">
        <v>55795.7</v>
      </c>
      <c r="T643" s="55">
        <v>0</v>
      </c>
      <c r="U643" s="55">
        <v>0</v>
      </c>
      <c r="V643" s="55">
        <v>55795.7</v>
      </c>
      <c r="W643" s="3">
        <v>0</v>
      </c>
    </row>
    <row r="644" spans="1:23" x14ac:dyDescent="0.35">
      <c r="A644" s="3" t="s">
        <v>443</v>
      </c>
      <c r="B644" s="3" t="s">
        <v>444</v>
      </c>
      <c r="C644" s="3" t="s">
        <v>432</v>
      </c>
      <c r="D644" s="3" t="s">
        <v>200</v>
      </c>
      <c r="E644" s="3" t="s">
        <v>187</v>
      </c>
      <c r="F644" s="3" t="s">
        <v>189</v>
      </c>
      <c r="G644" s="3" t="s">
        <v>201</v>
      </c>
      <c r="H644" s="3" t="s">
        <v>189</v>
      </c>
      <c r="I644" s="3" t="s">
        <v>190</v>
      </c>
      <c r="J644" s="3" t="s">
        <v>191</v>
      </c>
      <c r="K644" s="3" t="s">
        <v>33</v>
      </c>
      <c r="L644" s="3" t="s">
        <v>51</v>
      </c>
      <c r="M644" s="3" t="s">
        <v>427</v>
      </c>
      <c r="N644" s="3" t="s">
        <v>565</v>
      </c>
      <c r="O644" s="3" t="s">
        <v>197</v>
      </c>
      <c r="P644" s="3" t="s">
        <v>198</v>
      </c>
      <c r="Q644" s="3" t="s">
        <v>39</v>
      </c>
      <c r="R644" s="3" t="s">
        <v>40</v>
      </c>
      <c r="S644" s="55">
        <v>20000</v>
      </c>
      <c r="T644" s="55">
        <v>0</v>
      </c>
      <c r="U644" s="55">
        <v>0</v>
      </c>
      <c r="V644" s="55">
        <v>20000</v>
      </c>
      <c r="W644" s="3">
        <v>0</v>
      </c>
    </row>
    <row r="645" spans="1:23" x14ac:dyDescent="0.35">
      <c r="A645" s="3" t="s">
        <v>443</v>
      </c>
      <c r="B645" s="3" t="s">
        <v>444</v>
      </c>
      <c r="C645" s="3" t="s">
        <v>515</v>
      </c>
      <c r="D645" s="3" t="s">
        <v>200</v>
      </c>
      <c r="E645" s="3" t="s">
        <v>187</v>
      </c>
      <c r="F645" s="3" t="s">
        <v>189</v>
      </c>
      <c r="G645" s="3" t="s">
        <v>201</v>
      </c>
      <c r="H645" s="3" t="s">
        <v>189</v>
      </c>
      <c r="I645" s="3" t="s">
        <v>190</v>
      </c>
      <c r="J645" s="3" t="s">
        <v>191</v>
      </c>
      <c r="K645" s="3" t="s">
        <v>33</v>
      </c>
      <c r="L645" s="3" t="s">
        <v>51</v>
      </c>
      <c r="M645" s="3" t="s">
        <v>516</v>
      </c>
      <c r="N645" s="3" t="s">
        <v>517</v>
      </c>
      <c r="O645" s="3" t="s">
        <v>197</v>
      </c>
      <c r="P645" s="3" t="s">
        <v>198</v>
      </c>
      <c r="Q645" s="3" t="s">
        <v>39</v>
      </c>
      <c r="R645" s="3" t="s">
        <v>40</v>
      </c>
      <c r="S645" s="55">
        <v>8490.7000000000007</v>
      </c>
      <c r="T645" s="55">
        <v>0</v>
      </c>
      <c r="U645" s="55">
        <v>0</v>
      </c>
      <c r="V645" s="55">
        <v>8490.7000000000007</v>
      </c>
      <c r="W645" s="3">
        <v>0</v>
      </c>
    </row>
    <row r="646" spans="1:23" x14ac:dyDescent="0.35">
      <c r="A646" s="3" t="s">
        <v>443</v>
      </c>
      <c r="B646" s="3" t="s">
        <v>444</v>
      </c>
      <c r="C646" s="3" t="s">
        <v>226</v>
      </c>
      <c r="D646" s="3" t="s">
        <v>200</v>
      </c>
      <c r="E646" s="3" t="s">
        <v>187</v>
      </c>
      <c r="F646" s="3" t="s">
        <v>189</v>
      </c>
      <c r="G646" s="3" t="s">
        <v>201</v>
      </c>
      <c r="H646" s="3" t="s">
        <v>189</v>
      </c>
      <c r="I646" s="3" t="s">
        <v>190</v>
      </c>
      <c r="J646" s="3" t="s">
        <v>191</v>
      </c>
      <c r="K646" s="3" t="s">
        <v>33</v>
      </c>
      <c r="L646" s="3" t="s">
        <v>51</v>
      </c>
      <c r="M646" s="3" t="s">
        <v>227</v>
      </c>
      <c r="N646" s="3" t="s">
        <v>228</v>
      </c>
      <c r="O646" s="3" t="s">
        <v>197</v>
      </c>
      <c r="P646" s="3" t="s">
        <v>198</v>
      </c>
      <c r="Q646" s="3" t="s">
        <v>39</v>
      </c>
      <c r="R646" s="3" t="s">
        <v>40</v>
      </c>
      <c r="S646" s="55">
        <v>127820.2</v>
      </c>
      <c r="T646" s="55">
        <v>0</v>
      </c>
      <c r="U646" s="55">
        <v>0</v>
      </c>
      <c r="V646" s="55">
        <v>127820.2</v>
      </c>
      <c r="W646" s="3">
        <v>0</v>
      </c>
    </row>
    <row r="647" spans="1:23" x14ac:dyDescent="0.35">
      <c r="A647" s="3" t="s">
        <v>443</v>
      </c>
      <c r="B647" s="3" t="s">
        <v>444</v>
      </c>
      <c r="C647" s="3" t="s">
        <v>229</v>
      </c>
      <c r="D647" s="3" t="s">
        <v>200</v>
      </c>
      <c r="E647" s="3" t="s">
        <v>187</v>
      </c>
      <c r="F647" s="3" t="s">
        <v>189</v>
      </c>
      <c r="G647" s="3" t="s">
        <v>201</v>
      </c>
      <c r="H647" s="3" t="s">
        <v>189</v>
      </c>
      <c r="I647" s="3" t="s">
        <v>190</v>
      </c>
      <c r="J647" s="3" t="s">
        <v>191</v>
      </c>
      <c r="K647" s="3" t="s">
        <v>33</v>
      </c>
      <c r="L647" s="3" t="s">
        <v>51</v>
      </c>
      <c r="M647" s="3" t="s">
        <v>195</v>
      </c>
      <c r="N647" s="3" t="s">
        <v>509</v>
      </c>
      <c r="O647" s="3" t="s">
        <v>197</v>
      </c>
      <c r="P647" s="3" t="s">
        <v>198</v>
      </c>
      <c r="Q647" s="3" t="s">
        <v>39</v>
      </c>
      <c r="R647" s="3" t="s">
        <v>40</v>
      </c>
      <c r="S647" s="55">
        <v>28422.3</v>
      </c>
      <c r="T647" s="55">
        <v>0</v>
      </c>
      <c r="U647" s="55">
        <v>0</v>
      </c>
      <c r="V647" s="55">
        <v>28422.3</v>
      </c>
      <c r="W647" s="3">
        <v>0</v>
      </c>
    </row>
    <row r="648" spans="1:23" x14ac:dyDescent="0.35">
      <c r="A648" s="3" t="s">
        <v>443</v>
      </c>
      <c r="B648" s="3" t="s">
        <v>444</v>
      </c>
      <c r="C648" s="3" t="s">
        <v>433</v>
      </c>
      <c r="D648" s="3" t="s">
        <v>200</v>
      </c>
      <c r="E648" s="3" t="s">
        <v>187</v>
      </c>
      <c r="F648" s="3" t="s">
        <v>189</v>
      </c>
      <c r="G648" s="3" t="s">
        <v>201</v>
      </c>
      <c r="H648" s="3" t="s">
        <v>189</v>
      </c>
      <c r="I648" s="3" t="s">
        <v>190</v>
      </c>
      <c r="J648" s="3" t="s">
        <v>191</v>
      </c>
      <c r="K648" s="3" t="s">
        <v>33</v>
      </c>
      <c r="L648" s="3" t="s">
        <v>51</v>
      </c>
      <c r="M648" s="3" t="s">
        <v>434</v>
      </c>
      <c r="N648" s="3" t="s">
        <v>435</v>
      </c>
      <c r="O648" s="3" t="s">
        <v>197</v>
      </c>
      <c r="P648" s="3" t="s">
        <v>198</v>
      </c>
      <c r="Q648" s="3" t="s">
        <v>39</v>
      </c>
      <c r="R648" s="3" t="s">
        <v>40</v>
      </c>
      <c r="S648" s="55">
        <v>2923.6</v>
      </c>
      <c r="T648" s="55">
        <v>0</v>
      </c>
      <c r="U648" s="55">
        <v>0</v>
      </c>
      <c r="V648" s="55">
        <v>2923.6</v>
      </c>
      <c r="W648" s="3">
        <v>0</v>
      </c>
    </row>
    <row r="649" spans="1:23" x14ac:dyDescent="0.35">
      <c r="A649" s="3" t="s">
        <v>443</v>
      </c>
      <c r="B649" s="3" t="s">
        <v>444</v>
      </c>
      <c r="C649" s="3" t="s">
        <v>518</v>
      </c>
      <c r="D649" s="3" t="s">
        <v>200</v>
      </c>
      <c r="E649" s="3" t="s">
        <v>187</v>
      </c>
      <c r="F649" s="3" t="s">
        <v>189</v>
      </c>
      <c r="G649" s="3" t="s">
        <v>201</v>
      </c>
      <c r="H649" s="3" t="s">
        <v>189</v>
      </c>
      <c r="I649" s="3" t="s">
        <v>190</v>
      </c>
      <c r="J649" s="3" t="s">
        <v>191</v>
      </c>
      <c r="K649" s="3" t="s">
        <v>33</v>
      </c>
      <c r="L649" s="3" t="s">
        <v>51</v>
      </c>
      <c r="M649" s="3" t="s">
        <v>519</v>
      </c>
      <c r="N649" s="3" t="s">
        <v>208</v>
      </c>
      <c r="O649" s="3" t="s">
        <v>197</v>
      </c>
      <c r="P649" s="3" t="s">
        <v>198</v>
      </c>
      <c r="Q649" s="3" t="s">
        <v>39</v>
      </c>
      <c r="R649" s="3" t="s">
        <v>40</v>
      </c>
      <c r="S649" s="55">
        <v>104515.5</v>
      </c>
      <c r="T649" s="55">
        <v>25439.52</v>
      </c>
      <c r="U649" s="55">
        <v>8020.32</v>
      </c>
      <c r="V649" s="55">
        <v>79075.98</v>
      </c>
      <c r="W649" s="3">
        <v>24</v>
      </c>
    </row>
    <row r="650" spans="1:23" x14ac:dyDescent="0.35">
      <c r="A650" s="3" t="s">
        <v>443</v>
      </c>
      <c r="B650" s="3" t="s">
        <v>444</v>
      </c>
      <c r="C650" s="3" t="s">
        <v>230</v>
      </c>
      <c r="D650" s="3" t="s">
        <v>200</v>
      </c>
      <c r="E650" s="3" t="s">
        <v>187</v>
      </c>
      <c r="F650" s="3" t="s">
        <v>189</v>
      </c>
      <c r="G650" s="3" t="s">
        <v>201</v>
      </c>
      <c r="H650" s="3" t="s">
        <v>28</v>
      </c>
      <c r="I650" s="3" t="s">
        <v>231</v>
      </c>
      <c r="J650" s="3" t="s">
        <v>232</v>
      </c>
      <c r="K650" s="3" t="s">
        <v>33</v>
      </c>
      <c r="L650" s="3" t="s">
        <v>51</v>
      </c>
      <c r="M650" s="3" t="s">
        <v>233</v>
      </c>
      <c r="N650" s="3" t="s">
        <v>234</v>
      </c>
      <c r="O650" s="3" t="s">
        <v>197</v>
      </c>
      <c r="P650" s="3" t="s">
        <v>198</v>
      </c>
      <c r="Q650" s="3" t="s">
        <v>39</v>
      </c>
      <c r="R650" s="3" t="s">
        <v>40</v>
      </c>
      <c r="S650" s="55">
        <v>261384</v>
      </c>
      <c r="T650" s="55">
        <v>83344.210399999996</v>
      </c>
      <c r="U650" s="55">
        <v>55086.4476</v>
      </c>
      <c r="V650" s="55">
        <v>178039.78959999999</v>
      </c>
      <c r="W650" s="3">
        <v>32</v>
      </c>
    </row>
    <row r="651" spans="1:23" x14ac:dyDescent="0.35">
      <c r="A651" s="3" t="s">
        <v>443</v>
      </c>
      <c r="B651" s="3" t="s">
        <v>444</v>
      </c>
      <c r="C651" s="3" t="s">
        <v>235</v>
      </c>
      <c r="D651" s="3" t="s">
        <v>200</v>
      </c>
      <c r="E651" s="3" t="s">
        <v>187</v>
      </c>
      <c r="F651" s="3" t="s">
        <v>189</v>
      </c>
      <c r="G651" s="3" t="s">
        <v>201</v>
      </c>
      <c r="H651" s="3" t="s">
        <v>28</v>
      </c>
      <c r="I651" s="3" t="s">
        <v>231</v>
      </c>
      <c r="J651" s="3" t="s">
        <v>232</v>
      </c>
      <c r="K651" s="3" t="s">
        <v>33</v>
      </c>
      <c r="L651" s="3" t="s">
        <v>51</v>
      </c>
      <c r="M651" s="3" t="s">
        <v>236</v>
      </c>
      <c r="N651" s="3" t="s">
        <v>237</v>
      </c>
      <c r="O651" s="3" t="s">
        <v>197</v>
      </c>
      <c r="P651" s="3" t="s">
        <v>198</v>
      </c>
      <c r="Q651" s="3" t="s">
        <v>39</v>
      </c>
      <c r="R651" s="3" t="s">
        <v>40</v>
      </c>
      <c r="S651" s="55">
        <v>179288</v>
      </c>
      <c r="T651" s="55">
        <v>53786.155200000001</v>
      </c>
      <c r="U651" s="55">
        <v>17928.718400000002</v>
      </c>
      <c r="V651" s="55">
        <v>125501.84480000001</v>
      </c>
      <c r="W651" s="3">
        <v>30</v>
      </c>
    </row>
    <row r="652" spans="1:23" x14ac:dyDescent="0.35">
      <c r="A652" s="3" t="s">
        <v>443</v>
      </c>
      <c r="B652" s="3" t="s">
        <v>444</v>
      </c>
      <c r="C652" s="3" t="s">
        <v>238</v>
      </c>
      <c r="D652" s="3" t="s">
        <v>239</v>
      </c>
      <c r="E652" s="3" t="s">
        <v>187</v>
      </c>
      <c r="F652" s="3" t="s">
        <v>28</v>
      </c>
      <c r="G652" s="3" t="s">
        <v>240</v>
      </c>
      <c r="H652" s="3" t="s">
        <v>189</v>
      </c>
      <c r="I652" s="3" t="s">
        <v>190</v>
      </c>
      <c r="J652" s="3" t="s">
        <v>191</v>
      </c>
      <c r="K652" s="3" t="s">
        <v>33</v>
      </c>
      <c r="L652" s="3" t="s">
        <v>51</v>
      </c>
      <c r="M652" s="3" t="s">
        <v>241</v>
      </c>
      <c r="N652" s="3" t="s">
        <v>242</v>
      </c>
      <c r="O652" s="3" t="s">
        <v>108</v>
      </c>
      <c r="P652" s="3" t="s">
        <v>109</v>
      </c>
      <c r="Q652" s="3" t="s">
        <v>39</v>
      </c>
      <c r="R652" s="3" t="s">
        <v>40</v>
      </c>
      <c r="S652" s="55">
        <v>253526.6</v>
      </c>
      <c r="T652" s="55">
        <v>59438.582699999999</v>
      </c>
      <c r="U652" s="55">
        <v>22181.4728</v>
      </c>
      <c r="V652" s="55">
        <v>194088.01730000001</v>
      </c>
      <c r="W652" s="3">
        <v>23</v>
      </c>
    </row>
    <row r="653" spans="1:23" x14ac:dyDescent="0.35">
      <c r="A653" s="3" t="s">
        <v>443</v>
      </c>
      <c r="B653" s="3" t="s">
        <v>444</v>
      </c>
      <c r="C653" s="3" t="s">
        <v>520</v>
      </c>
      <c r="D653" s="3" t="s">
        <v>239</v>
      </c>
      <c r="E653" s="3" t="s">
        <v>187</v>
      </c>
      <c r="F653" s="3" t="s">
        <v>28</v>
      </c>
      <c r="G653" s="3" t="s">
        <v>240</v>
      </c>
      <c r="H653" s="3" t="s">
        <v>189</v>
      </c>
      <c r="I653" s="3" t="s">
        <v>190</v>
      </c>
      <c r="J653" s="3" t="s">
        <v>191</v>
      </c>
      <c r="K653" s="3" t="s">
        <v>33</v>
      </c>
      <c r="L653" s="3" t="s">
        <v>51</v>
      </c>
      <c r="M653" s="3" t="s">
        <v>521</v>
      </c>
      <c r="N653" s="3" t="s">
        <v>522</v>
      </c>
      <c r="O653" s="3" t="s">
        <v>523</v>
      </c>
      <c r="P653" s="3" t="s">
        <v>524</v>
      </c>
      <c r="Q653" s="3" t="s">
        <v>39</v>
      </c>
      <c r="R653" s="3" t="s">
        <v>40</v>
      </c>
      <c r="S653" s="55">
        <v>100</v>
      </c>
      <c r="T653" s="55">
        <v>0</v>
      </c>
      <c r="U653" s="55">
        <v>0</v>
      </c>
      <c r="V653" s="55">
        <v>100</v>
      </c>
      <c r="W653" s="3">
        <v>0</v>
      </c>
    </row>
    <row r="654" spans="1:23" x14ac:dyDescent="0.35">
      <c r="A654" s="3" t="s">
        <v>443</v>
      </c>
      <c r="B654" s="3" t="s">
        <v>444</v>
      </c>
      <c r="C654" s="3" t="s">
        <v>525</v>
      </c>
      <c r="D654" s="3" t="s">
        <v>526</v>
      </c>
      <c r="E654" s="3" t="s">
        <v>187</v>
      </c>
      <c r="F654" s="3" t="s">
        <v>176</v>
      </c>
      <c r="G654" s="3" t="s">
        <v>527</v>
      </c>
      <c r="H654" s="3" t="s">
        <v>189</v>
      </c>
      <c r="I654" s="3" t="s">
        <v>190</v>
      </c>
      <c r="J654" s="3" t="s">
        <v>191</v>
      </c>
      <c r="K654" s="3" t="s">
        <v>33</v>
      </c>
      <c r="L654" s="3" t="s">
        <v>51</v>
      </c>
      <c r="M654" s="3" t="s">
        <v>528</v>
      </c>
      <c r="N654" s="3" t="s">
        <v>529</v>
      </c>
      <c r="O654" s="3" t="s">
        <v>197</v>
      </c>
      <c r="P654" s="3" t="s">
        <v>198</v>
      </c>
      <c r="Q654" s="3" t="s">
        <v>39</v>
      </c>
      <c r="R654" s="3" t="s">
        <v>40</v>
      </c>
      <c r="S654" s="55">
        <v>1003.3</v>
      </c>
      <c r="T654" s="55">
        <v>0</v>
      </c>
      <c r="U654" s="55">
        <v>0</v>
      </c>
      <c r="V654" s="55">
        <v>1003.3</v>
      </c>
      <c r="W654" s="3">
        <v>0</v>
      </c>
    </row>
    <row r="655" spans="1:23" x14ac:dyDescent="0.35">
      <c r="A655" s="3" t="s">
        <v>443</v>
      </c>
      <c r="B655" s="3" t="s">
        <v>444</v>
      </c>
      <c r="C655" s="3" t="s">
        <v>243</v>
      </c>
      <c r="D655" s="3" t="s">
        <v>244</v>
      </c>
      <c r="E655" s="3" t="s">
        <v>187</v>
      </c>
      <c r="F655" s="3" t="s">
        <v>245</v>
      </c>
      <c r="G655" s="3" t="s">
        <v>246</v>
      </c>
      <c r="H655" s="3" t="s">
        <v>66</v>
      </c>
      <c r="I655" s="3" t="s">
        <v>67</v>
      </c>
      <c r="J655" s="3" t="s">
        <v>68</v>
      </c>
      <c r="K655" s="3" t="s">
        <v>33</v>
      </c>
      <c r="L655" s="3" t="s">
        <v>51</v>
      </c>
      <c r="M655" s="3" t="s">
        <v>247</v>
      </c>
      <c r="N655" s="3" t="s">
        <v>248</v>
      </c>
      <c r="O655" s="3" t="s">
        <v>108</v>
      </c>
      <c r="P655" s="3" t="s">
        <v>109</v>
      </c>
      <c r="Q655" s="3" t="s">
        <v>39</v>
      </c>
      <c r="R655" s="3" t="s">
        <v>40</v>
      </c>
      <c r="S655" s="55">
        <v>224582.9</v>
      </c>
      <c r="T655" s="55">
        <v>33684.952700000002</v>
      </c>
      <c r="U655" s="55">
        <v>14204.1348</v>
      </c>
      <c r="V655" s="55">
        <v>190897.9473</v>
      </c>
      <c r="W655" s="3">
        <v>15</v>
      </c>
    </row>
    <row r="656" spans="1:23" x14ac:dyDescent="0.35">
      <c r="A656" s="3" t="s">
        <v>443</v>
      </c>
      <c r="B656" s="3" t="s">
        <v>444</v>
      </c>
      <c r="C656" s="3" t="s">
        <v>249</v>
      </c>
      <c r="D656" s="3" t="s">
        <v>244</v>
      </c>
      <c r="E656" s="3" t="s">
        <v>187</v>
      </c>
      <c r="F656" s="3" t="s">
        <v>245</v>
      </c>
      <c r="G656" s="3" t="s">
        <v>246</v>
      </c>
      <c r="H656" s="3" t="s">
        <v>66</v>
      </c>
      <c r="I656" s="3" t="s">
        <v>67</v>
      </c>
      <c r="J656" s="3" t="s">
        <v>68</v>
      </c>
      <c r="K656" s="3" t="s">
        <v>33</v>
      </c>
      <c r="L656" s="3" t="s">
        <v>51</v>
      </c>
      <c r="M656" s="3" t="s">
        <v>250</v>
      </c>
      <c r="N656" s="3" t="s">
        <v>251</v>
      </c>
      <c r="O656" s="3" t="s">
        <v>197</v>
      </c>
      <c r="P656" s="3" t="s">
        <v>198</v>
      </c>
      <c r="Q656" s="3" t="s">
        <v>39</v>
      </c>
      <c r="R656" s="3" t="s">
        <v>40</v>
      </c>
      <c r="S656" s="55">
        <v>9320.5</v>
      </c>
      <c r="T656" s="55">
        <v>0</v>
      </c>
      <c r="U656" s="55">
        <v>0</v>
      </c>
      <c r="V656" s="55">
        <v>9320.5</v>
      </c>
      <c r="W656" s="3">
        <v>0</v>
      </c>
    </row>
    <row r="657" spans="1:23" x14ac:dyDescent="0.35">
      <c r="A657" s="3" t="s">
        <v>443</v>
      </c>
      <c r="B657" s="3" t="s">
        <v>444</v>
      </c>
      <c r="C657" s="3" t="s">
        <v>252</v>
      </c>
      <c r="D657" s="3" t="s">
        <v>244</v>
      </c>
      <c r="E657" s="3" t="s">
        <v>187</v>
      </c>
      <c r="F657" s="3" t="s">
        <v>245</v>
      </c>
      <c r="G657" s="3" t="s">
        <v>246</v>
      </c>
      <c r="H657" s="3" t="s">
        <v>66</v>
      </c>
      <c r="I657" s="3" t="s">
        <v>67</v>
      </c>
      <c r="J657" s="3" t="s">
        <v>68</v>
      </c>
      <c r="K657" s="3" t="s">
        <v>33</v>
      </c>
      <c r="L657" s="3" t="s">
        <v>51</v>
      </c>
      <c r="M657" s="3" t="s">
        <v>253</v>
      </c>
      <c r="N657" s="3" t="s">
        <v>254</v>
      </c>
      <c r="O657" s="3" t="s">
        <v>197</v>
      </c>
      <c r="P657" s="3" t="s">
        <v>198</v>
      </c>
      <c r="Q657" s="3" t="s">
        <v>39</v>
      </c>
      <c r="R657" s="3" t="s">
        <v>40</v>
      </c>
      <c r="S657" s="55">
        <v>1648.3</v>
      </c>
      <c r="T657" s="55">
        <v>0</v>
      </c>
      <c r="U657" s="55">
        <v>0</v>
      </c>
      <c r="V657" s="55">
        <v>1648.3</v>
      </c>
      <c r="W657" s="3">
        <v>0</v>
      </c>
    </row>
    <row r="658" spans="1:23" x14ac:dyDescent="0.35">
      <c r="A658" s="3" t="s">
        <v>443</v>
      </c>
      <c r="B658" s="3" t="s">
        <v>444</v>
      </c>
      <c r="C658" s="3" t="s">
        <v>255</v>
      </c>
      <c r="D658" s="3" t="s">
        <v>244</v>
      </c>
      <c r="E658" s="3" t="s">
        <v>187</v>
      </c>
      <c r="F658" s="3" t="s">
        <v>245</v>
      </c>
      <c r="G658" s="3" t="s">
        <v>246</v>
      </c>
      <c r="H658" s="3" t="s">
        <v>66</v>
      </c>
      <c r="I658" s="3" t="s">
        <v>67</v>
      </c>
      <c r="J658" s="3" t="s">
        <v>68</v>
      </c>
      <c r="K658" s="3" t="s">
        <v>33</v>
      </c>
      <c r="L658" s="3" t="s">
        <v>51</v>
      </c>
      <c r="M658" s="3" t="s">
        <v>256</v>
      </c>
      <c r="N658" s="3" t="s">
        <v>257</v>
      </c>
      <c r="O658" s="3" t="s">
        <v>197</v>
      </c>
      <c r="P658" s="3" t="s">
        <v>198</v>
      </c>
      <c r="Q658" s="3" t="s">
        <v>39</v>
      </c>
      <c r="R658" s="3" t="s">
        <v>40</v>
      </c>
      <c r="S658" s="55">
        <v>12658.4</v>
      </c>
      <c r="T658" s="55">
        <v>0</v>
      </c>
      <c r="U658" s="55">
        <v>0</v>
      </c>
      <c r="V658" s="55">
        <v>12658.4</v>
      </c>
      <c r="W658" s="3">
        <v>0</v>
      </c>
    </row>
    <row r="659" spans="1:23" x14ac:dyDescent="0.35">
      <c r="A659" s="3" t="s">
        <v>443</v>
      </c>
      <c r="B659" s="3" t="s">
        <v>444</v>
      </c>
      <c r="C659" s="3" t="s">
        <v>566</v>
      </c>
      <c r="D659" s="3" t="s">
        <v>259</v>
      </c>
      <c r="E659" s="3" t="s">
        <v>187</v>
      </c>
      <c r="F659" s="3" t="s">
        <v>116</v>
      </c>
      <c r="G659" s="3" t="s">
        <v>260</v>
      </c>
      <c r="H659" s="3" t="s">
        <v>189</v>
      </c>
      <c r="I659" s="3" t="s">
        <v>190</v>
      </c>
      <c r="J659" s="3" t="s">
        <v>202</v>
      </c>
      <c r="K659" s="3" t="s">
        <v>23</v>
      </c>
      <c r="L659" s="3" t="s">
        <v>203</v>
      </c>
      <c r="M659" s="3" t="s">
        <v>567</v>
      </c>
      <c r="N659" s="3" t="s">
        <v>568</v>
      </c>
      <c r="O659" s="3" t="s">
        <v>197</v>
      </c>
      <c r="P659" s="3" t="s">
        <v>198</v>
      </c>
      <c r="Q659" s="3" t="s">
        <v>39</v>
      </c>
      <c r="R659" s="3" t="s">
        <v>40</v>
      </c>
      <c r="S659" s="55">
        <v>13914.4</v>
      </c>
      <c r="T659" s="55">
        <v>0</v>
      </c>
      <c r="U659" s="55">
        <v>0</v>
      </c>
      <c r="V659" s="55">
        <v>13914.4</v>
      </c>
      <c r="W659" s="3">
        <v>0</v>
      </c>
    </row>
    <row r="660" spans="1:23" x14ac:dyDescent="0.35">
      <c r="A660" s="3" t="s">
        <v>443</v>
      </c>
      <c r="B660" s="3" t="s">
        <v>444</v>
      </c>
      <c r="C660" s="3" t="s">
        <v>569</v>
      </c>
      <c r="D660" s="3" t="s">
        <v>259</v>
      </c>
      <c r="E660" s="3" t="s">
        <v>187</v>
      </c>
      <c r="F660" s="3" t="s">
        <v>116</v>
      </c>
      <c r="G660" s="3" t="s">
        <v>260</v>
      </c>
      <c r="H660" s="3" t="s">
        <v>189</v>
      </c>
      <c r="I660" s="3" t="s">
        <v>190</v>
      </c>
      <c r="J660" s="3" t="s">
        <v>202</v>
      </c>
      <c r="K660" s="3" t="s">
        <v>23</v>
      </c>
      <c r="L660" s="3" t="s">
        <v>203</v>
      </c>
      <c r="M660" s="3" t="s">
        <v>570</v>
      </c>
      <c r="N660" s="3" t="s">
        <v>568</v>
      </c>
      <c r="O660" s="3" t="s">
        <v>197</v>
      </c>
      <c r="P660" s="3" t="s">
        <v>198</v>
      </c>
      <c r="Q660" s="3" t="s">
        <v>39</v>
      </c>
      <c r="R660" s="3" t="s">
        <v>40</v>
      </c>
      <c r="S660" s="55">
        <v>19077.8</v>
      </c>
      <c r="T660" s="55">
        <v>15.018000000000001</v>
      </c>
      <c r="U660" s="55">
        <v>15.018000000000001</v>
      </c>
      <c r="V660" s="55">
        <v>19062.781999999999</v>
      </c>
      <c r="W660" s="3">
        <v>0</v>
      </c>
    </row>
    <row r="661" spans="1:23" x14ac:dyDescent="0.35">
      <c r="A661" s="3" t="s">
        <v>443</v>
      </c>
      <c r="B661" s="3" t="s">
        <v>444</v>
      </c>
      <c r="C661" s="3" t="s">
        <v>263</v>
      </c>
      <c r="D661" s="3" t="s">
        <v>259</v>
      </c>
      <c r="E661" s="3" t="s">
        <v>187</v>
      </c>
      <c r="F661" s="3" t="s">
        <v>116</v>
      </c>
      <c r="G661" s="3" t="s">
        <v>260</v>
      </c>
      <c r="H661" s="3" t="s">
        <v>189</v>
      </c>
      <c r="I661" s="3" t="s">
        <v>190</v>
      </c>
      <c r="J661" s="3" t="s">
        <v>191</v>
      </c>
      <c r="K661" s="3" t="s">
        <v>33</v>
      </c>
      <c r="L661" s="3" t="s">
        <v>51</v>
      </c>
      <c r="M661" s="3" t="s">
        <v>264</v>
      </c>
      <c r="N661" s="3" t="s">
        <v>265</v>
      </c>
      <c r="O661" s="3" t="s">
        <v>197</v>
      </c>
      <c r="P661" s="3" t="s">
        <v>198</v>
      </c>
      <c r="Q661" s="3" t="s">
        <v>39</v>
      </c>
      <c r="R661" s="3" t="s">
        <v>40</v>
      </c>
      <c r="S661" s="55">
        <v>1642.6</v>
      </c>
      <c r="T661" s="55">
        <v>0</v>
      </c>
      <c r="U661" s="55">
        <v>0</v>
      </c>
      <c r="V661" s="55">
        <v>1642.6</v>
      </c>
      <c r="W661" s="3">
        <v>0</v>
      </c>
    </row>
    <row r="662" spans="1:23" x14ac:dyDescent="0.35">
      <c r="A662" s="3" t="s">
        <v>443</v>
      </c>
      <c r="B662" s="3" t="s">
        <v>444</v>
      </c>
      <c r="C662" s="3" t="s">
        <v>266</v>
      </c>
      <c r="D662" s="3" t="s">
        <v>259</v>
      </c>
      <c r="E662" s="3" t="s">
        <v>187</v>
      </c>
      <c r="F662" s="3" t="s">
        <v>116</v>
      </c>
      <c r="G662" s="3" t="s">
        <v>260</v>
      </c>
      <c r="H662" s="3" t="s">
        <v>189</v>
      </c>
      <c r="I662" s="3" t="s">
        <v>190</v>
      </c>
      <c r="J662" s="3" t="s">
        <v>191</v>
      </c>
      <c r="K662" s="3" t="s">
        <v>33</v>
      </c>
      <c r="L662" s="3" t="s">
        <v>51</v>
      </c>
      <c r="M662" s="3" t="s">
        <v>267</v>
      </c>
      <c r="N662" s="3" t="s">
        <v>268</v>
      </c>
      <c r="O662" s="3" t="s">
        <v>37</v>
      </c>
      <c r="P662" s="3" t="s">
        <v>38</v>
      </c>
      <c r="Q662" s="3" t="s">
        <v>39</v>
      </c>
      <c r="R662" s="3" t="s">
        <v>40</v>
      </c>
      <c r="S662" s="55">
        <v>92351.4</v>
      </c>
      <c r="T662" s="55">
        <v>0</v>
      </c>
      <c r="U662" s="55">
        <v>0</v>
      </c>
      <c r="V662" s="55">
        <v>92351.4</v>
      </c>
      <c r="W662" s="3">
        <v>0</v>
      </c>
    </row>
    <row r="663" spans="1:23" x14ac:dyDescent="0.35">
      <c r="A663" s="3" t="s">
        <v>443</v>
      </c>
      <c r="B663" s="3" t="s">
        <v>444</v>
      </c>
      <c r="C663" s="3" t="s">
        <v>269</v>
      </c>
      <c r="D663" s="3" t="s">
        <v>259</v>
      </c>
      <c r="E663" s="3" t="s">
        <v>187</v>
      </c>
      <c r="F663" s="3" t="s">
        <v>116</v>
      </c>
      <c r="G663" s="3" t="s">
        <v>260</v>
      </c>
      <c r="H663" s="3" t="s">
        <v>189</v>
      </c>
      <c r="I663" s="3" t="s">
        <v>190</v>
      </c>
      <c r="J663" s="3" t="s">
        <v>191</v>
      </c>
      <c r="K663" s="3" t="s">
        <v>33</v>
      </c>
      <c r="L663" s="3" t="s">
        <v>51</v>
      </c>
      <c r="M663" s="3" t="s">
        <v>267</v>
      </c>
      <c r="N663" s="3" t="s">
        <v>268</v>
      </c>
      <c r="O663" s="3" t="s">
        <v>197</v>
      </c>
      <c r="P663" s="3" t="s">
        <v>198</v>
      </c>
      <c r="Q663" s="3" t="s">
        <v>39</v>
      </c>
      <c r="R663" s="3" t="s">
        <v>40</v>
      </c>
      <c r="S663" s="55">
        <v>14681.8</v>
      </c>
      <c r="T663" s="55">
        <v>0</v>
      </c>
      <c r="U663" s="55">
        <v>0</v>
      </c>
      <c r="V663" s="55">
        <v>14681.8</v>
      </c>
      <c r="W663" s="3">
        <v>0</v>
      </c>
    </row>
    <row r="664" spans="1:23" x14ac:dyDescent="0.35">
      <c r="A664" s="3" t="s">
        <v>443</v>
      </c>
      <c r="B664" s="3" t="s">
        <v>444</v>
      </c>
      <c r="C664" s="3" t="s">
        <v>270</v>
      </c>
      <c r="D664" s="3" t="s">
        <v>259</v>
      </c>
      <c r="E664" s="3" t="s">
        <v>187</v>
      </c>
      <c r="F664" s="3" t="s">
        <v>116</v>
      </c>
      <c r="G664" s="3" t="s">
        <v>260</v>
      </c>
      <c r="H664" s="3" t="s">
        <v>189</v>
      </c>
      <c r="I664" s="3" t="s">
        <v>190</v>
      </c>
      <c r="J664" s="3" t="s">
        <v>191</v>
      </c>
      <c r="K664" s="3" t="s">
        <v>33</v>
      </c>
      <c r="L664" s="3" t="s">
        <v>51</v>
      </c>
      <c r="M664" s="3" t="s">
        <v>271</v>
      </c>
      <c r="N664" s="3" t="s">
        <v>272</v>
      </c>
      <c r="O664" s="3" t="s">
        <v>108</v>
      </c>
      <c r="P664" s="3" t="s">
        <v>109</v>
      </c>
      <c r="Q664" s="3" t="s">
        <v>39</v>
      </c>
      <c r="R664" s="3" t="s">
        <v>40</v>
      </c>
      <c r="S664" s="55">
        <v>43320.4</v>
      </c>
      <c r="T664" s="55">
        <v>9343.5409</v>
      </c>
      <c r="U664" s="55">
        <v>3562.9612000000002</v>
      </c>
      <c r="V664" s="55">
        <v>33976.859100000001</v>
      </c>
      <c r="W664" s="3">
        <v>22</v>
      </c>
    </row>
    <row r="665" spans="1:23" x14ac:dyDescent="0.35">
      <c r="A665" s="3" t="s">
        <v>443</v>
      </c>
      <c r="B665" s="3" t="s">
        <v>444</v>
      </c>
      <c r="C665" s="3" t="s">
        <v>273</v>
      </c>
      <c r="D665" s="3" t="s">
        <v>259</v>
      </c>
      <c r="E665" s="3" t="s">
        <v>187</v>
      </c>
      <c r="F665" s="3" t="s">
        <v>116</v>
      </c>
      <c r="G665" s="3" t="s">
        <v>260</v>
      </c>
      <c r="H665" s="3" t="s">
        <v>189</v>
      </c>
      <c r="I665" s="3" t="s">
        <v>190</v>
      </c>
      <c r="J665" s="3" t="s">
        <v>191</v>
      </c>
      <c r="K665" s="3" t="s">
        <v>33</v>
      </c>
      <c r="L665" s="3" t="s">
        <v>51</v>
      </c>
      <c r="M665" s="3" t="s">
        <v>274</v>
      </c>
      <c r="N665" s="3" t="s">
        <v>275</v>
      </c>
      <c r="O665" s="3" t="s">
        <v>108</v>
      </c>
      <c r="P665" s="3" t="s">
        <v>109</v>
      </c>
      <c r="Q665" s="3" t="s">
        <v>39</v>
      </c>
      <c r="R665" s="3" t="s">
        <v>40</v>
      </c>
      <c r="S665" s="55">
        <v>59928.7</v>
      </c>
      <c r="T665" s="55">
        <v>13707.0411</v>
      </c>
      <c r="U665" s="55">
        <v>4655.0506999999998</v>
      </c>
      <c r="V665" s="55">
        <v>46221.658900000002</v>
      </c>
      <c r="W665" s="3">
        <v>23</v>
      </c>
    </row>
    <row r="666" spans="1:23" x14ac:dyDescent="0.35">
      <c r="A666" s="3" t="s">
        <v>443</v>
      </c>
      <c r="B666" s="3" t="s">
        <v>444</v>
      </c>
      <c r="C666" s="3" t="s">
        <v>530</v>
      </c>
      <c r="D666" s="3" t="s">
        <v>259</v>
      </c>
      <c r="E666" s="3" t="s">
        <v>187</v>
      </c>
      <c r="F666" s="3" t="s">
        <v>116</v>
      </c>
      <c r="G666" s="3" t="s">
        <v>260</v>
      </c>
      <c r="H666" s="3" t="s">
        <v>189</v>
      </c>
      <c r="I666" s="3" t="s">
        <v>190</v>
      </c>
      <c r="J666" s="3" t="s">
        <v>191</v>
      </c>
      <c r="K666" s="3" t="s">
        <v>33</v>
      </c>
      <c r="L666" s="3" t="s">
        <v>51</v>
      </c>
      <c r="M666" s="3" t="s">
        <v>531</v>
      </c>
      <c r="N666" s="3" t="s">
        <v>532</v>
      </c>
      <c r="O666" s="3" t="s">
        <v>197</v>
      </c>
      <c r="P666" s="3" t="s">
        <v>198</v>
      </c>
      <c r="Q666" s="3" t="s">
        <v>39</v>
      </c>
      <c r="R666" s="3" t="s">
        <v>40</v>
      </c>
      <c r="S666" s="55">
        <v>7028.9</v>
      </c>
      <c r="T666" s="55">
        <v>2601.6</v>
      </c>
      <c r="U666" s="55">
        <v>1579.2</v>
      </c>
      <c r="V666" s="55">
        <v>4427.3</v>
      </c>
      <c r="W666" s="3">
        <v>37</v>
      </c>
    </row>
    <row r="667" spans="1:23" x14ac:dyDescent="0.35">
      <c r="A667" s="3" t="s">
        <v>443</v>
      </c>
      <c r="B667" s="3" t="s">
        <v>444</v>
      </c>
      <c r="C667" s="3" t="s">
        <v>460</v>
      </c>
      <c r="D667" s="3" t="s">
        <v>259</v>
      </c>
      <c r="E667" s="3" t="s">
        <v>187</v>
      </c>
      <c r="F667" s="3" t="s">
        <v>116</v>
      </c>
      <c r="G667" s="3" t="s">
        <v>260</v>
      </c>
      <c r="H667" s="3" t="s">
        <v>189</v>
      </c>
      <c r="I667" s="3" t="s">
        <v>190</v>
      </c>
      <c r="J667" s="3" t="s">
        <v>191</v>
      </c>
      <c r="K667" s="3" t="s">
        <v>33</v>
      </c>
      <c r="L667" s="3" t="s">
        <v>51</v>
      </c>
      <c r="M667" s="3" t="s">
        <v>461</v>
      </c>
      <c r="N667" s="3" t="s">
        <v>462</v>
      </c>
      <c r="O667" s="3" t="s">
        <v>197</v>
      </c>
      <c r="P667" s="3" t="s">
        <v>198</v>
      </c>
      <c r="Q667" s="3" t="s">
        <v>39</v>
      </c>
      <c r="R667" s="3" t="s">
        <v>40</v>
      </c>
      <c r="S667" s="55">
        <v>19787.3</v>
      </c>
      <c r="T667" s="55">
        <v>0</v>
      </c>
      <c r="U667" s="55">
        <v>0</v>
      </c>
      <c r="V667" s="55">
        <v>19787.3</v>
      </c>
      <c r="W667" s="3">
        <v>0</v>
      </c>
    </row>
    <row r="668" spans="1:23" x14ac:dyDescent="0.35">
      <c r="A668" s="3" t="s">
        <v>443</v>
      </c>
      <c r="B668" s="3" t="s">
        <v>444</v>
      </c>
      <c r="C668" s="3" t="s">
        <v>276</v>
      </c>
      <c r="D668" s="3" t="s">
        <v>259</v>
      </c>
      <c r="E668" s="3" t="s">
        <v>187</v>
      </c>
      <c r="F668" s="3" t="s">
        <v>116</v>
      </c>
      <c r="G668" s="3" t="s">
        <v>260</v>
      </c>
      <c r="H668" s="3" t="s">
        <v>189</v>
      </c>
      <c r="I668" s="3" t="s">
        <v>190</v>
      </c>
      <c r="J668" s="3" t="s">
        <v>191</v>
      </c>
      <c r="K668" s="3" t="s">
        <v>33</v>
      </c>
      <c r="L668" s="3" t="s">
        <v>51</v>
      </c>
      <c r="M668" s="3" t="s">
        <v>277</v>
      </c>
      <c r="N668" s="3" t="s">
        <v>533</v>
      </c>
      <c r="O668" s="3" t="s">
        <v>197</v>
      </c>
      <c r="P668" s="3" t="s">
        <v>198</v>
      </c>
      <c r="Q668" s="3" t="s">
        <v>39</v>
      </c>
      <c r="R668" s="3" t="s">
        <v>40</v>
      </c>
      <c r="S668" s="55">
        <v>44012.1</v>
      </c>
      <c r="T668" s="55">
        <v>0</v>
      </c>
      <c r="U668" s="55">
        <v>0</v>
      </c>
      <c r="V668" s="55">
        <v>44012.1</v>
      </c>
      <c r="W668" s="3">
        <v>0</v>
      </c>
    </row>
    <row r="669" spans="1:23" x14ac:dyDescent="0.35">
      <c r="A669" s="3" t="s">
        <v>443</v>
      </c>
      <c r="B669" s="3" t="s">
        <v>444</v>
      </c>
      <c r="C669" s="3" t="s">
        <v>282</v>
      </c>
      <c r="D669" s="3" t="s">
        <v>259</v>
      </c>
      <c r="E669" s="3" t="s">
        <v>187</v>
      </c>
      <c r="F669" s="3" t="s">
        <v>116</v>
      </c>
      <c r="G669" s="3" t="s">
        <v>260</v>
      </c>
      <c r="H669" s="3" t="s">
        <v>66</v>
      </c>
      <c r="I669" s="3" t="s">
        <v>67</v>
      </c>
      <c r="J669" s="3" t="s">
        <v>68</v>
      </c>
      <c r="K669" s="3" t="s">
        <v>33</v>
      </c>
      <c r="L669" s="3" t="s">
        <v>51</v>
      </c>
      <c r="M669" s="3" t="s">
        <v>283</v>
      </c>
      <c r="N669" s="3" t="s">
        <v>284</v>
      </c>
      <c r="O669" s="3" t="s">
        <v>197</v>
      </c>
      <c r="P669" s="3" t="s">
        <v>198</v>
      </c>
      <c r="Q669" s="3" t="s">
        <v>39</v>
      </c>
      <c r="R669" s="3" t="s">
        <v>40</v>
      </c>
      <c r="S669" s="55">
        <v>500</v>
      </c>
      <c r="T669" s="55">
        <v>0</v>
      </c>
      <c r="U669" s="55">
        <v>0</v>
      </c>
      <c r="V669" s="55">
        <v>500</v>
      </c>
      <c r="W669" s="3">
        <v>0</v>
      </c>
    </row>
    <row r="670" spans="1:23" x14ac:dyDescent="0.35">
      <c r="A670" s="3" t="s">
        <v>443</v>
      </c>
      <c r="B670" s="3" t="s">
        <v>444</v>
      </c>
      <c r="C670" s="3" t="s">
        <v>289</v>
      </c>
      <c r="D670" s="3" t="s">
        <v>290</v>
      </c>
      <c r="E670" s="3" t="s">
        <v>291</v>
      </c>
      <c r="F670" s="3" t="s">
        <v>146</v>
      </c>
      <c r="G670" s="3" t="s">
        <v>534</v>
      </c>
      <c r="H670" s="3" t="s">
        <v>293</v>
      </c>
      <c r="I670" s="3" t="s">
        <v>294</v>
      </c>
      <c r="J670" s="3" t="s">
        <v>295</v>
      </c>
      <c r="K670" s="3" t="s">
        <v>33</v>
      </c>
      <c r="L670" s="3" t="s">
        <v>51</v>
      </c>
      <c r="M670" s="3" t="s">
        <v>296</v>
      </c>
      <c r="N670" s="3" t="s">
        <v>535</v>
      </c>
      <c r="O670" s="3" t="s">
        <v>108</v>
      </c>
      <c r="P670" s="3" t="s">
        <v>109</v>
      </c>
      <c r="Q670" s="3" t="s">
        <v>39</v>
      </c>
      <c r="R670" s="3" t="s">
        <v>40</v>
      </c>
      <c r="S670" s="55">
        <v>232056</v>
      </c>
      <c r="T670" s="55">
        <v>61367.197399999997</v>
      </c>
      <c r="U670" s="55">
        <v>19711.9719</v>
      </c>
      <c r="V670" s="55">
        <v>170688.8026</v>
      </c>
      <c r="W670" s="3">
        <v>26</v>
      </c>
    </row>
    <row r="671" spans="1:23" x14ac:dyDescent="0.35">
      <c r="A671" s="3" t="s">
        <v>443</v>
      </c>
      <c r="B671" s="3" t="s">
        <v>444</v>
      </c>
      <c r="C671" s="3" t="s">
        <v>298</v>
      </c>
      <c r="D671" s="3" t="s">
        <v>290</v>
      </c>
      <c r="E671" s="3" t="s">
        <v>291</v>
      </c>
      <c r="F671" s="3" t="s">
        <v>146</v>
      </c>
      <c r="G671" s="3" t="s">
        <v>534</v>
      </c>
      <c r="H671" s="3" t="s">
        <v>293</v>
      </c>
      <c r="I671" s="3" t="s">
        <v>294</v>
      </c>
      <c r="J671" s="3" t="s">
        <v>295</v>
      </c>
      <c r="K671" s="3" t="s">
        <v>33</v>
      </c>
      <c r="L671" s="3" t="s">
        <v>51</v>
      </c>
      <c r="M671" s="3" t="s">
        <v>299</v>
      </c>
      <c r="N671" s="3" t="s">
        <v>536</v>
      </c>
      <c r="O671" s="3" t="s">
        <v>108</v>
      </c>
      <c r="P671" s="3" t="s">
        <v>109</v>
      </c>
      <c r="Q671" s="3" t="s">
        <v>39</v>
      </c>
      <c r="R671" s="3" t="s">
        <v>40</v>
      </c>
      <c r="S671" s="55">
        <v>86322.7</v>
      </c>
      <c r="T671" s="55">
        <v>18852.323499999999</v>
      </c>
      <c r="U671" s="55">
        <v>10073.803400000001</v>
      </c>
      <c r="V671" s="55">
        <v>67470.376499999998</v>
      </c>
      <c r="W671" s="3">
        <v>22</v>
      </c>
    </row>
    <row r="672" spans="1:23" x14ac:dyDescent="0.35">
      <c r="A672" s="3" t="s">
        <v>443</v>
      </c>
      <c r="B672" s="3" t="s">
        <v>444</v>
      </c>
      <c r="C672" s="3" t="s">
        <v>301</v>
      </c>
      <c r="D672" s="3" t="s">
        <v>290</v>
      </c>
      <c r="E672" s="3" t="s">
        <v>291</v>
      </c>
      <c r="F672" s="3" t="s">
        <v>146</v>
      </c>
      <c r="G672" s="3" t="s">
        <v>534</v>
      </c>
      <c r="H672" s="3" t="s">
        <v>293</v>
      </c>
      <c r="I672" s="3" t="s">
        <v>294</v>
      </c>
      <c r="J672" s="3" t="s">
        <v>295</v>
      </c>
      <c r="K672" s="3" t="s">
        <v>33</v>
      </c>
      <c r="L672" s="3" t="s">
        <v>51</v>
      </c>
      <c r="M672" s="3" t="s">
        <v>302</v>
      </c>
      <c r="N672" s="3" t="s">
        <v>537</v>
      </c>
      <c r="O672" s="3" t="s">
        <v>108</v>
      </c>
      <c r="P672" s="3" t="s">
        <v>109</v>
      </c>
      <c r="Q672" s="3" t="s">
        <v>39</v>
      </c>
      <c r="R672" s="3" t="s">
        <v>40</v>
      </c>
      <c r="S672" s="55">
        <v>192328.9</v>
      </c>
      <c r="T672" s="55">
        <v>42467.092400000001</v>
      </c>
      <c r="U672" s="55">
        <v>16977.2183</v>
      </c>
      <c r="V672" s="55">
        <v>149861.8076</v>
      </c>
      <c r="W672" s="3">
        <v>22</v>
      </c>
    </row>
    <row r="673" spans="1:23" x14ac:dyDescent="0.35">
      <c r="A673" s="3" t="s">
        <v>443</v>
      </c>
      <c r="B673" s="3" t="s">
        <v>444</v>
      </c>
      <c r="C673" s="3" t="s">
        <v>304</v>
      </c>
      <c r="D673" s="3" t="s">
        <v>290</v>
      </c>
      <c r="E673" s="3" t="s">
        <v>291</v>
      </c>
      <c r="F673" s="3" t="s">
        <v>146</v>
      </c>
      <c r="G673" s="3" t="s">
        <v>534</v>
      </c>
      <c r="H673" s="3" t="s">
        <v>293</v>
      </c>
      <c r="I673" s="3" t="s">
        <v>294</v>
      </c>
      <c r="J673" s="3" t="s">
        <v>295</v>
      </c>
      <c r="K673" s="3" t="s">
        <v>33</v>
      </c>
      <c r="L673" s="3" t="s">
        <v>51</v>
      </c>
      <c r="M673" s="3" t="s">
        <v>305</v>
      </c>
      <c r="N673" s="3" t="s">
        <v>538</v>
      </c>
      <c r="O673" s="3" t="s">
        <v>108</v>
      </c>
      <c r="P673" s="3" t="s">
        <v>109</v>
      </c>
      <c r="Q673" s="3" t="s">
        <v>39</v>
      </c>
      <c r="R673" s="3" t="s">
        <v>40</v>
      </c>
      <c r="S673" s="55">
        <v>73563</v>
      </c>
      <c r="T673" s="55">
        <v>17695.6054</v>
      </c>
      <c r="U673" s="55">
        <v>7991.2242999999999</v>
      </c>
      <c r="V673" s="55">
        <v>55867.3946</v>
      </c>
      <c r="W673" s="3">
        <v>24</v>
      </c>
    </row>
    <row r="674" spans="1:23" x14ac:dyDescent="0.35">
      <c r="A674" s="3" t="s">
        <v>443</v>
      </c>
      <c r="B674" s="3" t="s">
        <v>444</v>
      </c>
      <c r="C674" s="3" t="s">
        <v>307</v>
      </c>
      <c r="D674" s="3" t="s">
        <v>290</v>
      </c>
      <c r="E674" s="3" t="s">
        <v>291</v>
      </c>
      <c r="F674" s="3" t="s">
        <v>146</v>
      </c>
      <c r="G674" s="3" t="s">
        <v>534</v>
      </c>
      <c r="H674" s="3" t="s">
        <v>293</v>
      </c>
      <c r="I674" s="3" t="s">
        <v>294</v>
      </c>
      <c r="J674" s="3" t="s">
        <v>295</v>
      </c>
      <c r="K674" s="3" t="s">
        <v>33</v>
      </c>
      <c r="L674" s="3" t="s">
        <v>51</v>
      </c>
      <c r="M674" s="3" t="s">
        <v>308</v>
      </c>
      <c r="N674" s="3" t="s">
        <v>309</v>
      </c>
      <c r="O674" s="3" t="s">
        <v>37</v>
      </c>
      <c r="P674" s="3" t="s">
        <v>38</v>
      </c>
      <c r="Q674" s="3" t="s">
        <v>39</v>
      </c>
      <c r="R674" s="3" t="s">
        <v>40</v>
      </c>
      <c r="S674" s="55">
        <v>8508.2999999999993</v>
      </c>
      <c r="T674" s="55">
        <v>1460</v>
      </c>
      <c r="U674" s="55">
        <v>1460</v>
      </c>
      <c r="V674" s="55">
        <v>7048.3</v>
      </c>
      <c r="W674" s="3">
        <v>17</v>
      </c>
    </row>
    <row r="675" spans="1:23" x14ac:dyDescent="0.35">
      <c r="A675" s="3" t="s">
        <v>443</v>
      </c>
      <c r="B675" s="3" t="s">
        <v>444</v>
      </c>
      <c r="C675" s="3" t="s">
        <v>436</v>
      </c>
      <c r="D675" s="3" t="s">
        <v>290</v>
      </c>
      <c r="E675" s="3" t="s">
        <v>291</v>
      </c>
      <c r="F675" s="3" t="s">
        <v>146</v>
      </c>
      <c r="G675" s="3" t="s">
        <v>534</v>
      </c>
      <c r="H675" s="3" t="s">
        <v>293</v>
      </c>
      <c r="I675" s="3" t="s">
        <v>294</v>
      </c>
      <c r="J675" s="3" t="s">
        <v>295</v>
      </c>
      <c r="K675" s="3" t="s">
        <v>33</v>
      </c>
      <c r="L675" s="3" t="s">
        <v>51</v>
      </c>
      <c r="M675" s="3" t="s">
        <v>308</v>
      </c>
      <c r="N675" s="3" t="s">
        <v>309</v>
      </c>
      <c r="O675" s="3" t="s">
        <v>197</v>
      </c>
      <c r="P675" s="3" t="s">
        <v>198</v>
      </c>
      <c r="Q675" s="3" t="s">
        <v>39</v>
      </c>
      <c r="R675" s="3" t="s">
        <v>40</v>
      </c>
      <c r="S675" s="55">
        <v>3002.4</v>
      </c>
      <c r="T675" s="55">
        <v>0</v>
      </c>
      <c r="U675" s="55">
        <v>0</v>
      </c>
      <c r="V675" s="55">
        <v>3002.4</v>
      </c>
      <c r="W675" s="3">
        <v>0</v>
      </c>
    </row>
    <row r="676" spans="1:23" x14ac:dyDescent="0.35">
      <c r="A676" s="3" t="s">
        <v>443</v>
      </c>
      <c r="B676" s="3" t="s">
        <v>444</v>
      </c>
      <c r="C676" s="3" t="s">
        <v>310</v>
      </c>
      <c r="D676" s="3" t="s">
        <v>290</v>
      </c>
      <c r="E676" s="3" t="s">
        <v>291</v>
      </c>
      <c r="F676" s="3" t="s">
        <v>146</v>
      </c>
      <c r="G676" s="3" t="s">
        <v>534</v>
      </c>
      <c r="H676" s="3" t="s">
        <v>293</v>
      </c>
      <c r="I676" s="3" t="s">
        <v>294</v>
      </c>
      <c r="J676" s="3" t="s">
        <v>295</v>
      </c>
      <c r="K676" s="3" t="s">
        <v>33</v>
      </c>
      <c r="L676" s="3" t="s">
        <v>51</v>
      </c>
      <c r="M676" s="3" t="s">
        <v>311</v>
      </c>
      <c r="N676" s="3" t="s">
        <v>312</v>
      </c>
      <c r="O676" s="3" t="s">
        <v>197</v>
      </c>
      <c r="P676" s="3" t="s">
        <v>198</v>
      </c>
      <c r="Q676" s="3" t="s">
        <v>39</v>
      </c>
      <c r="R676" s="3" t="s">
        <v>40</v>
      </c>
      <c r="S676" s="55">
        <v>40101.9</v>
      </c>
      <c r="T676" s="55">
        <v>7687.5454</v>
      </c>
      <c r="U676" s="55">
        <v>7687.5454</v>
      </c>
      <c r="V676" s="55">
        <v>32414.354599999999</v>
      </c>
      <c r="W676" s="3">
        <v>19</v>
      </c>
    </row>
    <row r="677" spans="1:23" x14ac:dyDescent="0.35">
      <c r="A677" s="3" t="s">
        <v>443</v>
      </c>
      <c r="B677" s="3" t="s">
        <v>444</v>
      </c>
      <c r="C677" s="3" t="s">
        <v>313</v>
      </c>
      <c r="D677" s="3" t="s">
        <v>290</v>
      </c>
      <c r="E677" s="3" t="s">
        <v>291</v>
      </c>
      <c r="F677" s="3" t="s">
        <v>146</v>
      </c>
      <c r="G677" s="3" t="s">
        <v>534</v>
      </c>
      <c r="H677" s="3" t="s">
        <v>293</v>
      </c>
      <c r="I677" s="3" t="s">
        <v>294</v>
      </c>
      <c r="J677" s="3" t="s">
        <v>295</v>
      </c>
      <c r="K677" s="3" t="s">
        <v>33</v>
      </c>
      <c r="L677" s="3" t="s">
        <v>51</v>
      </c>
      <c r="M677" s="3" t="s">
        <v>314</v>
      </c>
      <c r="N677" s="3" t="s">
        <v>315</v>
      </c>
      <c r="O677" s="3" t="s">
        <v>197</v>
      </c>
      <c r="P677" s="3" t="s">
        <v>198</v>
      </c>
      <c r="Q677" s="3" t="s">
        <v>39</v>
      </c>
      <c r="R677" s="3" t="s">
        <v>40</v>
      </c>
      <c r="S677" s="55">
        <v>712.6</v>
      </c>
      <c r="T677" s="55">
        <v>0</v>
      </c>
      <c r="U677" s="55">
        <v>0</v>
      </c>
      <c r="V677" s="55">
        <v>712.6</v>
      </c>
      <c r="W677" s="3">
        <v>0</v>
      </c>
    </row>
    <row r="678" spans="1:23" x14ac:dyDescent="0.35">
      <c r="A678" s="3" t="s">
        <v>443</v>
      </c>
      <c r="B678" s="3" t="s">
        <v>444</v>
      </c>
      <c r="C678" s="3" t="s">
        <v>539</v>
      </c>
      <c r="D678" s="3" t="s">
        <v>290</v>
      </c>
      <c r="E678" s="3" t="s">
        <v>291</v>
      </c>
      <c r="F678" s="3" t="s">
        <v>146</v>
      </c>
      <c r="G678" s="3" t="s">
        <v>534</v>
      </c>
      <c r="H678" s="3" t="s">
        <v>293</v>
      </c>
      <c r="I678" s="3" t="s">
        <v>294</v>
      </c>
      <c r="J678" s="3" t="s">
        <v>295</v>
      </c>
      <c r="K678" s="3" t="s">
        <v>33</v>
      </c>
      <c r="L678" s="3" t="s">
        <v>51</v>
      </c>
      <c r="M678" s="3" t="s">
        <v>540</v>
      </c>
      <c r="N678" s="3" t="s">
        <v>541</v>
      </c>
      <c r="O678" s="3" t="s">
        <v>197</v>
      </c>
      <c r="P678" s="3" t="s">
        <v>198</v>
      </c>
      <c r="Q678" s="3" t="s">
        <v>39</v>
      </c>
      <c r="R678" s="3" t="s">
        <v>40</v>
      </c>
      <c r="S678" s="55">
        <v>30745.7</v>
      </c>
      <c r="T678" s="55">
        <v>0</v>
      </c>
      <c r="U678" s="55">
        <v>0</v>
      </c>
      <c r="V678" s="55">
        <v>30745.7</v>
      </c>
      <c r="W678" s="3">
        <v>0</v>
      </c>
    </row>
    <row r="679" spans="1:23" x14ac:dyDescent="0.35">
      <c r="A679" s="3" t="s">
        <v>443</v>
      </c>
      <c r="B679" s="3" t="s">
        <v>444</v>
      </c>
      <c r="C679" s="3" t="s">
        <v>322</v>
      </c>
      <c r="D679" s="3" t="s">
        <v>317</v>
      </c>
      <c r="E679" s="3" t="s">
        <v>291</v>
      </c>
      <c r="F679" s="3" t="s">
        <v>318</v>
      </c>
      <c r="G679" s="3" t="s">
        <v>319</v>
      </c>
      <c r="H679" s="3" t="s">
        <v>293</v>
      </c>
      <c r="I679" s="3" t="s">
        <v>294</v>
      </c>
      <c r="J679" s="3" t="s">
        <v>295</v>
      </c>
      <c r="K679" s="3" t="s">
        <v>33</v>
      </c>
      <c r="L679" s="3" t="s">
        <v>51</v>
      </c>
      <c r="M679" s="3" t="s">
        <v>323</v>
      </c>
      <c r="N679" s="3" t="s">
        <v>324</v>
      </c>
      <c r="O679" s="3" t="s">
        <v>197</v>
      </c>
      <c r="P679" s="3" t="s">
        <v>198</v>
      </c>
      <c r="Q679" s="3" t="s">
        <v>39</v>
      </c>
      <c r="R679" s="3" t="s">
        <v>40</v>
      </c>
      <c r="S679" s="55">
        <v>12448.4</v>
      </c>
      <c r="T679" s="55">
        <v>3061.3195999999998</v>
      </c>
      <c r="U679" s="55">
        <v>0</v>
      </c>
      <c r="V679" s="55">
        <v>9387.0804000000007</v>
      </c>
      <c r="W679" s="3">
        <v>25</v>
      </c>
    </row>
    <row r="680" spans="1:23" x14ac:dyDescent="0.35">
      <c r="A680" s="3" t="s">
        <v>443</v>
      </c>
      <c r="B680" s="3" t="s">
        <v>444</v>
      </c>
      <c r="C680" s="3" t="s">
        <v>325</v>
      </c>
      <c r="D680" s="3" t="s">
        <v>326</v>
      </c>
      <c r="E680" s="3" t="s">
        <v>327</v>
      </c>
      <c r="F680" s="3" t="s">
        <v>189</v>
      </c>
      <c r="G680" s="3" t="s">
        <v>328</v>
      </c>
      <c r="H680" s="3" t="s">
        <v>146</v>
      </c>
      <c r="I680" s="3" t="s">
        <v>329</v>
      </c>
      <c r="J680" s="3" t="s">
        <v>330</v>
      </c>
      <c r="K680" s="3" t="s">
        <v>33</v>
      </c>
      <c r="L680" s="3" t="s">
        <v>51</v>
      </c>
      <c r="M680" s="3" t="s">
        <v>331</v>
      </c>
      <c r="N680" s="3" t="s">
        <v>332</v>
      </c>
      <c r="O680" s="3" t="s">
        <v>108</v>
      </c>
      <c r="P680" s="3" t="s">
        <v>109</v>
      </c>
      <c r="Q680" s="3" t="s">
        <v>39</v>
      </c>
      <c r="R680" s="3" t="s">
        <v>40</v>
      </c>
      <c r="S680" s="55">
        <v>607335</v>
      </c>
      <c r="T680" s="55">
        <v>117786.4081</v>
      </c>
      <c r="U680" s="55">
        <v>57968.197099999998</v>
      </c>
      <c r="V680" s="55">
        <v>489548.5919</v>
      </c>
      <c r="W680" s="3">
        <v>19</v>
      </c>
    </row>
    <row r="681" spans="1:23" x14ac:dyDescent="0.35">
      <c r="A681" s="3" t="s">
        <v>443</v>
      </c>
      <c r="B681" s="3" t="s">
        <v>444</v>
      </c>
      <c r="C681" s="3" t="s">
        <v>333</v>
      </c>
      <c r="D681" s="3" t="s">
        <v>326</v>
      </c>
      <c r="E681" s="3" t="s">
        <v>327</v>
      </c>
      <c r="F681" s="3" t="s">
        <v>189</v>
      </c>
      <c r="G681" s="3" t="s">
        <v>328</v>
      </c>
      <c r="H681" s="3" t="s">
        <v>146</v>
      </c>
      <c r="I681" s="3" t="s">
        <v>329</v>
      </c>
      <c r="J681" s="3" t="s">
        <v>330</v>
      </c>
      <c r="K681" s="3" t="s">
        <v>33</v>
      </c>
      <c r="L681" s="3" t="s">
        <v>51</v>
      </c>
      <c r="M681" s="3" t="s">
        <v>331</v>
      </c>
      <c r="N681" s="3" t="s">
        <v>332</v>
      </c>
      <c r="O681" s="3" t="s">
        <v>334</v>
      </c>
      <c r="P681" s="3" t="s">
        <v>335</v>
      </c>
      <c r="Q681" s="3" t="s">
        <v>39</v>
      </c>
      <c r="R681" s="3" t="s">
        <v>40</v>
      </c>
      <c r="S681" s="55">
        <v>5154.6000000000004</v>
      </c>
      <c r="T681" s="55">
        <v>795.48940000000005</v>
      </c>
      <c r="U681" s="55">
        <v>434.95690000000002</v>
      </c>
      <c r="V681" s="55">
        <v>4359.1106</v>
      </c>
      <c r="W681" s="3">
        <v>15</v>
      </c>
    </row>
    <row r="682" spans="1:23" x14ac:dyDescent="0.35">
      <c r="A682" s="3" t="s">
        <v>443</v>
      </c>
      <c r="B682" s="3" t="s">
        <v>444</v>
      </c>
      <c r="C682" s="3" t="s">
        <v>542</v>
      </c>
      <c r="D682" s="3" t="s">
        <v>337</v>
      </c>
      <c r="E682" s="3" t="s">
        <v>327</v>
      </c>
      <c r="F682" s="3" t="s">
        <v>116</v>
      </c>
      <c r="G682" s="3" t="s">
        <v>338</v>
      </c>
      <c r="H682" s="3" t="s">
        <v>146</v>
      </c>
      <c r="I682" s="3" t="s">
        <v>329</v>
      </c>
      <c r="J682" s="3" t="s">
        <v>339</v>
      </c>
      <c r="K682" s="3" t="s">
        <v>23</v>
      </c>
      <c r="L682" s="3" t="s">
        <v>203</v>
      </c>
      <c r="M682" s="3" t="s">
        <v>543</v>
      </c>
      <c r="N682" s="3" t="s">
        <v>341</v>
      </c>
      <c r="O682" s="3" t="s">
        <v>197</v>
      </c>
      <c r="P682" s="3" t="s">
        <v>198</v>
      </c>
      <c r="Q682" s="3" t="s">
        <v>39</v>
      </c>
      <c r="R682" s="3" t="s">
        <v>40</v>
      </c>
      <c r="S682" s="55">
        <v>79182.8</v>
      </c>
      <c r="T682" s="55">
        <v>68566.592399999994</v>
      </c>
      <c r="U682" s="55">
        <v>0</v>
      </c>
      <c r="V682" s="55">
        <v>10616.2076</v>
      </c>
      <c r="W682" s="3">
        <v>87</v>
      </c>
    </row>
    <row r="683" spans="1:23" x14ac:dyDescent="0.35">
      <c r="A683" s="3" t="s">
        <v>443</v>
      </c>
      <c r="B683" s="3" t="s">
        <v>444</v>
      </c>
      <c r="C683" s="3" t="s">
        <v>544</v>
      </c>
      <c r="D683" s="3" t="s">
        <v>337</v>
      </c>
      <c r="E683" s="3" t="s">
        <v>327</v>
      </c>
      <c r="F683" s="3" t="s">
        <v>116</v>
      </c>
      <c r="G683" s="3" t="s">
        <v>338</v>
      </c>
      <c r="H683" s="3" t="s">
        <v>146</v>
      </c>
      <c r="I683" s="3" t="s">
        <v>329</v>
      </c>
      <c r="J683" s="3" t="s">
        <v>339</v>
      </c>
      <c r="K683" s="3" t="s">
        <v>23</v>
      </c>
      <c r="L683" s="3" t="s">
        <v>203</v>
      </c>
      <c r="M683" s="3" t="s">
        <v>545</v>
      </c>
      <c r="N683" s="3" t="s">
        <v>359</v>
      </c>
      <c r="O683" s="3" t="s">
        <v>197</v>
      </c>
      <c r="P683" s="3" t="s">
        <v>198</v>
      </c>
      <c r="Q683" s="3" t="s">
        <v>39</v>
      </c>
      <c r="R683" s="3" t="s">
        <v>40</v>
      </c>
      <c r="S683" s="55">
        <v>50.1</v>
      </c>
      <c r="T683" s="55">
        <v>0</v>
      </c>
      <c r="U683" s="55">
        <v>0</v>
      </c>
      <c r="V683" s="55">
        <v>50.1</v>
      </c>
      <c r="W683" s="3">
        <v>0</v>
      </c>
    </row>
    <row r="684" spans="1:23" x14ac:dyDescent="0.35">
      <c r="A684" s="3" t="s">
        <v>443</v>
      </c>
      <c r="B684" s="3" t="s">
        <v>444</v>
      </c>
      <c r="C684" s="3" t="s">
        <v>437</v>
      </c>
      <c r="D684" s="3" t="s">
        <v>337</v>
      </c>
      <c r="E684" s="3" t="s">
        <v>327</v>
      </c>
      <c r="F684" s="3" t="s">
        <v>116</v>
      </c>
      <c r="G684" s="3" t="s">
        <v>338</v>
      </c>
      <c r="H684" s="3" t="s">
        <v>146</v>
      </c>
      <c r="I684" s="3" t="s">
        <v>329</v>
      </c>
      <c r="J684" s="3" t="s">
        <v>330</v>
      </c>
      <c r="K684" s="3" t="s">
        <v>33</v>
      </c>
      <c r="L684" s="3" t="s">
        <v>51</v>
      </c>
      <c r="M684" s="3" t="s">
        <v>438</v>
      </c>
      <c r="N684" s="3" t="s">
        <v>439</v>
      </c>
      <c r="O684" s="3" t="s">
        <v>197</v>
      </c>
      <c r="P684" s="3" t="s">
        <v>198</v>
      </c>
      <c r="Q684" s="3" t="s">
        <v>39</v>
      </c>
      <c r="R684" s="3" t="s">
        <v>40</v>
      </c>
      <c r="S684" s="55">
        <v>35585.699999999997</v>
      </c>
      <c r="T684" s="55">
        <v>1095.5401999999999</v>
      </c>
      <c r="U684" s="55">
        <v>1095.5401999999999</v>
      </c>
      <c r="V684" s="55">
        <v>34490.159800000001</v>
      </c>
      <c r="W684" s="3">
        <v>3</v>
      </c>
    </row>
    <row r="685" spans="1:23" x14ac:dyDescent="0.35">
      <c r="A685" s="3" t="s">
        <v>443</v>
      </c>
      <c r="B685" s="3" t="s">
        <v>444</v>
      </c>
      <c r="C685" s="3" t="s">
        <v>342</v>
      </c>
      <c r="D685" s="3" t="s">
        <v>337</v>
      </c>
      <c r="E685" s="3" t="s">
        <v>327</v>
      </c>
      <c r="F685" s="3" t="s">
        <v>116</v>
      </c>
      <c r="G685" s="3" t="s">
        <v>338</v>
      </c>
      <c r="H685" s="3" t="s">
        <v>146</v>
      </c>
      <c r="I685" s="3" t="s">
        <v>329</v>
      </c>
      <c r="J685" s="3" t="s">
        <v>330</v>
      </c>
      <c r="K685" s="3" t="s">
        <v>33</v>
      </c>
      <c r="L685" s="3" t="s">
        <v>51</v>
      </c>
      <c r="M685" s="3" t="s">
        <v>343</v>
      </c>
      <c r="N685" s="3" t="s">
        <v>344</v>
      </c>
      <c r="O685" s="3" t="s">
        <v>37</v>
      </c>
      <c r="P685" s="3" t="s">
        <v>38</v>
      </c>
      <c r="Q685" s="3" t="s">
        <v>39</v>
      </c>
      <c r="R685" s="3" t="s">
        <v>40</v>
      </c>
      <c r="S685" s="55">
        <v>46.1</v>
      </c>
      <c r="T685" s="55">
        <v>0</v>
      </c>
      <c r="U685" s="55">
        <v>0</v>
      </c>
      <c r="V685" s="55">
        <v>46.1</v>
      </c>
      <c r="W685" s="3">
        <v>0</v>
      </c>
    </row>
    <row r="686" spans="1:23" x14ac:dyDescent="0.35">
      <c r="A686" s="3" t="s">
        <v>443</v>
      </c>
      <c r="B686" s="3" t="s">
        <v>444</v>
      </c>
      <c r="C686" s="3" t="s">
        <v>345</v>
      </c>
      <c r="D686" s="3" t="s">
        <v>337</v>
      </c>
      <c r="E686" s="3" t="s">
        <v>327</v>
      </c>
      <c r="F686" s="3" t="s">
        <v>116</v>
      </c>
      <c r="G686" s="3" t="s">
        <v>338</v>
      </c>
      <c r="H686" s="3" t="s">
        <v>146</v>
      </c>
      <c r="I686" s="3" t="s">
        <v>329</v>
      </c>
      <c r="J686" s="3" t="s">
        <v>330</v>
      </c>
      <c r="K686" s="3" t="s">
        <v>33</v>
      </c>
      <c r="L686" s="3" t="s">
        <v>51</v>
      </c>
      <c r="M686" s="3" t="s">
        <v>346</v>
      </c>
      <c r="N686" s="3" t="s">
        <v>347</v>
      </c>
      <c r="O686" s="3" t="s">
        <v>197</v>
      </c>
      <c r="P686" s="3" t="s">
        <v>198</v>
      </c>
      <c r="Q686" s="3" t="s">
        <v>39</v>
      </c>
      <c r="R686" s="3" t="s">
        <v>40</v>
      </c>
      <c r="S686" s="55">
        <v>98282.8</v>
      </c>
      <c r="T686" s="55">
        <v>0</v>
      </c>
      <c r="U686" s="55">
        <v>0</v>
      </c>
      <c r="V686" s="55">
        <v>98282.8</v>
      </c>
      <c r="W686" s="3">
        <v>0</v>
      </c>
    </row>
    <row r="687" spans="1:23" x14ac:dyDescent="0.35">
      <c r="A687" s="3" t="s">
        <v>443</v>
      </c>
      <c r="B687" s="3" t="s">
        <v>444</v>
      </c>
      <c r="C687" s="3" t="s">
        <v>489</v>
      </c>
      <c r="D687" s="3" t="s">
        <v>337</v>
      </c>
      <c r="E687" s="3" t="s">
        <v>327</v>
      </c>
      <c r="F687" s="3" t="s">
        <v>116</v>
      </c>
      <c r="G687" s="3" t="s">
        <v>338</v>
      </c>
      <c r="H687" s="3" t="s">
        <v>146</v>
      </c>
      <c r="I687" s="3" t="s">
        <v>329</v>
      </c>
      <c r="J687" s="3" t="s">
        <v>330</v>
      </c>
      <c r="K687" s="3" t="s">
        <v>33</v>
      </c>
      <c r="L687" s="3" t="s">
        <v>51</v>
      </c>
      <c r="M687" s="3" t="s">
        <v>490</v>
      </c>
      <c r="N687" s="3" t="s">
        <v>491</v>
      </c>
      <c r="O687" s="3" t="s">
        <v>197</v>
      </c>
      <c r="P687" s="3" t="s">
        <v>198</v>
      </c>
      <c r="Q687" s="3" t="s">
        <v>39</v>
      </c>
      <c r="R687" s="3" t="s">
        <v>40</v>
      </c>
      <c r="S687" s="55">
        <v>14237.2</v>
      </c>
      <c r="T687" s="55">
        <v>0</v>
      </c>
      <c r="U687" s="55">
        <v>0</v>
      </c>
      <c r="V687" s="55">
        <v>14237.2</v>
      </c>
      <c r="W687" s="3">
        <v>0</v>
      </c>
    </row>
    <row r="688" spans="1:23" x14ac:dyDescent="0.35">
      <c r="A688" s="3" t="s">
        <v>443</v>
      </c>
      <c r="B688" s="3" t="s">
        <v>444</v>
      </c>
      <c r="C688" s="3" t="s">
        <v>348</v>
      </c>
      <c r="D688" s="3" t="s">
        <v>337</v>
      </c>
      <c r="E688" s="3" t="s">
        <v>327</v>
      </c>
      <c r="F688" s="3" t="s">
        <v>116</v>
      </c>
      <c r="G688" s="3" t="s">
        <v>338</v>
      </c>
      <c r="H688" s="3" t="s">
        <v>146</v>
      </c>
      <c r="I688" s="3" t="s">
        <v>329</v>
      </c>
      <c r="J688" s="3" t="s">
        <v>330</v>
      </c>
      <c r="K688" s="3" t="s">
        <v>33</v>
      </c>
      <c r="L688" s="3" t="s">
        <v>51</v>
      </c>
      <c r="M688" s="3" t="s">
        <v>349</v>
      </c>
      <c r="N688" s="3" t="s">
        <v>350</v>
      </c>
      <c r="O688" s="3" t="s">
        <v>197</v>
      </c>
      <c r="P688" s="3" t="s">
        <v>198</v>
      </c>
      <c r="Q688" s="3" t="s">
        <v>39</v>
      </c>
      <c r="R688" s="3" t="s">
        <v>40</v>
      </c>
      <c r="S688" s="55">
        <v>100</v>
      </c>
      <c r="T688" s="55">
        <v>0</v>
      </c>
      <c r="U688" s="55">
        <v>0</v>
      </c>
      <c r="V688" s="55">
        <v>100</v>
      </c>
      <c r="W688" s="3">
        <v>0</v>
      </c>
    </row>
    <row r="689" spans="1:23" x14ac:dyDescent="0.35">
      <c r="A689" s="3" t="s">
        <v>443</v>
      </c>
      <c r="B689" s="3" t="s">
        <v>444</v>
      </c>
      <c r="C689" s="3" t="s">
        <v>546</v>
      </c>
      <c r="D689" s="3" t="s">
        <v>337</v>
      </c>
      <c r="E689" s="3" t="s">
        <v>327</v>
      </c>
      <c r="F689" s="3" t="s">
        <v>116</v>
      </c>
      <c r="G689" s="3" t="s">
        <v>338</v>
      </c>
      <c r="H689" s="3" t="s">
        <v>146</v>
      </c>
      <c r="I689" s="3" t="s">
        <v>329</v>
      </c>
      <c r="J689" s="3" t="s">
        <v>330</v>
      </c>
      <c r="K689" s="3" t="s">
        <v>33</v>
      </c>
      <c r="L689" s="3" t="s">
        <v>51</v>
      </c>
      <c r="M689" s="3" t="s">
        <v>547</v>
      </c>
      <c r="N689" s="3" t="s">
        <v>548</v>
      </c>
      <c r="O689" s="3" t="s">
        <v>197</v>
      </c>
      <c r="P689" s="3" t="s">
        <v>198</v>
      </c>
      <c r="Q689" s="3" t="s">
        <v>39</v>
      </c>
      <c r="R689" s="3" t="s">
        <v>40</v>
      </c>
      <c r="S689" s="55">
        <v>15384.9</v>
      </c>
      <c r="T689" s="55">
        <v>0</v>
      </c>
      <c r="U689" s="55">
        <v>0</v>
      </c>
      <c r="V689" s="55">
        <v>15384.9</v>
      </c>
      <c r="W689" s="3">
        <v>0</v>
      </c>
    </row>
    <row r="690" spans="1:23" x14ac:dyDescent="0.35">
      <c r="A690" s="3" t="s">
        <v>443</v>
      </c>
      <c r="B690" s="3" t="s">
        <v>444</v>
      </c>
      <c r="C690" s="3" t="s">
        <v>455</v>
      </c>
      <c r="D690" s="3" t="s">
        <v>337</v>
      </c>
      <c r="E690" s="3" t="s">
        <v>327</v>
      </c>
      <c r="F690" s="3" t="s">
        <v>116</v>
      </c>
      <c r="G690" s="3" t="s">
        <v>338</v>
      </c>
      <c r="H690" s="3" t="s">
        <v>146</v>
      </c>
      <c r="I690" s="3" t="s">
        <v>329</v>
      </c>
      <c r="J690" s="3" t="s">
        <v>330</v>
      </c>
      <c r="K690" s="3" t="s">
        <v>33</v>
      </c>
      <c r="L690" s="3" t="s">
        <v>51</v>
      </c>
      <c r="M690" s="3" t="s">
        <v>456</v>
      </c>
      <c r="N690" s="3" t="s">
        <v>457</v>
      </c>
      <c r="O690" s="3" t="s">
        <v>197</v>
      </c>
      <c r="P690" s="3" t="s">
        <v>198</v>
      </c>
      <c r="Q690" s="3" t="s">
        <v>39</v>
      </c>
      <c r="R690" s="3" t="s">
        <v>40</v>
      </c>
      <c r="S690" s="55">
        <v>2903.1</v>
      </c>
      <c r="T690" s="55">
        <v>0</v>
      </c>
      <c r="U690" s="55">
        <v>0</v>
      </c>
      <c r="V690" s="55">
        <v>2903.1</v>
      </c>
      <c r="W690" s="3">
        <v>0</v>
      </c>
    </row>
    <row r="691" spans="1:23" x14ac:dyDescent="0.35">
      <c r="A691" s="3" t="s">
        <v>443</v>
      </c>
      <c r="B691" s="3" t="s">
        <v>444</v>
      </c>
      <c r="C691" s="3" t="s">
        <v>354</v>
      </c>
      <c r="D691" s="3" t="s">
        <v>337</v>
      </c>
      <c r="E691" s="3" t="s">
        <v>327</v>
      </c>
      <c r="F691" s="3" t="s">
        <v>116</v>
      </c>
      <c r="G691" s="3" t="s">
        <v>338</v>
      </c>
      <c r="H691" s="3" t="s">
        <v>146</v>
      </c>
      <c r="I691" s="3" t="s">
        <v>329</v>
      </c>
      <c r="J691" s="3" t="s">
        <v>330</v>
      </c>
      <c r="K691" s="3" t="s">
        <v>33</v>
      </c>
      <c r="L691" s="3" t="s">
        <v>51</v>
      </c>
      <c r="M691" s="3" t="s">
        <v>355</v>
      </c>
      <c r="N691" s="3" t="s">
        <v>356</v>
      </c>
      <c r="O691" s="3" t="s">
        <v>197</v>
      </c>
      <c r="P691" s="3" t="s">
        <v>198</v>
      </c>
      <c r="Q691" s="3" t="s">
        <v>39</v>
      </c>
      <c r="R691" s="3" t="s">
        <v>40</v>
      </c>
      <c r="S691" s="55">
        <v>34143.9</v>
      </c>
      <c r="T691" s="55">
        <v>5867.0380999999998</v>
      </c>
      <c r="U691" s="55">
        <v>2971.5389</v>
      </c>
      <c r="V691" s="55">
        <v>28276.8619</v>
      </c>
      <c r="W691" s="3">
        <v>17</v>
      </c>
    </row>
    <row r="692" spans="1:23" x14ac:dyDescent="0.35">
      <c r="A692" s="3" t="s">
        <v>443</v>
      </c>
      <c r="B692" s="3" t="s">
        <v>444</v>
      </c>
      <c r="C692" s="3" t="s">
        <v>363</v>
      </c>
      <c r="D692" s="3" t="s">
        <v>364</v>
      </c>
      <c r="E692" s="3" t="s">
        <v>365</v>
      </c>
      <c r="F692" s="3" t="s">
        <v>189</v>
      </c>
      <c r="G692" s="3" t="s">
        <v>366</v>
      </c>
      <c r="H692" s="3" t="s">
        <v>28</v>
      </c>
      <c r="I692" s="3" t="s">
        <v>231</v>
      </c>
      <c r="J692" s="3" t="s">
        <v>232</v>
      </c>
      <c r="K692" s="3" t="s">
        <v>33</v>
      </c>
      <c r="L692" s="3" t="s">
        <v>51</v>
      </c>
      <c r="M692" s="3" t="s">
        <v>367</v>
      </c>
      <c r="N692" s="3" t="s">
        <v>368</v>
      </c>
      <c r="O692" s="3" t="s">
        <v>108</v>
      </c>
      <c r="P692" s="3" t="s">
        <v>109</v>
      </c>
      <c r="Q692" s="3" t="s">
        <v>39</v>
      </c>
      <c r="R692" s="3" t="s">
        <v>40</v>
      </c>
      <c r="S692" s="55">
        <v>181890.3</v>
      </c>
      <c r="T692" s="55">
        <v>44028.559399999998</v>
      </c>
      <c r="U692" s="55">
        <v>15862.259400000001</v>
      </c>
      <c r="V692" s="55">
        <v>137861.74059999999</v>
      </c>
      <c r="W692" s="3">
        <v>24</v>
      </c>
    </row>
    <row r="693" spans="1:23" x14ac:dyDescent="0.35">
      <c r="A693" s="3" t="s">
        <v>443</v>
      </c>
      <c r="B693" s="3" t="s">
        <v>444</v>
      </c>
      <c r="C693" s="3" t="s">
        <v>369</v>
      </c>
      <c r="D693" s="3" t="s">
        <v>364</v>
      </c>
      <c r="E693" s="3" t="s">
        <v>365</v>
      </c>
      <c r="F693" s="3" t="s">
        <v>189</v>
      </c>
      <c r="G693" s="3" t="s">
        <v>366</v>
      </c>
      <c r="H693" s="3" t="s">
        <v>28</v>
      </c>
      <c r="I693" s="3" t="s">
        <v>231</v>
      </c>
      <c r="J693" s="3" t="s">
        <v>232</v>
      </c>
      <c r="K693" s="3" t="s">
        <v>33</v>
      </c>
      <c r="L693" s="3" t="s">
        <v>51</v>
      </c>
      <c r="M693" s="3" t="s">
        <v>367</v>
      </c>
      <c r="N693" s="3" t="s">
        <v>368</v>
      </c>
      <c r="O693" s="3" t="s">
        <v>334</v>
      </c>
      <c r="P693" s="3" t="s">
        <v>335</v>
      </c>
      <c r="Q693" s="3" t="s">
        <v>39</v>
      </c>
      <c r="R693" s="3" t="s">
        <v>40</v>
      </c>
      <c r="S693" s="55">
        <v>18356.2</v>
      </c>
      <c r="T693" s="55">
        <v>3637.3222000000001</v>
      </c>
      <c r="U693" s="55">
        <v>1436.6248000000001</v>
      </c>
      <c r="V693" s="55">
        <v>14718.8778</v>
      </c>
      <c r="W693" s="3">
        <v>20</v>
      </c>
    </row>
    <row r="694" spans="1:23" x14ac:dyDescent="0.35">
      <c r="A694" s="3" t="s">
        <v>443</v>
      </c>
      <c r="B694" s="3" t="s">
        <v>444</v>
      </c>
      <c r="C694" s="3" t="s">
        <v>373</v>
      </c>
      <c r="D694" s="3" t="s">
        <v>364</v>
      </c>
      <c r="E694" s="3" t="s">
        <v>365</v>
      </c>
      <c r="F694" s="3" t="s">
        <v>189</v>
      </c>
      <c r="G694" s="3" t="s">
        <v>366</v>
      </c>
      <c r="H694" s="3" t="s">
        <v>28</v>
      </c>
      <c r="I694" s="3" t="s">
        <v>231</v>
      </c>
      <c r="J694" s="3" t="s">
        <v>232</v>
      </c>
      <c r="K694" s="3" t="s">
        <v>33</v>
      </c>
      <c r="L694" s="3" t="s">
        <v>51</v>
      </c>
      <c r="M694" s="3" t="s">
        <v>371</v>
      </c>
      <c r="N694" s="3" t="s">
        <v>372</v>
      </c>
      <c r="O694" s="3" t="s">
        <v>334</v>
      </c>
      <c r="P694" s="3" t="s">
        <v>335</v>
      </c>
      <c r="Q694" s="3" t="s">
        <v>39</v>
      </c>
      <c r="R694" s="3" t="s">
        <v>40</v>
      </c>
      <c r="S694" s="55">
        <v>109296.5</v>
      </c>
      <c r="T694" s="55">
        <v>34026.246599999999</v>
      </c>
      <c r="U694" s="55">
        <v>13923.1757</v>
      </c>
      <c r="V694" s="55">
        <v>75270.253400000001</v>
      </c>
      <c r="W694" s="3">
        <v>31</v>
      </c>
    </row>
    <row r="695" spans="1:23" x14ac:dyDescent="0.35">
      <c r="A695" s="3" t="s">
        <v>443</v>
      </c>
      <c r="B695" s="3" t="s">
        <v>444</v>
      </c>
      <c r="C695" s="3" t="s">
        <v>374</v>
      </c>
      <c r="D695" s="3" t="s">
        <v>364</v>
      </c>
      <c r="E695" s="3" t="s">
        <v>365</v>
      </c>
      <c r="F695" s="3" t="s">
        <v>189</v>
      </c>
      <c r="G695" s="3" t="s">
        <v>366</v>
      </c>
      <c r="H695" s="3" t="s">
        <v>28</v>
      </c>
      <c r="I695" s="3" t="s">
        <v>231</v>
      </c>
      <c r="J695" s="3" t="s">
        <v>232</v>
      </c>
      <c r="K695" s="3" t="s">
        <v>33</v>
      </c>
      <c r="L695" s="3" t="s">
        <v>51</v>
      </c>
      <c r="M695" s="3" t="s">
        <v>375</v>
      </c>
      <c r="N695" s="3" t="s">
        <v>376</v>
      </c>
      <c r="O695" s="3" t="s">
        <v>197</v>
      </c>
      <c r="P695" s="3" t="s">
        <v>198</v>
      </c>
      <c r="Q695" s="3" t="s">
        <v>39</v>
      </c>
      <c r="R695" s="3" t="s">
        <v>40</v>
      </c>
      <c r="S695" s="55">
        <v>10386</v>
      </c>
      <c r="T695" s="55">
        <v>0</v>
      </c>
      <c r="U695" s="55">
        <v>0</v>
      </c>
      <c r="V695" s="55">
        <v>10386</v>
      </c>
      <c r="W695" s="3">
        <v>0</v>
      </c>
    </row>
    <row r="696" spans="1:23" x14ac:dyDescent="0.35">
      <c r="A696" s="3" t="s">
        <v>443</v>
      </c>
      <c r="B696" s="3" t="s">
        <v>444</v>
      </c>
      <c r="C696" s="3" t="s">
        <v>377</v>
      </c>
      <c r="D696" s="3" t="s">
        <v>364</v>
      </c>
      <c r="E696" s="3" t="s">
        <v>365</v>
      </c>
      <c r="F696" s="3" t="s">
        <v>189</v>
      </c>
      <c r="G696" s="3" t="s">
        <v>366</v>
      </c>
      <c r="H696" s="3" t="s">
        <v>28</v>
      </c>
      <c r="I696" s="3" t="s">
        <v>231</v>
      </c>
      <c r="J696" s="3" t="s">
        <v>232</v>
      </c>
      <c r="K696" s="3" t="s">
        <v>33</v>
      </c>
      <c r="L696" s="3" t="s">
        <v>51</v>
      </c>
      <c r="M696" s="3" t="s">
        <v>378</v>
      </c>
      <c r="N696" s="3" t="s">
        <v>549</v>
      </c>
      <c r="O696" s="3" t="s">
        <v>108</v>
      </c>
      <c r="P696" s="3" t="s">
        <v>109</v>
      </c>
      <c r="Q696" s="3" t="s">
        <v>39</v>
      </c>
      <c r="R696" s="3" t="s">
        <v>40</v>
      </c>
      <c r="S696" s="55">
        <v>12844.7</v>
      </c>
      <c r="T696" s="55">
        <v>2843.3910999999998</v>
      </c>
      <c r="U696" s="55">
        <v>1034.0482</v>
      </c>
      <c r="V696" s="55">
        <v>10001.3089</v>
      </c>
      <c r="W696" s="3">
        <v>22</v>
      </c>
    </row>
    <row r="697" spans="1:23" x14ac:dyDescent="0.35">
      <c r="A697" s="3" t="s">
        <v>443</v>
      </c>
      <c r="B697" s="3" t="s">
        <v>444</v>
      </c>
      <c r="C697" s="3" t="s">
        <v>380</v>
      </c>
      <c r="D697" s="3" t="s">
        <v>364</v>
      </c>
      <c r="E697" s="3" t="s">
        <v>365</v>
      </c>
      <c r="F697" s="3" t="s">
        <v>189</v>
      </c>
      <c r="G697" s="3" t="s">
        <v>366</v>
      </c>
      <c r="H697" s="3" t="s">
        <v>28</v>
      </c>
      <c r="I697" s="3" t="s">
        <v>231</v>
      </c>
      <c r="J697" s="3" t="s">
        <v>232</v>
      </c>
      <c r="K697" s="3" t="s">
        <v>33</v>
      </c>
      <c r="L697" s="3" t="s">
        <v>51</v>
      </c>
      <c r="M697" s="3" t="s">
        <v>378</v>
      </c>
      <c r="N697" s="3" t="s">
        <v>549</v>
      </c>
      <c r="O697" s="3" t="s">
        <v>334</v>
      </c>
      <c r="P697" s="3" t="s">
        <v>335</v>
      </c>
      <c r="Q697" s="3" t="s">
        <v>39</v>
      </c>
      <c r="R697" s="3" t="s">
        <v>40</v>
      </c>
      <c r="S697" s="55">
        <v>443478.3</v>
      </c>
      <c r="T697" s="55">
        <v>112991.1676</v>
      </c>
      <c r="U697" s="55">
        <v>38934.6417</v>
      </c>
      <c r="V697" s="55">
        <v>330487.1324</v>
      </c>
      <c r="W697" s="3">
        <v>25</v>
      </c>
    </row>
    <row r="698" spans="1:23" x14ac:dyDescent="0.35">
      <c r="A698" s="3" t="s">
        <v>443</v>
      </c>
      <c r="B698" s="3" t="s">
        <v>444</v>
      </c>
      <c r="C698" s="3" t="s">
        <v>384</v>
      </c>
      <c r="D698" s="3" t="s">
        <v>364</v>
      </c>
      <c r="E698" s="3" t="s">
        <v>365</v>
      </c>
      <c r="F698" s="3" t="s">
        <v>189</v>
      </c>
      <c r="G698" s="3" t="s">
        <v>366</v>
      </c>
      <c r="H698" s="3" t="s">
        <v>28</v>
      </c>
      <c r="I698" s="3" t="s">
        <v>231</v>
      </c>
      <c r="J698" s="3" t="s">
        <v>232</v>
      </c>
      <c r="K698" s="3" t="s">
        <v>33</v>
      </c>
      <c r="L698" s="3" t="s">
        <v>51</v>
      </c>
      <c r="M698" s="3" t="s">
        <v>382</v>
      </c>
      <c r="N698" s="3" t="s">
        <v>383</v>
      </c>
      <c r="O698" s="3" t="s">
        <v>334</v>
      </c>
      <c r="P698" s="3" t="s">
        <v>335</v>
      </c>
      <c r="Q698" s="3" t="s">
        <v>39</v>
      </c>
      <c r="R698" s="3" t="s">
        <v>40</v>
      </c>
      <c r="S698" s="55">
        <v>51058.7</v>
      </c>
      <c r="T698" s="55">
        <v>13439.026</v>
      </c>
      <c r="U698" s="55">
        <v>4908.9709999999995</v>
      </c>
      <c r="V698" s="55">
        <v>37619.673999999999</v>
      </c>
      <c r="W698" s="3">
        <v>26</v>
      </c>
    </row>
    <row r="699" spans="1:23" x14ac:dyDescent="0.35">
      <c r="A699" s="3" t="s">
        <v>443</v>
      </c>
      <c r="B699" s="3" t="s">
        <v>444</v>
      </c>
      <c r="C699" s="3" t="s">
        <v>391</v>
      </c>
      <c r="D699" s="3" t="s">
        <v>392</v>
      </c>
      <c r="E699" s="3" t="s">
        <v>365</v>
      </c>
      <c r="F699" s="3" t="s">
        <v>28</v>
      </c>
      <c r="G699" s="3" t="s">
        <v>393</v>
      </c>
      <c r="H699" s="3" t="s">
        <v>28</v>
      </c>
      <c r="I699" s="3" t="s">
        <v>231</v>
      </c>
      <c r="J699" s="3" t="s">
        <v>232</v>
      </c>
      <c r="K699" s="3" t="s">
        <v>33</v>
      </c>
      <c r="L699" s="3" t="s">
        <v>51</v>
      </c>
      <c r="M699" s="3" t="s">
        <v>394</v>
      </c>
      <c r="N699" s="3" t="s">
        <v>395</v>
      </c>
      <c r="O699" s="3" t="s">
        <v>197</v>
      </c>
      <c r="P699" s="3" t="s">
        <v>198</v>
      </c>
      <c r="Q699" s="3" t="s">
        <v>39</v>
      </c>
      <c r="R699" s="3" t="s">
        <v>40</v>
      </c>
      <c r="S699" s="55">
        <v>48948.800000000003</v>
      </c>
      <c r="T699" s="55">
        <v>2816.6145000000001</v>
      </c>
      <c r="U699" s="55">
        <v>1494.877</v>
      </c>
      <c r="V699" s="55">
        <v>46132.1855</v>
      </c>
      <c r="W699" s="3">
        <v>6</v>
      </c>
    </row>
    <row r="700" spans="1:23" x14ac:dyDescent="0.35">
      <c r="A700" s="3" t="s">
        <v>443</v>
      </c>
      <c r="B700" s="3" t="s">
        <v>444</v>
      </c>
      <c r="C700" s="3" t="s">
        <v>550</v>
      </c>
      <c r="D700" s="3" t="s">
        <v>397</v>
      </c>
      <c r="E700" s="3" t="s">
        <v>365</v>
      </c>
      <c r="F700" s="3" t="s">
        <v>318</v>
      </c>
      <c r="G700" s="3" t="s">
        <v>398</v>
      </c>
      <c r="H700" s="3" t="s">
        <v>28</v>
      </c>
      <c r="I700" s="3" t="s">
        <v>231</v>
      </c>
      <c r="J700" s="3" t="s">
        <v>232</v>
      </c>
      <c r="K700" s="3" t="s">
        <v>33</v>
      </c>
      <c r="L700" s="3" t="s">
        <v>51</v>
      </c>
      <c r="M700" s="3" t="s">
        <v>551</v>
      </c>
      <c r="N700" s="3" t="s">
        <v>552</v>
      </c>
      <c r="O700" s="3" t="s">
        <v>108</v>
      </c>
      <c r="P700" s="3" t="s">
        <v>109</v>
      </c>
      <c r="Q700" s="3" t="s">
        <v>39</v>
      </c>
      <c r="R700" s="3" t="s">
        <v>40</v>
      </c>
      <c r="S700" s="55">
        <v>32359.3</v>
      </c>
      <c r="T700" s="55">
        <v>811.93349999999998</v>
      </c>
      <c r="U700" s="55">
        <v>551.93349999999998</v>
      </c>
      <c r="V700" s="55">
        <v>31547.3665</v>
      </c>
      <c r="W700" s="3">
        <v>3</v>
      </c>
    </row>
    <row r="701" spans="1:23" x14ac:dyDescent="0.35">
      <c r="A701" s="3" t="s">
        <v>443</v>
      </c>
      <c r="B701" s="3" t="s">
        <v>444</v>
      </c>
      <c r="C701" s="3" t="s">
        <v>553</v>
      </c>
      <c r="D701" s="3" t="s">
        <v>404</v>
      </c>
      <c r="E701" s="3" t="s">
        <v>405</v>
      </c>
      <c r="F701" s="3" t="s">
        <v>146</v>
      </c>
      <c r="G701" s="3" t="s">
        <v>406</v>
      </c>
      <c r="H701" s="3" t="s">
        <v>318</v>
      </c>
      <c r="I701" s="3" t="s">
        <v>407</v>
      </c>
      <c r="J701" s="3" t="s">
        <v>554</v>
      </c>
      <c r="K701" s="3" t="s">
        <v>23</v>
      </c>
      <c r="L701" s="3" t="s">
        <v>203</v>
      </c>
      <c r="M701" s="3" t="s">
        <v>555</v>
      </c>
      <c r="N701" s="3" t="s">
        <v>442</v>
      </c>
      <c r="O701" s="3" t="s">
        <v>197</v>
      </c>
      <c r="P701" s="3" t="s">
        <v>198</v>
      </c>
      <c r="Q701" s="3" t="s">
        <v>39</v>
      </c>
      <c r="R701" s="3" t="s">
        <v>40</v>
      </c>
      <c r="S701" s="55">
        <v>9879.5</v>
      </c>
      <c r="T701" s="55">
        <v>0</v>
      </c>
      <c r="U701" s="55">
        <v>0</v>
      </c>
      <c r="V701" s="55">
        <v>9879.5</v>
      </c>
      <c r="W701" s="3">
        <v>0</v>
      </c>
    </row>
    <row r="702" spans="1:23" x14ac:dyDescent="0.35">
      <c r="A702" s="3" t="s">
        <v>443</v>
      </c>
      <c r="B702" s="3" t="s">
        <v>444</v>
      </c>
      <c r="C702" s="3" t="s">
        <v>403</v>
      </c>
      <c r="D702" s="3" t="s">
        <v>404</v>
      </c>
      <c r="E702" s="3" t="s">
        <v>405</v>
      </c>
      <c r="F702" s="3" t="s">
        <v>146</v>
      </c>
      <c r="G702" s="3" t="s">
        <v>406</v>
      </c>
      <c r="H702" s="3" t="s">
        <v>318</v>
      </c>
      <c r="I702" s="3" t="s">
        <v>407</v>
      </c>
      <c r="J702" s="3" t="s">
        <v>408</v>
      </c>
      <c r="K702" s="3" t="s">
        <v>33</v>
      </c>
      <c r="L702" s="3" t="s">
        <v>51</v>
      </c>
      <c r="M702" s="3" t="s">
        <v>409</v>
      </c>
      <c r="N702" s="3" t="s">
        <v>410</v>
      </c>
      <c r="O702" s="3" t="s">
        <v>108</v>
      </c>
      <c r="P702" s="3" t="s">
        <v>109</v>
      </c>
      <c r="Q702" s="3" t="s">
        <v>39</v>
      </c>
      <c r="R702" s="3" t="s">
        <v>40</v>
      </c>
      <c r="S702" s="55">
        <v>183125.7</v>
      </c>
      <c r="T702" s="55">
        <v>47554.098100000003</v>
      </c>
      <c r="U702" s="55">
        <v>17232.273399999998</v>
      </c>
      <c r="V702" s="55">
        <v>135571.60190000001</v>
      </c>
      <c r="W702" s="3">
        <v>26</v>
      </c>
    </row>
    <row r="703" spans="1:23" x14ac:dyDescent="0.35">
      <c r="A703" s="3" t="s">
        <v>443</v>
      </c>
      <c r="B703" s="3" t="s">
        <v>444</v>
      </c>
      <c r="C703" s="3" t="s">
        <v>556</v>
      </c>
      <c r="D703" s="3" t="s">
        <v>412</v>
      </c>
      <c r="E703" s="3" t="s">
        <v>405</v>
      </c>
      <c r="F703" s="3" t="s">
        <v>189</v>
      </c>
      <c r="G703" s="3" t="s">
        <v>413</v>
      </c>
      <c r="H703" s="3" t="s">
        <v>318</v>
      </c>
      <c r="I703" s="3" t="s">
        <v>407</v>
      </c>
      <c r="J703" s="3" t="s">
        <v>554</v>
      </c>
      <c r="K703" s="3" t="s">
        <v>23</v>
      </c>
      <c r="L703" s="3" t="s">
        <v>203</v>
      </c>
      <c r="M703" s="3" t="s">
        <v>557</v>
      </c>
      <c r="N703" s="3" t="s">
        <v>415</v>
      </c>
      <c r="O703" s="3" t="s">
        <v>197</v>
      </c>
      <c r="P703" s="3" t="s">
        <v>198</v>
      </c>
      <c r="Q703" s="3" t="s">
        <v>39</v>
      </c>
      <c r="R703" s="3" t="s">
        <v>40</v>
      </c>
      <c r="S703" s="55">
        <v>3545.6</v>
      </c>
      <c r="T703" s="55">
        <v>277.14359999999999</v>
      </c>
      <c r="U703" s="55">
        <v>277.14359999999999</v>
      </c>
      <c r="V703" s="55">
        <v>3268.4564</v>
      </c>
      <c r="W703" s="3">
        <v>8</v>
      </c>
    </row>
    <row r="704" spans="1:23" x14ac:dyDescent="0.35">
      <c r="A704" s="3" t="s">
        <v>443</v>
      </c>
      <c r="B704" s="3" t="s">
        <v>444</v>
      </c>
      <c r="C704" s="3" t="s">
        <v>416</v>
      </c>
      <c r="D704" s="3" t="s">
        <v>417</v>
      </c>
      <c r="E704" s="3" t="s">
        <v>405</v>
      </c>
      <c r="F704" s="3" t="s">
        <v>28</v>
      </c>
      <c r="G704" s="3" t="s">
        <v>418</v>
      </c>
      <c r="H704" s="3" t="s">
        <v>318</v>
      </c>
      <c r="I704" s="3" t="s">
        <v>407</v>
      </c>
      <c r="J704" s="3" t="s">
        <v>408</v>
      </c>
      <c r="K704" s="3" t="s">
        <v>33</v>
      </c>
      <c r="L704" s="3" t="s">
        <v>51</v>
      </c>
      <c r="M704" s="3" t="s">
        <v>419</v>
      </c>
      <c r="N704" s="3" t="s">
        <v>420</v>
      </c>
      <c r="O704" s="3" t="s">
        <v>108</v>
      </c>
      <c r="P704" s="3" t="s">
        <v>109</v>
      </c>
      <c r="Q704" s="3" t="s">
        <v>39</v>
      </c>
      <c r="R704" s="3" t="s">
        <v>40</v>
      </c>
      <c r="S704" s="55">
        <v>325200.09999999998</v>
      </c>
      <c r="T704" s="55">
        <v>71893.201100000006</v>
      </c>
      <c r="U704" s="55">
        <v>24229.870299999999</v>
      </c>
      <c r="V704" s="55">
        <v>253306.8989</v>
      </c>
      <c r="W704" s="3">
        <v>22</v>
      </c>
    </row>
    <row r="705" spans="1:23" x14ac:dyDescent="0.35">
      <c r="A705" s="3" t="s">
        <v>458</v>
      </c>
      <c r="B705" s="3" t="s">
        <v>459</v>
      </c>
      <c r="C705" s="3" t="s">
        <v>25</v>
      </c>
      <c r="D705" s="3" t="s">
        <v>26</v>
      </c>
      <c r="E705" s="3" t="s">
        <v>27</v>
      </c>
      <c r="F705" s="3" t="s">
        <v>28</v>
      </c>
      <c r="G705" s="3" t="s">
        <v>29</v>
      </c>
      <c r="H705" s="3" t="s">
        <v>30</v>
      </c>
      <c r="I705" s="3" t="s">
        <v>31</v>
      </c>
      <c r="J705" s="3" t="s">
        <v>32</v>
      </c>
      <c r="K705" s="3" t="s">
        <v>33</v>
      </c>
      <c r="L705" s="3" t="s">
        <v>51</v>
      </c>
      <c r="M705" s="3" t="s">
        <v>35</v>
      </c>
      <c r="N705" s="3" t="s">
        <v>36</v>
      </c>
      <c r="O705" s="3" t="s">
        <v>37</v>
      </c>
      <c r="P705" s="3" t="s">
        <v>38</v>
      </c>
      <c r="Q705" s="3" t="s">
        <v>39</v>
      </c>
      <c r="R705" s="3" t="s">
        <v>40</v>
      </c>
      <c r="S705" s="55">
        <v>3772.6</v>
      </c>
      <c r="T705" s="55">
        <v>13.372999999999999</v>
      </c>
      <c r="U705" s="55">
        <v>13.372999999999999</v>
      </c>
      <c r="V705" s="55">
        <v>3759.2269999999999</v>
      </c>
      <c r="W705" s="3">
        <v>0</v>
      </c>
    </row>
    <row r="706" spans="1:23" x14ac:dyDescent="0.35">
      <c r="A706" s="3" t="s">
        <v>458</v>
      </c>
      <c r="B706" s="3" t="s">
        <v>459</v>
      </c>
      <c r="C706" s="3" t="s">
        <v>41</v>
      </c>
      <c r="D706" s="3" t="s">
        <v>26</v>
      </c>
      <c r="E706" s="3" t="s">
        <v>27</v>
      </c>
      <c r="F706" s="3" t="s">
        <v>28</v>
      </c>
      <c r="G706" s="3" t="s">
        <v>29</v>
      </c>
      <c r="H706" s="3" t="s">
        <v>30</v>
      </c>
      <c r="I706" s="3" t="s">
        <v>31</v>
      </c>
      <c r="J706" s="3" t="s">
        <v>32</v>
      </c>
      <c r="K706" s="3" t="s">
        <v>33</v>
      </c>
      <c r="L706" s="3" t="s">
        <v>51</v>
      </c>
      <c r="M706" s="3" t="s">
        <v>35</v>
      </c>
      <c r="N706" s="3" t="s">
        <v>36</v>
      </c>
      <c r="O706" s="3" t="s">
        <v>42</v>
      </c>
      <c r="P706" s="3" t="s">
        <v>43</v>
      </c>
      <c r="Q706" s="3" t="s">
        <v>39</v>
      </c>
      <c r="R706" s="3" t="s">
        <v>40</v>
      </c>
      <c r="S706" s="55">
        <v>8.3000000000000007</v>
      </c>
      <c r="T706" s="55">
        <v>0</v>
      </c>
      <c r="U706" s="55">
        <v>0</v>
      </c>
      <c r="V706" s="55">
        <v>8.3000000000000007</v>
      </c>
      <c r="W706" s="3">
        <v>0</v>
      </c>
    </row>
    <row r="707" spans="1:23" x14ac:dyDescent="0.35">
      <c r="A707" s="3" t="s">
        <v>458</v>
      </c>
      <c r="B707" s="3" t="s">
        <v>459</v>
      </c>
      <c r="C707" s="3" t="s">
        <v>44</v>
      </c>
      <c r="D707" s="3" t="s">
        <v>45</v>
      </c>
      <c r="E707" s="3" t="s">
        <v>27</v>
      </c>
      <c r="F707" s="3" t="s">
        <v>46</v>
      </c>
      <c r="G707" s="3" t="s">
        <v>47</v>
      </c>
      <c r="H707" s="3" t="s">
        <v>48</v>
      </c>
      <c r="I707" s="3" t="s">
        <v>49</v>
      </c>
      <c r="J707" s="3" t="s">
        <v>50</v>
      </c>
      <c r="K707" s="3" t="s">
        <v>33</v>
      </c>
      <c r="L707" s="3" t="s">
        <v>51</v>
      </c>
      <c r="M707" s="3" t="s">
        <v>52</v>
      </c>
      <c r="N707" s="3" t="s">
        <v>53</v>
      </c>
      <c r="O707" s="3" t="s">
        <v>54</v>
      </c>
      <c r="P707" s="3" t="s">
        <v>55</v>
      </c>
      <c r="Q707" s="3" t="s">
        <v>39</v>
      </c>
      <c r="R707" s="3" t="s">
        <v>40</v>
      </c>
      <c r="S707" s="55">
        <v>64.400000000000006</v>
      </c>
      <c r="T707" s="55">
        <v>0</v>
      </c>
      <c r="U707" s="55">
        <v>0</v>
      </c>
      <c r="V707" s="55">
        <v>64.400000000000006</v>
      </c>
      <c r="W707" s="3">
        <v>0</v>
      </c>
    </row>
    <row r="708" spans="1:23" x14ac:dyDescent="0.35">
      <c r="A708" s="3" t="s">
        <v>458</v>
      </c>
      <c r="B708" s="3" t="s">
        <v>459</v>
      </c>
      <c r="C708" s="3" t="s">
        <v>59</v>
      </c>
      <c r="D708" s="3" t="s">
        <v>45</v>
      </c>
      <c r="E708" s="3" t="s">
        <v>27</v>
      </c>
      <c r="F708" s="3" t="s">
        <v>46</v>
      </c>
      <c r="G708" s="3" t="s">
        <v>47</v>
      </c>
      <c r="H708" s="3" t="s">
        <v>60</v>
      </c>
      <c r="I708" s="3" t="s">
        <v>61</v>
      </c>
      <c r="J708" s="3" t="s">
        <v>62</v>
      </c>
      <c r="K708" s="3" t="s">
        <v>33</v>
      </c>
      <c r="L708" s="3" t="s">
        <v>51</v>
      </c>
      <c r="M708" s="3" t="s">
        <v>63</v>
      </c>
      <c r="N708" s="3" t="s">
        <v>64</v>
      </c>
      <c r="O708" s="3" t="s">
        <v>37</v>
      </c>
      <c r="P708" s="3" t="s">
        <v>38</v>
      </c>
      <c r="Q708" s="3" t="s">
        <v>39</v>
      </c>
      <c r="R708" s="3" t="s">
        <v>40</v>
      </c>
      <c r="S708" s="55">
        <v>208.2</v>
      </c>
      <c r="T708" s="55">
        <v>65.09</v>
      </c>
      <c r="U708" s="55">
        <v>35.79</v>
      </c>
      <c r="V708" s="55">
        <v>143.11000000000001</v>
      </c>
      <c r="W708" s="3">
        <v>31</v>
      </c>
    </row>
    <row r="709" spans="1:23" x14ac:dyDescent="0.35">
      <c r="A709" s="3" t="s">
        <v>458</v>
      </c>
      <c r="B709" s="3" t="s">
        <v>459</v>
      </c>
      <c r="C709" s="3" t="s">
        <v>65</v>
      </c>
      <c r="D709" s="3" t="s">
        <v>45</v>
      </c>
      <c r="E709" s="3" t="s">
        <v>27</v>
      </c>
      <c r="F709" s="3" t="s">
        <v>46</v>
      </c>
      <c r="G709" s="3" t="s">
        <v>47</v>
      </c>
      <c r="H709" s="3" t="s">
        <v>66</v>
      </c>
      <c r="I709" s="3" t="s">
        <v>67</v>
      </c>
      <c r="J709" s="3" t="s">
        <v>68</v>
      </c>
      <c r="K709" s="3" t="s">
        <v>33</v>
      </c>
      <c r="L709" s="3" t="s">
        <v>51</v>
      </c>
      <c r="M709" s="3" t="s">
        <v>69</v>
      </c>
      <c r="N709" s="3" t="s">
        <v>70</v>
      </c>
      <c r="O709" s="3" t="s">
        <v>37</v>
      </c>
      <c r="P709" s="3" t="s">
        <v>38</v>
      </c>
      <c r="Q709" s="3" t="s">
        <v>39</v>
      </c>
      <c r="R709" s="3" t="s">
        <v>40</v>
      </c>
      <c r="S709" s="55">
        <v>567.9</v>
      </c>
      <c r="T709" s="55">
        <v>0</v>
      </c>
      <c r="U709" s="55">
        <v>0</v>
      </c>
      <c r="V709" s="55">
        <v>567.9</v>
      </c>
      <c r="W709" s="3">
        <v>0</v>
      </c>
    </row>
    <row r="710" spans="1:23" x14ac:dyDescent="0.35">
      <c r="A710" s="3" t="s">
        <v>458</v>
      </c>
      <c r="B710" s="3" t="s">
        <v>459</v>
      </c>
      <c r="C710" s="3" t="s">
        <v>71</v>
      </c>
      <c r="D710" s="3" t="s">
        <v>45</v>
      </c>
      <c r="E710" s="3" t="s">
        <v>27</v>
      </c>
      <c r="F710" s="3" t="s">
        <v>46</v>
      </c>
      <c r="G710" s="3" t="s">
        <v>47</v>
      </c>
      <c r="H710" s="3" t="s">
        <v>30</v>
      </c>
      <c r="I710" s="3" t="s">
        <v>31</v>
      </c>
      <c r="J710" s="3" t="s">
        <v>32</v>
      </c>
      <c r="K710" s="3" t="s">
        <v>33</v>
      </c>
      <c r="L710" s="3" t="s">
        <v>51</v>
      </c>
      <c r="M710" s="3" t="s">
        <v>72</v>
      </c>
      <c r="N710" s="3" t="s">
        <v>73</v>
      </c>
      <c r="O710" s="3" t="s">
        <v>74</v>
      </c>
      <c r="P710" s="3" t="s">
        <v>75</v>
      </c>
      <c r="Q710" s="3" t="s">
        <v>39</v>
      </c>
      <c r="R710" s="3" t="s">
        <v>40</v>
      </c>
      <c r="S710" s="55">
        <v>246128.1</v>
      </c>
      <c r="T710" s="55">
        <v>86771.525999999998</v>
      </c>
      <c r="U710" s="55">
        <v>18193.6911</v>
      </c>
      <c r="V710" s="55">
        <v>159356.57399999999</v>
      </c>
      <c r="W710" s="3">
        <v>35</v>
      </c>
    </row>
    <row r="711" spans="1:23" x14ac:dyDescent="0.35">
      <c r="A711" s="3" t="s">
        <v>458</v>
      </c>
      <c r="B711" s="3" t="s">
        <v>459</v>
      </c>
      <c r="C711" s="3" t="s">
        <v>76</v>
      </c>
      <c r="D711" s="3" t="s">
        <v>45</v>
      </c>
      <c r="E711" s="3" t="s">
        <v>27</v>
      </c>
      <c r="F711" s="3" t="s">
        <v>46</v>
      </c>
      <c r="G711" s="3" t="s">
        <v>47</v>
      </c>
      <c r="H711" s="3" t="s">
        <v>30</v>
      </c>
      <c r="I711" s="3" t="s">
        <v>31</v>
      </c>
      <c r="J711" s="3" t="s">
        <v>32</v>
      </c>
      <c r="K711" s="3" t="s">
        <v>33</v>
      </c>
      <c r="L711" s="3" t="s">
        <v>51</v>
      </c>
      <c r="M711" s="3" t="s">
        <v>72</v>
      </c>
      <c r="N711" s="3" t="s">
        <v>73</v>
      </c>
      <c r="O711" s="3" t="s">
        <v>77</v>
      </c>
      <c r="P711" s="3" t="s">
        <v>78</v>
      </c>
      <c r="Q711" s="3" t="s">
        <v>39</v>
      </c>
      <c r="R711" s="3" t="s">
        <v>40</v>
      </c>
      <c r="S711" s="55">
        <v>140.5</v>
      </c>
      <c r="T711" s="55">
        <v>31.707000000000001</v>
      </c>
      <c r="U711" s="55">
        <v>2.258</v>
      </c>
      <c r="V711" s="55">
        <v>108.79300000000001</v>
      </c>
      <c r="W711" s="3">
        <v>23</v>
      </c>
    </row>
    <row r="712" spans="1:23" x14ac:dyDescent="0.35">
      <c r="A712" s="3" t="s">
        <v>458</v>
      </c>
      <c r="B712" s="3" t="s">
        <v>459</v>
      </c>
      <c r="C712" s="3" t="s">
        <v>79</v>
      </c>
      <c r="D712" s="3" t="s">
        <v>45</v>
      </c>
      <c r="E712" s="3" t="s">
        <v>27</v>
      </c>
      <c r="F712" s="3" t="s">
        <v>46</v>
      </c>
      <c r="G712" s="3" t="s">
        <v>47</v>
      </c>
      <c r="H712" s="3" t="s">
        <v>30</v>
      </c>
      <c r="I712" s="3" t="s">
        <v>31</v>
      </c>
      <c r="J712" s="3" t="s">
        <v>32</v>
      </c>
      <c r="K712" s="3" t="s">
        <v>33</v>
      </c>
      <c r="L712" s="3" t="s">
        <v>51</v>
      </c>
      <c r="M712" s="3" t="s">
        <v>72</v>
      </c>
      <c r="N712" s="3" t="s">
        <v>73</v>
      </c>
      <c r="O712" s="3" t="s">
        <v>80</v>
      </c>
      <c r="P712" s="3" t="s">
        <v>81</v>
      </c>
      <c r="Q712" s="3" t="s">
        <v>39</v>
      </c>
      <c r="R712" s="3" t="s">
        <v>40</v>
      </c>
      <c r="S712" s="55">
        <v>73726.399999999994</v>
      </c>
      <c r="T712" s="55">
        <v>19066.862799999999</v>
      </c>
      <c r="U712" s="55">
        <v>8368.4490999999998</v>
      </c>
      <c r="V712" s="55">
        <v>54659.537199999999</v>
      </c>
      <c r="W712" s="3">
        <v>26</v>
      </c>
    </row>
    <row r="713" spans="1:23" x14ac:dyDescent="0.35">
      <c r="A713" s="3" t="s">
        <v>458</v>
      </c>
      <c r="B713" s="3" t="s">
        <v>459</v>
      </c>
      <c r="C713" s="3" t="s">
        <v>82</v>
      </c>
      <c r="D713" s="3" t="s">
        <v>45</v>
      </c>
      <c r="E713" s="3" t="s">
        <v>27</v>
      </c>
      <c r="F713" s="3" t="s">
        <v>46</v>
      </c>
      <c r="G713" s="3" t="s">
        <v>47</v>
      </c>
      <c r="H713" s="3" t="s">
        <v>30</v>
      </c>
      <c r="I713" s="3" t="s">
        <v>31</v>
      </c>
      <c r="J713" s="3" t="s">
        <v>32</v>
      </c>
      <c r="K713" s="3" t="s">
        <v>33</v>
      </c>
      <c r="L713" s="3" t="s">
        <v>51</v>
      </c>
      <c r="M713" s="3" t="s">
        <v>72</v>
      </c>
      <c r="N713" s="3" t="s">
        <v>73</v>
      </c>
      <c r="O713" s="3" t="s">
        <v>83</v>
      </c>
      <c r="P713" s="3" t="s">
        <v>84</v>
      </c>
      <c r="Q713" s="3" t="s">
        <v>39</v>
      </c>
      <c r="R713" s="3" t="s">
        <v>40</v>
      </c>
      <c r="S713" s="55">
        <v>300</v>
      </c>
      <c r="T713" s="55">
        <v>0</v>
      </c>
      <c r="U713" s="55">
        <v>0</v>
      </c>
      <c r="V713" s="55">
        <v>300</v>
      </c>
      <c r="W713" s="3">
        <v>0</v>
      </c>
    </row>
    <row r="714" spans="1:23" x14ac:dyDescent="0.35">
      <c r="A714" s="3" t="s">
        <v>458</v>
      </c>
      <c r="B714" s="3" t="s">
        <v>459</v>
      </c>
      <c r="C714" s="3" t="s">
        <v>85</v>
      </c>
      <c r="D714" s="3" t="s">
        <v>45</v>
      </c>
      <c r="E714" s="3" t="s">
        <v>27</v>
      </c>
      <c r="F714" s="3" t="s">
        <v>46</v>
      </c>
      <c r="G714" s="3" t="s">
        <v>47</v>
      </c>
      <c r="H714" s="3" t="s">
        <v>30</v>
      </c>
      <c r="I714" s="3" t="s">
        <v>31</v>
      </c>
      <c r="J714" s="3" t="s">
        <v>32</v>
      </c>
      <c r="K714" s="3" t="s">
        <v>33</v>
      </c>
      <c r="L714" s="3" t="s">
        <v>51</v>
      </c>
      <c r="M714" s="3" t="s">
        <v>72</v>
      </c>
      <c r="N714" s="3" t="s">
        <v>73</v>
      </c>
      <c r="O714" s="3" t="s">
        <v>86</v>
      </c>
      <c r="P714" s="3" t="s">
        <v>87</v>
      </c>
      <c r="Q714" s="3" t="s">
        <v>39</v>
      </c>
      <c r="R714" s="3" t="s">
        <v>40</v>
      </c>
      <c r="S714" s="55">
        <v>16354.3</v>
      </c>
      <c r="T714" s="55">
        <v>0</v>
      </c>
      <c r="U714" s="55">
        <v>0</v>
      </c>
      <c r="V714" s="55">
        <v>16354.3</v>
      </c>
      <c r="W714" s="3">
        <v>0</v>
      </c>
    </row>
    <row r="715" spans="1:23" x14ac:dyDescent="0.35">
      <c r="A715" s="3" t="s">
        <v>458</v>
      </c>
      <c r="B715" s="3" t="s">
        <v>459</v>
      </c>
      <c r="C715" s="3" t="s">
        <v>88</v>
      </c>
      <c r="D715" s="3" t="s">
        <v>45</v>
      </c>
      <c r="E715" s="3" t="s">
        <v>27</v>
      </c>
      <c r="F715" s="3" t="s">
        <v>46</v>
      </c>
      <c r="G715" s="3" t="s">
        <v>47</v>
      </c>
      <c r="H715" s="3" t="s">
        <v>30</v>
      </c>
      <c r="I715" s="3" t="s">
        <v>31</v>
      </c>
      <c r="J715" s="3" t="s">
        <v>32</v>
      </c>
      <c r="K715" s="3" t="s">
        <v>33</v>
      </c>
      <c r="L715" s="3" t="s">
        <v>51</v>
      </c>
      <c r="M715" s="3" t="s">
        <v>72</v>
      </c>
      <c r="N715" s="3" t="s">
        <v>73</v>
      </c>
      <c r="O715" s="3" t="s">
        <v>37</v>
      </c>
      <c r="P715" s="3" t="s">
        <v>38</v>
      </c>
      <c r="Q715" s="3" t="s">
        <v>39</v>
      </c>
      <c r="R715" s="3" t="s">
        <v>40</v>
      </c>
      <c r="S715" s="55">
        <v>95111.1</v>
      </c>
      <c r="T715" s="55">
        <v>5294.1642000000002</v>
      </c>
      <c r="U715" s="55">
        <v>1042.0944</v>
      </c>
      <c r="V715" s="55">
        <v>89816.935800000007</v>
      </c>
      <c r="W715" s="3">
        <v>6</v>
      </c>
    </row>
    <row r="716" spans="1:23" x14ac:dyDescent="0.35">
      <c r="A716" s="3" t="s">
        <v>458</v>
      </c>
      <c r="B716" s="3" t="s">
        <v>459</v>
      </c>
      <c r="C716" s="3" t="s">
        <v>89</v>
      </c>
      <c r="D716" s="3" t="s">
        <v>45</v>
      </c>
      <c r="E716" s="3" t="s">
        <v>27</v>
      </c>
      <c r="F716" s="3" t="s">
        <v>46</v>
      </c>
      <c r="G716" s="3" t="s">
        <v>47</v>
      </c>
      <c r="H716" s="3" t="s">
        <v>30</v>
      </c>
      <c r="I716" s="3" t="s">
        <v>31</v>
      </c>
      <c r="J716" s="3" t="s">
        <v>32</v>
      </c>
      <c r="K716" s="3" t="s">
        <v>33</v>
      </c>
      <c r="L716" s="3" t="s">
        <v>51</v>
      </c>
      <c r="M716" s="3" t="s">
        <v>72</v>
      </c>
      <c r="N716" s="3" t="s">
        <v>73</v>
      </c>
      <c r="O716" s="3" t="s">
        <v>42</v>
      </c>
      <c r="P716" s="3" t="s">
        <v>43</v>
      </c>
      <c r="Q716" s="3" t="s">
        <v>39</v>
      </c>
      <c r="R716" s="3" t="s">
        <v>40</v>
      </c>
      <c r="S716" s="55">
        <v>16160.9</v>
      </c>
      <c r="T716" s="55">
        <v>7565.3389999999999</v>
      </c>
      <c r="U716" s="55">
        <v>2803.8593999999998</v>
      </c>
      <c r="V716" s="55">
        <v>8595.5609999999997</v>
      </c>
      <c r="W716" s="3">
        <v>47</v>
      </c>
    </row>
    <row r="717" spans="1:23" x14ac:dyDescent="0.35">
      <c r="A717" s="3" t="s">
        <v>458</v>
      </c>
      <c r="B717" s="3" t="s">
        <v>459</v>
      </c>
      <c r="C717" s="3" t="s">
        <v>90</v>
      </c>
      <c r="D717" s="3" t="s">
        <v>45</v>
      </c>
      <c r="E717" s="3" t="s">
        <v>27</v>
      </c>
      <c r="F717" s="3" t="s">
        <v>46</v>
      </c>
      <c r="G717" s="3" t="s">
        <v>47</v>
      </c>
      <c r="H717" s="3" t="s">
        <v>30</v>
      </c>
      <c r="I717" s="3" t="s">
        <v>31</v>
      </c>
      <c r="J717" s="3" t="s">
        <v>32</v>
      </c>
      <c r="K717" s="3" t="s">
        <v>33</v>
      </c>
      <c r="L717" s="3" t="s">
        <v>51</v>
      </c>
      <c r="M717" s="3" t="s">
        <v>72</v>
      </c>
      <c r="N717" s="3" t="s">
        <v>73</v>
      </c>
      <c r="O717" s="3" t="s">
        <v>91</v>
      </c>
      <c r="P717" s="3" t="s">
        <v>92</v>
      </c>
      <c r="Q717" s="3" t="s">
        <v>39</v>
      </c>
      <c r="R717" s="3" t="s">
        <v>40</v>
      </c>
      <c r="S717" s="55">
        <v>214.8</v>
      </c>
      <c r="T717" s="55">
        <v>214.71510000000001</v>
      </c>
      <c r="U717" s="55">
        <v>214.71510000000001</v>
      </c>
      <c r="V717" s="55">
        <v>8.4900000000000003E-2</v>
      </c>
      <c r="W717" s="3">
        <v>100</v>
      </c>
    </row>
    <row r="718" spans="1:23" x14ac:dyDescent="0.35">
      <c r="A718" s="3" t="s">
        <v>458</v>
      </c>
      <c r="B718" s="3" t="s">
        <v>459</v>
      </c>
      <c r="C718" s="3" t="s">
        <v>93</v>
      </c>
      <c r="D718" s="3" t="s">
        <v>45</v>
      </c>
      <c r="E718" s="3" t="s">
        <v>27</v>
      </c>
      <c r="F718" s="3" t="s">
        <v>46</v>
      </c>
      <c r="G718" s="3" t="s">
        <v>47</v>
      </c>
      <c r="H718" s="3" t="s">
        <v>30</v>
      </c>
      <c r="I718" s="3" t="s">
        <v>31</v>
      </c>
      <c r="J718" s="3" t="s">
        <v>32</v>
      </c>
      <c r="K718" s="3" t="s">
        <v>33</v>
      </c>
      <c r="L718" s="3" t="s">
        <v>51</v>
      </c>
      <c r="M718" s="3" t="s">
        <v>94</v>
      </c>
      <c r="N718" s="3" t="s">
        <v>95</v>
      </c>
      <c r="O718" s="3" t="s">
        <v>96</v>
      </c>
      <c r="P718" s="3" t="s">
        <v>97</v>
      </c>
      <c r="Q718" s="3" t="s">
        <v>39</v>
      </c>
      <c r="R718" s="3" t="s">
        <v>40</v>
      </c>
      <c r="S718" s="55">
        <v>181743.4</v>
      </c>
      <c r="T718" s="55">
        <v>56828.216699999997</v>
      </c>
      <c r="U718" s="55">
        <v>15355.6855</v>
      </c>
      <c r="V718" s="55">
        <v>124915.1833</v>
      </c>
      <c r="W718" s="3">
        <v>31</v>
      </c>
    </row>
    <row r="719" spans="1:23" x14ac:dyDescent="0.35">
      <c r="A719" s="3" t="s">
        <v>458</v>
      </c>
      <c r="B719" s="3" t="s">
        <v>459</v>
      </c>
      <c r="C719" s="3" t="s">
        <v>98</v>
      </c>
      <c r="D719" s="3" t="s">
        <v>45</v>
      </c>
      <c r="E719" s="3" t="s">
        <v>27</v>
      </c>
      <c r="F719" s="3" t="s">
        <v>46</v>
      </c>
      <c r="G719" s="3" t="s">
        <v>47</v>
      </c>
      <c r="H719" s="3" t="s">
        <v>30</v>
      </c>
      <c r="I719" s="3" t="s">
        <v>31</v>
      </c>
      <c r="J719" s="3" t="s">
        <v>32</v>
      </c>
      <c r="K719" s="3" t="s">
        <v>33</v>
      </c>
      <c r="L719" s="3" t="s">
        <v>51</v>
      </c>
      <c r="M719" s="3" t="s">
        <v>94</v>
      </c>
      <c r="N719" s="3" t="s">
        <v>95</v>
      </c>
      <c r="O719" s="3" t="s">
        <v>99</v>
      </c>
      <c r="P719" s="3" t="s">
        <v>100</v>
      </c>
      <c r="Q719" s="3" t="s">
        <v>39</v>
      </c>
      <c r="R719" s="3" t="s">
        <v>40</v>
      </c>
      <c r="S719" s="55">
        <v>54698.400000000001</v>
      </c>
      <c r="T719" s="55">
        <v>15680.847400000001</v>
      </c>
      <c r="U719" s="55">
        <v>5438.7999</v>
      </c>
      <c r="V719" s="55">
        <v>39017.552600000003</v>
      </c>
      <c r="W719" s="3">
        <v>29</v>
      </c>
    </row>
    <row r="720" spans="1:23" x14ac:dyDescent="0.35">
      <c r="A720" s="3" t="s">
        <v>458</v>
      </c>
      <c r="B720" s="3" t="s">
        <v>459</v>
      </c>
      <c r="C720" s="3" t="s">
        <v>101</v>
      </c>
      <c r="D720" s="3" t="s">
        <v>45</v>
      </c>
      <c r="E720" s="3" t="s">
        <v>27</v>
      </c>
      <c r="F720" s="3" t="s">
        <v>46</v>
      </c>
      <c r="G720" s="3" t="s">
        <v>47</v>
      </c>
      <c r="H720" s="3" t="s">
        <v>30</v>
      </c>
      <c r="I720" s="3" t="s">
        <v>31</v>
      </c>
      <c r="J720" s="3" t="s">
        <v>32</v>
      </c>
      <c r="K720" s="3" t="s">
        <v>33</v>
      </c>
      <c r="L720" s="3" t="s">
        <v>51</v>
      </c>
      <c r="M720" s="3" t="s">
        <v>94</v>
      </c>
      <c r="N720" s="3" t="s">
        <v>95</v>
      </c>
      <c r="O720" s="3" t="s">
        <v>37</v>
      </c>
      <c r="P720" s="3" t="s">
        <v>38</v>
      </c>
      <c r="Q720" s="3" t="s">
        <v>39</v>
      </c>
      <c r="R720" s="3" t="s">
        <v>40</v>
      </c>
      <c r="S720" s="55">
        <v>2625.5</v>
      </c>
      <c r="T720" s="55">
        <v>1259.6460999999999</v>
      </c>
      <c r="U720" s="55">
        <v>297.49759999999998</v>
      </c>
      <c r="V720" s="55">
        <v>1365.8539000000001</v>
      </c>
      <c r="W720" s="3">
        <v>48</v>
      </c>
    </row>
    <row r="721" spans="1:23" x14ac:dyDescent="0.35">
      <c r="A721" s="3" t="s">
        <v>458</v>
      </c>
      <c r="B721" s="3" t="s">
        <v>459</v>
      </c>
      <c r="C721" s="3" t="s">
        <v>467</v>
      </c>
      <c r="D721" s="3" t="s">
        <v>45</v>
      </c>
      <c r="E721" s="3" t="s">
        <v>27</v>
      </c>
      <c r="F721" s="3" t="s">
        <v>46</v>
      </c>
      <c r="G721" s="3" t="s">
        <v>47</v>
      </c>
      <c r="H721" s="3" t="s">
        <v>30</v>
      </c>
      <c r="I721" s="3" t="s">
        <v>31</v>
      </c>
      <c r="J721" s="3" t="s">
        <v>32</v>
      </c>
      <c r="K721" s="3" t="s">
        <v>33</v>
      </c>
      <c r="L721" s="3" t="s">
        <v>51</v>
      </c>
      <c r="M721" s="3" t="s">
        <v>94</v>
      </c>
      <c r="N721" s="3" t="s">
        <v>95</v>
      </c>
      <c r="O721" s="3" t="s">
        <v>468</v>
      </c>
      <c r="P721" s="3" t="s">
        <v>469</v>
      </c>
      <c r="Q721" s="3" t="s">
        <v>39</v>
      </c>
      <c r="R721" s="3" t="s">
        <v>40</v>
      </c>
      <c r="S721" s="55">
        <v>2</v>
      </c>
      <c r="T721" s="55">
        <v>1.9904999999999999</v>
      </c>
      <c r="U721" s="55">
        <v>0</v>
      </c>
      <c r="V721" s="55">
        <v>9.4999999999999998E-3</v>
      </c>
      <c r="W721" s="3">
        <v>100</v>
      </c>
    </row>
    <row r="722" spans="1:23" x14ac:dyDescent="0.35">
      <c r="A722" s="3" t="s">
        <v>458</v>
      </c>
      <c r="B722" s="3" t="s">
        <v>459</v>
      </c>
      <c r="C722" s="3" t="s">
        <v>102</v>
      </c>
      <c r="D722" s="3" t="s">
        <v>45</v>
      </c>
      <c r="E722" s="3" t="s">
        <v>27</v>
      </c>
      <c r="F722" s="3" t="s">
        <v>46</v>
      </c>
      <c r="G722" s="3" t="s">
        <v>47</v>
      </c>
      <c r="H722" s="3" t="s">
        <v>30</v>
      </c>
      <c r="I722" s="3" t="s">
        <v>31</v>
      </c>
      <c r="J722" s="3" t="s">
        <v>32</v>
      </c>
      <c r="K722" s="3" t="s">
        <v>33</v>
      </c>
      <c r="L722" s="3" t="s">
        <v>51</v>
      </c>
      <c r="M722" s="3" t="s">
        <v>94</v>
      </c>
      <c r="N722" s="3" t="s">
        <v>95</v>
      </c>
      <c r="O722" s="3" t="s">
        <v>103</v>
      </c>
      <c r="P722" s="3" t="s">
        <v>104</v>
      </c>
      <c r="Q722" s="3" t="s">
        <v>39</v>
      </c>
      <c r="R722" s="3" t="s">
        <v>40</v>
      </c>
      <c r="S722" s="55">
        <v>3.7</v>
      </c>
      <c r="T722" s="55">
        <v>1.3929</v>
      </c>
      <c r="U722" s="55">
        <v>0.91700000000000004</v>
      </c>
      <c r="V722" s="55">
        <v>2.3071000000000002</v>
      </c>
      <c r="W722" s="3">
        <v>38</v>
      </c>
    </row>
    <row r="723" spans="1:23" x14ac:dyDescent="0.35">
      <c r="A723" s="3" t="s">
        <v>458</v>
      </c>
      <c r="B723" s="3" t="s">
        <v>459</v>
      </c>
      <c r="C723" s="3" t="s">
        <v>105</v>
      </c>
      <c r="D723" s="3" t="s">
        <v>45</v>
      </c>
      <c r="E723" s="3" t="s">
        <v>27</v>
      </c>
      <c r="F723" s="3" t="s">
        <v>46</v>
      </c>
      <c r="G723" s="3" t="s">
        <v>47</v>
      </c>
      <c r="H723" s="3" t="s">
        <v>30</v>
      </c>
      <c r="I723" s="3" t="s">
        <v>31</v>
      </c>
      <c r="J723" s="3" t="s">
        <v>32</v>
      </c>
      <c r="K723" s="3" t="s">
        <v>33</v>
      </c>
      <c r="L723" s="3" t="s">
        <v>51</v>
      </c>
      <c r="M723" s="3" t="s">
        <v>106</v>
      </c>
      <c r="N723" s="3" t="s">
        <v>107</v>
      </c>
      <c r="O723" s="3" t="s">
        <v>108</v>
      </c>
      <c r="P723" s="3" t="s">
        <v>109</v>
      </c>
      <c r="Q723" s="3" t="s">
        <v>39</v>
      </c>
      <c r="R723" s="3" t="s">
        <v>40</v>
      </c>
      <c r="S723" s="55">
        <v>70925.600000000006</v>
      </c>
      <c r="T723" s="55">
        <v>20761.257300000001</v>
      </c>
      <c r="U723" s="55">
        <v>6152.6572999999999</v>
      </c>
      <c r="V723" s="55">
        <v>50164.342700000001</v>
      </c>
      <c r="W723" s="3">
        <v>29</v>
      </c>
    </row>
    <row r="724" spans="1:23" x14ac:dyDescent="0.35">
      <c r="A724" s="3" t="s">
        <v>458</v>
      </c>
      <c r="B724" s="3" t="s">
        <v>459</v>
      </c>
      <c r="C724" s="3" t="s">
        <v>110</v>
      </c>
      <c r="D724" s="3" t="s">
        <v>45</v>
      </c>
      <c r="E724" s="3" t="s">
        <v>27</v>
      </c>
      <c r="F724" s="3" t="s">
        <v>46</v>
      </c>
      <c r="G724" s="3" t="s">
        <v>47</v>
      </c>
      <c r="H724" s="3" t="s">
        <v>30</v>
      </c>
      <c r="I724" s="3" t="s">
        <v>31</v>
      </c>
      <c r="J724" s="3" t="s">
        <v>32</v>
      </c>
      <c r="K724" s="3" t="s">
        <v>33</v>
      </c>
      <c r="L724" s="3" t="s">
        <v>51</v>
      </c>
      <c r="M724" s="3" t="s">
        <v>111</v>
      </c>
      <c r="N724" s="3" t="s">
        <v>112</v>
      </c>
      <c r="O724" s="3" t="s">
        <v>37</v>
      </c>
      <c r="P724" s="3" t="s">
        <v>38</v>
      </c>
      <c r="Q724" s="3" t="s">
        <v>39</v>
      </c>
      <c r="R724" s="3" t="s">
        <v>40</v>
      </c>
      <c r="S724" s="55">
        <v>6362.8</v>
      </c>
      <c r="T724" s="55">
        <v>736.6712</v>
      </c>
      <c r="U724" s="55">
        <v>199.9092</v>
      </c>
      <c r="V724" s="55">
        <v>5626.1288000000004</v>
      </c>
      <c r="W724" s="3">
        <v>12</v>
      </c>
    </row>
    <row r="725" spans="1:23" x14ac:dyDescent="0.35">
      <c r="A725" s="3" t="s">
        <v>458</v>
      </c>
      <c r="B725" s="3" t="s">
        <v>459</v>
      </c>
      <c r="C725" s="3" t="s">
        <v>113</v>
      </c>
      <c r="D725" s="3" t="s">
        <v>114</v>
      </c>
      <c r="E725" s="3" t="s">
        <v>115</v>
      </c>
      <c r="F725" s="3" t="s">
        <v>116</v>
      </c>
      <c r="G725" s="3" t="s">
        <v>117</v>
      </c>
      <c r="H725" s="3" t="s">
        <v>48</v>
      </c>
      <c r="I725" s="3" t="s">
        <v>49</v>
      </c>
      <c r="J725" s="3" t="s">
        <v>50</v>
      </c>
      <c r="K725" s="3" t="s">
        <v>33</v>
      </c>
      <c r="L725" s="3" t="s">
        <v>51</v>
      </c>
      <c r="M725" s="3" t="s">
        <v>118</v>
      </c>
      <c r="N725" s="3" t="s">
        <v>119</v>
      </c>
      <c r="O725" s="3" t="s">
        <v>37</v>
      </c>
      <c r="P725" s="3" t="s">
        <v>38</v>
      </c>
      <c r="Q725" s="3" t="s">
        <v>39</v>
      </c>
      <c r="R725" s="3" t="s">
        <v>40</v>
      </c>
      <c r="S725" s="55">
        <v>4082.8</v>
      </c>
      <c r="T725" s="55">
        <v>1256.6955</v>
      </c>
      <c r="U725" s="55">
        <v>1256.6955</v>
      </c>
      <c r="V725" s="55">
        <v>2826.1044999999999</v>
      </c>
      <c r="W725" s="3">
        <v>31</v>
      </c>
    </row>
    <row r="726" spans="1:23" x14ac:dyDescent="0.35">
      <c r="A726" s="3" t="s">
        <v>458</v>
      </c>
      <c r="B726" s="3" t="s">
        <v>459</v>
      </c>
      <c r="C726" s="3" t="s">
        <v>120</v>
      </c>
      <c r="D726" s="3" t="s">
        <v>114</v>
      </c>
      <c r="E726" s="3" t="s">
        <v>115</v>
      </c>
      <c r="F726" s="3" t="s">
        <v>116</v>
      </c>
      <c r="G726" s="3" t="s">
        <v>117</v>
      </c>
      <c r="H726" s="3" t="s">
        <v>48</v>
      </c>
      <c r="I726" s="3" t="s">
        <v>49</v>
      </c>
      <c r="J726" s="3" t="s">
        <v>50</v>
      </c>
      <c r="K726" s="3" t="s">
        <v>33</v>
      </c>
      <c r="L726" s="3" t="s">
        <v>51</v>
      </c>
      <c r="M726" s="3" t="s">
        <v>118</v>
      </c>
      <c r="N726" s="3" t="s">
        <v>119</v>
      </c>
      <c r="O726" s="3" t="s">
        <v>42</v>
      </c>
      <c r="P726" s="3" t="s">
        <v>43</v>
      </c>
      <c r="Q726" s="3" t="s">
        <v>39</v>
      </c>
      <c r="R726" s="3" t="s">
        <v>40</v>
      </c>
      <c r="S726" s="55">
        <v>778.7</v>
      </c>
      <c r="T726" s="55">
        <v>264.81889999999999</v>
      </c>
      <c r="U726" s="55">
        <v>154.13730000000001</v>
      </c>
      <c r="V726" s="55">
        <v>513.88109999999995</v>
      </c>
      <c r="W726" s="3">
        <v>34</v>
      </c>
    </row>
    <row r="727" spans="1:23" x14ac:dyDescent="0.35">
      <c r="A727" s="3" t="s">
        <v>458</v>
      </c>
      <c r="B727" s="3" t="s">
        <v>459</v>
      </c>
      <c r="C727" s="3" t="s">
        <v>121</v>
      </c>
      <c r="D727" s="3" t="s">
        <v>114</v>
      </c>
      <c r="E727" s="3" t="s">
        <v>115</v>
      </c>
      <c r="F727" s="3" t="s">
        <v>116</v>
      </c>
      <c r="G727" s="3" t="s">
        <v>117</v>
      </c>
      <c r="H727" s="3" t="s">
        <v>48</v>
      </c>
      <c r="I727" s="3" t="s">
        <v>49</v>
      </c>
      <c r="J727" s="3" t="s">
        <v>50</v>
      </c>
      <c r="K727" s="3" t="s">
        <v>33</v>
      </c>
      <c r="L727" s="3" t="s">
        <v>51</v>
      </c>
      <c r="M727" s="3" t="s">
        <v>118</v>
      </c>
      <c r="N727" s="3" t="s">
        <v>119</v>
      </c>
      <c r="O727" s="3" t="s">
        <v>122</v>
      </c>
      <c r="P727" s="3" t="s">
        <v>123</v>
      </c>
      <c r="Q727" s="3" t="s">
        <v>39</v>
      </c>
      <c r="R727" s="3" t="s">
        <v>40</v>
      </c>
      <c r="S727" s="55">
        <v>5312.2</v>
      </c>
      <c r="T727" s="55">
        <v>2714.5491999999999</v>
      </c>
      <c r="U727" s="55">
        <v>0</v>
      </c>
      <c r="V727" s="55">
        <v>2597.6507999999999</v>
      </c>
      <c r="W727" s="3">
        <v>51</v>
      </c>
    </row>
    <row r="728" spans="1:23" x14ac:dyDescent="0.35">
      <c r="A728" s="3" t="s">
        <v>458</v>
      </c>
      <c r="B728" s="3" t="s">
        <v>459</v>
      </c>
      <c r="C728" s="3" t="s">
        <v>124</v>
      </c>
      <c r="D728" s="3" t="s">
        <v>114</v>
      </c>
      <c r="E728" s="3" t="s">
        <v>115</v>
      </c>
      <c r="F728" s="3" t="s">
        <v>116</v>
      </c>
      <c r="G728" s="3" t="s">
        <v>117</v>
      </c>
      <c r="H728" s="3" t="s">
        <v>48</v>
      </c>
      <c r="I728" s="3" t="s">
        <v>49</v>
      </c>
      <c r="J728" s="3" t="s">
        <v>50</v>
      </c>
      <c r="K728" s="3" t="s">
        <v>33</v>
      </c>
      <c r="L728" s="3" t="s">
        <v>51</v>
      </c>
      <c r="M728" s="3" t="s">
        <v>118</v>
      </c>
      <c r="N728" s="3" t="s">
        <v>119</v>
      </c>
      <c r="O728" s="3" t="s">
        <v>125</v>
      </c>
      <c r="P728" s="3" t="s">
        <v>126</v>
      </c>
      <c r="Q728" s="3" t="s">
        <v>39</v>
      </c>
      <c r="R728" s="3" t="s">
        <v>40</v>
      </c>
      <c r="S728" s="55">
        <v>1748.2</v>
      </c>
      <c r="T728" s="55">
        <v>476.76670000000001</v>
      </c>
      <c r="U728" s="55">
        <v>0</v>
      </c>
      <c r="V728" s="55">
        <v>1271.4332999999999</v>
      </c>
      <c r="W728" s="3">
        <v>27</v>
      </c>
    </row>
    <row r="729" spans="1:23" x14ac:dyDescent="0.35">
      <c r="A729" s="3" t="s">
        <v>458</v>
      </c>
      <c r="B729" s="3" t="s">
        <v>459</v>
      </c>
      <c r="C729" s="3" t="s">
        <v>130</v>
      </c>
      <c r="D729" s="3" t="s">
        <v>131</v>
      </c>
      <c r="E729" s="3" t="s">
        <v>115</v>
      </c>
      <c r="F729" s="3" t="s">
        <v>132</v>
      </c>
      <c r="G729" s="3" t="s">
        <v>133</v>
      </c>
      <c r="H729" s="3" t="s">
        <v>48</v>
      </c>
      <c r="I729" s="3" t="s">
        <v>49</v>
      </c>
      <c r="J729" s="3" t="s">
        <v>50</v>
      </c>
      <c r="K729" s="3" t="s">
        <v>33</v>
      </c>
      <c r="L729" s="3" t="s">
        <v>51</v>
      </c>
      <c r="M729" s="3" t="s">
        <v>134</v>
      </c>
      <c r="N729" s="3" t="s">
        <v>135</v>
      </c>
      <c r="O729" s="3" t="s">
        <v>37</v>
      </c>
      <c r="P729" s="3" t="s">
        <v>38</v>
      </c>
      <c r="Q729" s="3" t="s">
        <v>39</v>
      </c>
      <c r="R729" s="3" t="s">
        <v>40</v>
      </c>
      <c r="S729" s="55">
        <v>22.1</v>
      </c>
      <c r="T729" s="55">
        <v>0</v>
      </c>
      <c r="U729" s="55">
        <v>0</v>
      </c>
      <c r="V729" s="55">
        <v>22.1</v>
      </c>
      <c r="W729" s="3">
        <v>0</v>
      </c>
    </row>
    <row r="730" spans="1:23" x14ac:dyDescent="0.35">
      <c r="A730" s="3" t="s">
        <v>458</v>
      </c>
      <c r="B730" s="3" t="s">
        <v>459</v>
      </c>
      <c r="C730" s="3" t="s">
        <v>448</v>
      </c>
      <c r="D730" s="3" t="s">
        <v>137</v>
      </c>
      <c r="E730" s="3" t="s">
        <v>138</v>
      </c>
      <c r="F730" s="3" t="s">
        <v>139</v>
      </c>
      <c r="G730" s="3" t="s">
        <v>140</v>
      </c>
      <c r="H730" s="3" t="s">
        <v>48</v>
      </c>
      <c r="I730" s="3" t="s">
        <v>49</v>
      </c>
      <c r="J730" s="3" t="s">
        <v>50</v>
      </c>
      <c r="K730" s="3" t="s">
        <v>33</v>
      </c>
      <c r="L730" s="3" t="s">
        <v>51</v>
      </c>
      <c r="M730" s="3" t="s">
        <v>446</v>
      </c>
      <c r="N730" s="3" t="s">
        <v>447</v>
      </c>
      <c r="O730" s="3" t="s">
        <v>197</v>
      </c>
      <c r="P730" s="3" t="s">
        <v>198</v>
      </c>
      <c r="Q730" s="3" t="s">
        <v>39</v>
      </c>
      <c r="R730" s="3" t="s">
        <v>40</v>
      </c>
      <c r="S730" s="55">
        <v>32862.199999999997</v>
      </c>
      <c r="T730" s="55">
        <v>0</v>
      </c>
      <c r="U730" s="55">
        <v>0</v>
      </c>
      <c r="V730" s="55">
        <v>32862.199999999997</v>
      </c>
      <c r="W730" s="3">
        <v>0</v>
      </c>
    </row>
    <row r="731" spans="1:23" x14ac:dyDescent="0.35">
      <c r="A731" s="3" t="s">
        <v>458</v>
      </c>
      <c r="B731" s="3" t="s">
        <v>459</v>
      </c>
      <c r="C731" s="3" t="s">
        <v>136</v>
      </c>
      <c r="D731" s="3" t="s">
        <v>137</v>
      </c>
      <c r="E731" s="3" t="s">
        <v>138</v>
      </c>
      <c r="F731" s="3" t="s">
        <v>139</v>
      </c>
      <c r="G731" s="3" t="s">
        <v>140</v>
      </c>
      <c r="H731" s="3" t="s">
        <v>30</v>
      </c>
      <c r="I731" s="3" t="s">
        <v>31</v>
      </c>
      <c r="J731" s="3" t="s">
        <v>32</v>
      </c>
      <c r="K731" s="3" t="s">
        <v>33</v>
      </c>
      <c r="L731" s="3" t="s">
        <v>51</v>
      </c>
      <c r="M731" s="3" t="s">
        <v>141</v>
      </c>
      <c r="N731" s="3" t="s">
        <v>142</v>
      </c>
      <c r="O731" s="3" t="s">
        <v>83</v>
      </c>
      <c r="P731" s="3" t="s">
        <v>84</v>
      </c>
      <c r="Q731" s="3" t="s">
        <v>39</v>
      </c>
      <c r="R731" s="3" t="s">
        <v>40</v>
      </c>
      <c r="S731" s="55">
        <v>5402.8</v>
      </c>
      <c r="T731" s="55">
        <v>1395.3561</v>
      </c>
      <c r="U731" s="55">
        <v>6.75</v>
      </c>
      <c r="V731" s="55">
        <v>4007.4439000000002</v>
      </c>
      <c r="W731" s="3">
        <v>26</v>
      </c>
    </row>
    <row r="732" spans="1:23" x14ac:dyDescent="0.35">
      <c r="A732" s="3" t="s">
        <v>458</v>
      </c>
      <c r="B732" s="3" t="s">
        <v>459</v>
      </c>
      <c r="C732" s="3" t="s">
        <v>143</v>
      </c>
      <c r="D732" s="3" t="s">
        <v>144</v>
      </c>
      <c r="E732" s="3" t="s">
        <v>145</v>
      </c>
      <c r="F732" s="3" t="s">
        <v>146</v>
      </c>
      <c r="G732" s="3" t="s">
        <v>147</v>
      </c>
      <c r="H732" s="3" t="s">
        <v>116</v>
      </c>
      <c r="I732" s="3" t="s">
        <v>148</v>
      </c>
      <c r="J732" s="3" t="s">
        <v>149</v>
      </c>
      <c r="K732" s="3" t="s">
        <v>33</v>
      </c>
      <c r="L732" s="3" t="s">
        <v>51</v>
      </c>
      <c r="M732" s="3" t="s">
        <v>150</v>
      </c>
      <c r="N732" s="3" t="s">
        <v>151</v>
      </c>
      <c r="O732" s="3" t="s">
        <v>37</v>
      </c>
      <c r="P732" s="3" t="s">
        <v>38</v>
      </c>
      <c r="Q732" s="3" t="s">
        <v>39</v>
      </c>
      <c r="R732" s="3" t="s">
        <v>40</v>
      </c>
      <c r="S732" s="55">
        <v>5247.5</v>
      </c>
      <c r="T732" s="55">
        <v>0</v>
      </c>
      <c r="U732" s="55">
        <v>0</v>
      </c>
      <c r="V732" s="55">
        <v>5247.5</v>
      </c>
      <c r="W732" s="3">
        <v>0</v>
      </c>
    </row>
    <row r="733" spans="1:23" x14ac:dyDescent="0.35">
      <c r="A733" s="3" t="s">
        <v>458</v>
      </c>
      <c r="B733" s="3" t="s">
        <v>459</v>
      </c>
      <c r="C733" s="3" t="s">
        <v>152</v>
      </c>
      <c r="D733" s="3" t="s">
        <v>144</v>
      </c>
      <c r="E733" s="3" t="s">
        <v>145</v>
      </c>
      <c r="F733" s="3" t="s">
        <v>146</v>
      </c>
      <c r="G733" s="3" t="s">
        <v>147</v>
      </c>
      <c r="H733" s="3" t="s">
        <v>116</v>
      </c>
      <c r="I733" s="3" t="s">
        <v>148</v>
      </c>
      <c r="J733" s="3" t="s">
        <v>149</v>
      </c>
      <c r="K733" s="3" t="s">
        <v>33</v>
      </c>
      <c r="L733" s="3" t="s">
        <v>51</v>
      </c>
      <c r="M733" s="3" t="s">
        <v>153</v>
      </c>
      <c r="N733" s="3" t="s">
        <v>154</v>
      </c>
      <c r="O733" s="3" t="s">
        <v>37</v>
      </c>
      <c r="P733" s="3" t="s">
        <v>38</v>
      </c>
      <c r="Q733" s="3" t="s">
        <v>39</v>
      </c>
      <c r="R733" s="3" t="s">
        <v>40</v>
      </c>
      <c r="S733" s="55">
        <v>58395.199999999997</v>
      </c>
      <c r="T733" s="55">
        <v>0</v>
      </c>
      <c r="U733" s="55">
        <v>0</v>
      </c>
      <c r="V733" s="55">
        <v>58395.199999999997</v>
      </c>
      <c r="W733" s="3">
        <v>0</v>
      </c>
    </row>
    <row r="734" spans="1:23" x14ac:dyDescent="0.35">
      <c r="A734" s="3" t="s">
        <v>458</v>
      </c>
      <c r="B734" s="3" t="s">
        <v>459</v>
      </c>
      <c r="C734" s="3" t="s">
        <v>155</v>
      </c>
      <c r="D734" s="3" t="s">
        <v>144</v>
      </c>
      <c r="E734" s="3" t="s">
        <v>145</v>
      </c>
      <c r="F734" s="3" t="s">
        <v>146</v>
      </c>
      <c r="G734" s="3" t="s">
        <v>147</v>
      </c>
      <c r="H734" s="3" t="s">
        <v>116</v>
      </c>
      <c r="I734" s="3" t="s">
        <v>148</v>
      </c>
      <c r="J734" s="3" t="s">
        <v>149</v>
      </c>
      <c r="K734" s="3" t="s">
        <v>33</v>
      </c>
      <c r="L734" s="3" t="s">
        <v>51</v>
      </c>
      <c r="M734" s="3" t="s">
        <v>156</v>
      </c>
      <c r="N734" s="3" t="s">
        <v>157</v>
      </c>
      <c r="O734" s="3" t="s">
        <v>37</v>
      </c>
      <c r="P734" s="3" t="s">
        <v>38</v>
      </c>
      <c r="Q734" s="3" t="s">
        <v>39</v>
      </c>
      <c r="R734" s="3" t="s">
        <v>40</v>
      </c>
      <c r="S734" s="55">
        <v>1465.6</v>
      </c>
      <c r="T734" s="55">
        <v>48.814900000000002</v>
      </c>
      <c r="U734" s="55">
        <v>0</v>
      </c>
      <c r="V734" s="55">
        <v>1416.7851000000001</v>
      </c>
      <c r="W734" s="3">
        <v>3</v>
      </c>
    </row>
    <row r="735" spans="1:23" x14ac:dyDescent="0.35">
      <c r="A735" s="3" t="s">
        <v>458</v>
      </c>
      <c r="B735" s="3" t="s">
        <v>459</v>
      </c>
      <c r="C735" s="3" t="s">
        <v>158</v>
      </c>
      <c r="D735" s="3" t="s">
        <v>144</v>
      </c>
      <c r="E735" s="3" t="s">
        <v>145</v>
      </c>
      <c r="F735" s="3" t="s">
        <v>146</v>
      </c>
      <c r="G735" s="3" t="s">
        <v>147</v>
      </c>
      <c r="H735" s="3" t="s">
        <v>116</v>
      </c>
      <c r="I735" s="3" t="s">
        <v>148</v>
      </c>
      <c r="J735" s="3" t="s">
        <v>149</v>
      </c>
      <c r="K735" s="3" t="s">
        <v>33</v>
      </c>
      <c r="L735" s="3" t="s">
        <v>51</v>
      </c>
      <c r="M735" s="3" t="s">
        <v>156</v>
      </c>
      <c r="N735" s="3" t="s">
        <v>157</v>
      </c>
      <c r="O735" s="3" t="s">
        <v>125</v>
      </c>
      <c r="P735" s="3" t="s">
        <v>126</v>
      </c>
      <c r="Q735" s="3" t="s">
        <v>39</v>
      </c>
      <c r="R735" s="3" t="s">
        <v>40</v>
      </c>
      <c r="S735" s="55">
        <v>105638.8</v>
      </c>
      <c r="T735" s="55">
        <v>30817.209299999999</v>
      </c>
      <c r="U735" s="55">
        <v>83.990700000000004</v>
      </c>
      <c r="V735" s="55">
        <v>74821.590700000001</v>
      </c>
      <c r="W735" s="3">
        <v>29</v>
      </c>
    </row>
    <row r="736" spans="1:23" x14ac:dyDescent="0.35">
      <c r="A736" s="3" t="s">
        <v>458</v>
      </c>
      <c r="B736" s="3" t="s">
        <v>459</v>
      </c>
      <c r="C736" s="3" t="s">
        <v>159</v>
      </c>
      <c r="D736" s="3" t="s">
        <v>144</v>
      </c>
      <c r="E736" s="3" t="s">
        <v>145</v>
      </c>
      <c r="F736" s="3" t="s">
        <v>146</v>
      </c>
      <c r="G736" s="3" t="s">
        <v>147</v>
      </c>
      <c r="H736" s="3" t="s">
        <v>116</v>
      </c>
      <c r="I736" s="3" t="s">
        <v>148</v>
      </c>
      <c r="J736" s="3" t="s">
        <v>149</v>
      </c>
      <c r="K736" s="3" t="s">
        <v>33</v>
      </c>
      <c r="L736" s="3" t="s">
        <v>51</v>
      </c>
      <c r="M736" s="3" t="s">
        <v>160</v>
      </c>
      <c r="N736" s="3" t="s">
        <v>161</v>
      </c>
      <c r="O736" s="3" t="s">
        <v>37</v>
      </c>
      <c r="P736" s="3" t="s">
        <v>38</v>
      </c>
      <c r="Q736" s="3" t="s">
        <v>39</v>
      </c>
      <c r="R736" s="3" t="s">
        <v>40</v>
      </c>
      <c r="S736" s="55">
        <v>24583.9</v>
      </c>
      <c r="T736" s="55">
        <v>5334.0146000000004</v>
      </c>
      <c r="U736" s="55">
        <v>4973.8932000000004</v>
      </c>
      <c r="V736" s="55">
        <v>19249.885399999999</v>
      </c>
      <c r="W736" s="3">
        <v>22</v>
      </c>
    </row>
    <row r="737" spans="1:23" x14ac:dyDescent="0.35">
      <c r="A737" s="3" t="s">
        <v>458</v>
      </c>
      <c r="B737" s="3" t="s">
        <v>459</v>
      </c>
      <c r="C737" s="3" t="s">
        <v>162</v>
      </c>
      <c r="D737" s="3" t="s">
        <v>144</v>
      </c>
      <c r="E737" s="3" t="s">
        <v>145</v>
      </c>
      <c r="F737" s="3" t="s">
        <v>146</v>
      </c>
      <c r="G737" s="3" t="s">
        <v>147</v>
      </c>
      <c r="H737" s="3" t="s">
        <v>116</v>
      </c>
      <c r="I737" s="3" t="s">
        <v>148</v>
      </c>
      <c r="J737" s="3" t="s">
        <v>149</v>
      </c>
      <c r="K737" s="3" t="s">
        <v>33</v>
      </c>
      <c r="L737" s="3" t="s">
        <v>51</v>
      </c>
      <c r="M737" s="3" t="s">
        <v>160</v>
      </c>
      <c r="N737" s="3" t="s">
        <v>161</v>
      </c>
      <c r="O737" s="3" t="s">
        <v>42</v>
      </c>
      <c r="P737" s="3" t="s">
        <v>43</v>
      </c>
      <c r="Q737" s="3" t="s">
        <v>39</v>
      </c>
      <c r="R737" s="3" t="s">
        <v>40</v>
      </c>
      <c r="S737" s="55">
        <v>6321.4</v>
      </c>
      <c r="T737" s="55">
        <v>0</v>
      </c>
      <c r="U737" s="55">
        <v>0</v>
      </c>
      <c r="V737" s="55">
        <v>6321.4</v>
      </c>
      <c r="W737" s="3">
        <v>0</v>
      </c>
    </row>
    <row r="738" spans="1:23" x14ac:dyDescent="0.35">
      <c r="A738" s="3" t="s">
        <v>458</v>
      </c>
      <c r="B738" s="3" t="s">
        <v>459</v>
      </c>
      <c r="C738" s="3" t="s">
        <v>163</v>
      </c>
      <c r="D738" s="3" t="s">
        <v>144</v>
      </c>
      <c r="E738" s="3" t="s">
        <v>145</v>
      </c>
      <c r="F738" s="3" t="s">
        <v>146</v>
      </c>
      <c r="G738" s="3" t="s">
        <v>147</v>
      </c>
      <c r="H738" s="3" t="s">
        <v>116</v>
      </c>
      <c r="I738" s="3" t="s">
        <v>148</v>
      </c>
      <c r="J738" s="3" t="s">
        <v>149</v>
      </c>
      <c r="K738" s="3" t="s">
        <v>33</v>
      </c>
      <c r="L738" s="3" t="s">
        <v>51</v>
      </c>
      <c r="M738" s="3" t="s">
        <v>160</v>
      </c>
      <c r="N738" s="3" t="s">
        <v>161</v>
      </c>
      <c r="O738" s="3" t="s">
        <v>125</v>
      </c>
      <c r="P738" s="3" t="s">
        <v>126</v>
      </c>
      <c r="Q738" s="3" t="s">
        <v>39</v>
      </c>
      <c r="R738" s="3" t="s">
        <v>40</v>
      </c>
      <c r="S738" s="55">
        <v>4785.7</v>
      </c>
      <c r="T738" s="55">
        <v>1490.7082</v>
      </c>
      <c r="U738" s="55">
        <v>0</v>
      </c>
      <c r="V738" s="55">
        <v>3294.9917999999998</v>
      </c>
      <c r="W738" s="3">
        <v>31</v>
      </c>
    </row>
    <row r="739" spans="1:23" x14ac:dyDescent="0.35">
      <c r="A739" s="3" t="s">
        <v>458</v>
      </c>
      <c r="B739" s="3" t="s">
        <v>459</v>
      </c>
      <c r="C739" s="3" t="s">
        <v>423</v>
      </c>
      <c r="D739" s="3" t="s">
        <v>165</v>
      </c>
      <c r="E739" s="3" t="s">
        <v>145</v>
      </c>
      <c r="F739" s="3" t="s">
        <v>28</v>
      </c>
      <c r="G739" s="3" t="s">
        <v>166</v>
      </c>
      <c r="H739" s="3" t="s">
        <v>139</v>
      </c>
      <c r="I739" s="3" t="s">
        <v>167</v>
      </c>
      <c r="J739" s="3" t="s">
        <v>168</v>
      </c>
      <c r="K739" s="3" t="s">
        <v>33</v>
      </c>
      <c r="L739" s="3" t="s">
        <v>51</v>
      </c>
      <c r="M739" s="3" t="s">
        <v>424</v>
      </c>
      <c r="N739" s="3" t="s">
        <v>507</v>
      </c>
      <c r="O739" s="3" t="s">
        <v>37</v>
      </c>
      <c r="P739" s="3" t="s">
        <v>38</v>
      </c>
      <c r="Q739" s="3" t="s">
        <v>39</v>
      </c>
      <c r="R739" s="3" t="s">
        <v>40</v>
      </c>
      <c r="S739" s="55">
        <v>1249.3</v>
      </c>
      <c r="T739" s="55">
        <v>0</v>
      </c>
      <c r="U739" s="55">
        <v>0</v>
      </c>
      <c r="V739" s="55">
        <v>1249.3</v>
      </c>
      <c r="W739" s="3">
        <v>0</v>
      </c>
    </row>
    <row r="740" spans="1:23" x14ac:dyDescent="0.35">
      <c r="A740" s="3" t="s">
        <v>458</v>
      </c>
      <c r="B740" s="3" t="s">
        <v>459</v>
      </c>
      <c r="C740" s="3" t="s">
        <v>560</v>
      </c>
      <c r="D740" s="3" t="s">
        <v>165</v>
      </c>
      <c r="E740" s="3" t="s">
        <v>145</v>
      </c>
      <c r="F740" s="3" t="s">
        <v>28</v>
      </c>
      <c r="G740" s="3" t="s">
        <v>166</v>
      </c>
      <c r="H740" s="3" t="s">
        <v>139</v>
      </c>
      <c r="I740" s="3" t="s">
        <v>167</v>
      </c>
      <c r="J740" s="3" t="s">
        <v>168</v>
      </c>
      <c r="K740" s="3" t="s">
        <v>33</v>
      </c>
      <c r="L740" s="3" t="s">
        <v>51</v>
      </c>
      <c r="M740" s="3" t="s">
        <v>424</v>
      </c>
      <c r="N740" s="3" t="s">
        <v>507</v>
      </c>
      <c r="O740" s="3" t="s">
        <v>125</v>
      </c>
      <c r="P740" s="3" t="s">
        <v>126</v>
      </c>
      <c r="Q740" s="3" t="s">
        <v>39</v>
      </c>
      <c r="R740" s="3" t="s">
        <v>40</v>
      </c>
      <c r="S740" s="55">
        <v>250.7</v>
      </c>
      <c r="T740" s="55">
        <v>250.65</v>
      </c>
      <c r="U740" s="55">
        <v>0</v>
      </c>
      <c r="V740" s="55">
        <v>0.05</v>
      </c>
      <c r="W740" s="3">
        <v>100</v>
      </c>
    </row>
    <row r="741" spans="1:23" x14ac:dyDescent="0.35">
      <c r="A741" s="3" t="s">
        <v>458</v>
      </c>
      <c r="B741" s="3" t="s">
        <v>459</v>
      </c>
      <c r="C741" s="3" t="s">
        <v>164</v>
      </c>
      <c r="D741" s="3" t="s">
        <v>165</v>
      </c>
      <c r="E741" s="3" t="s">
        <v>145</v>
      </c>
      <c r="F741" s="3" t="s">
        <v>28</v>
      </c>
      <c r="G741" s="3" t="s">
        <v>166</v>
      </c>
      <c r="H741" s="3" t="s">
        <v>139</v>
      </c>
      <c r="I741" s="3" t="s">
        <v>167</v>
      </c>
      <c r="J741" s="3" t="s">
        <v>168</v>
      </c>
      <c r="K741" s="3" t="s">
        <v>33</v>
      </c>
      <c r="L741" s="3" t="s">
        <v>51</v>
      </c>
      <c r="M741" s="3" t="s">
        <v>169</v>
      </c>
      <c r="N741" s="3" t="s">
        <v>170</v>
      </c>
      <c r="O741" s="3" t="s">
        <v>37</v>
      </c>
      <c r="P741" s="3" t="s">
        <v>38</v>
      </c>
      <c r="Q741" s="3" t="s">
        <v>39</v>
      </c>
      <c r="R741" s="3" t="s">
        <v>40</v>
      </c>
      <c r="S741" s="55">
        <v>52212.9</v>
      </c>
      <c r="T741" s="55">
        <v>3253.4225999999999</v>
      </c>
      <c r="U741" s="55">
        <v>1100</v>
      </c>
      <c r="V741" s="55">
        <v>48959.477400000003</v>
      </c>
      <c r="W741" s="3">
        <v>6</v>
      </c>
    </row>
    <row r="742" spans="1:23" x14ac:dyDescent="0.35">
      <c r="A742" s="3" t="s">
        <v>458</v>
      </c>
      <c r="B742" s="3" t="s">
        <v>459</v>
      </c>
      <c r="C742" s="3" t="s">
        <v>561</v>
      </c>
      <c r="D742" s="3" t="s">
        <v>165</v>
      </c>
      <c r="E742" s="3" t="s">
        <v>145</v>
      </c>
      <c r="F742" s="3" t="s">
        <v>28</v>
      </c>
      <c r="G742" s="3" t="s">
        <v>166</v>
      </c>
      <c r="H742" s="3" t="s">
        <v>139</v>
      </c>
      <c r="I742" s="3" t="s">
        <v>167</v>
      </c>
      <c r="J742" s="3" t="s">
        <v>168</v>
      </c>
      <c r="K742" s="3" t="s">
        <v>33</v>
      </c>
      <c r="L742" s="3" t="s">
        <v>51</v>
      </c>
      <c r="M742" s="3" t="s">
        <v>169</v>
      </c>
      <c r="N742" s="3" t="s">
        <v>170</v>
      </c>
      <c r="O742" s="3" t="s">
        <v>125</v>
      </c>
      <c r="P742" s="3" t="s">
        <v>126</v>
      </c>
      <c r="Q742" s="3" t="s">
        <v>39</v>
      </c>
      <c r="R742" s="3" t="s">
        <v>40</v>
      </c>
      <c r="S742" s="55">
        <v>406.8</v>
      </c>
      <c r="T742" s="55">
        <v>406.8</v>
      </c>
      <c r="U742" s="55">
        <v>0</v>
      </c>
      <c r="V742" s="55">
        <v>0</v>
      </c>
      <c r="W742" s="3">
        <v>100</v>
      </c>
    </row>
    <row r="743" spans="1:23" x14ac:dyDescent="0.35">
      <c r="A743" s="3" t="s">
        <v>458</v>
      </c>
      <c r="B743" s="3" t="s">
        <v>459</v>
      </c>
      <c r="C743" s="3" t="s">
        <v>171</v>
      </c>
      <c r="D743" s="3" t="s">
        <v>165</v>
      </c>
      <c r="E743" s="3" t="s">
        <v>145</v>
      </c>
      <c r="F743" s="3" t="s">
        <v>28</v>
      </c>
      <c r="G743" s="3" t="s">
        <v>166</v>
      </c>
      <c r="H743" s="3" t="s">
        <v>139</v>
      </c>
      <c r="I743" s="3" t="s">
        <v>167</v>
      </c>
      <c r="J743" s="3" t="s">
        <v>168</v>
      </c>
      <c r="K743" s="3" t="s">
        <v>33</v>
      </c>
      <c r="L743" s="3" t="s">
        <v>51</v>
      </c>
      <c r="M743" s="3" t="s">
        <v>172</v>
      </c>
      <c r="N743" s="3" t="s">
        <v>173</v>
      </c>
      <c r="O743" s="3" t="s">
        <v>37</v>
      </c>
      <c r="P743" s="3" t="s">
        <v>38</v>
      </c>
      <c r="Q743" s="3" t="s">
        <v>39</v>
      </c>
      <c r="R743" s="3" t="s">
        <v>40</v>
      </c>
      <c r="S743" s="55">
        <v>152084.6</v>
      </c>
      <c r="T743" s="55">
        <v>583</v>
      </c>
      <c r="U743" s="55">
        <v>0</v>
      </c>
      <c r="V743" s="55">
        <v>151501.6</v>
      </c>
      <c r="W743" s="3">
        <v>0</v>
      </c>
    </row>
    <row r="744" spans="1:23" x14ac:dyDescent="0.35">
      <c r="A744" s="3" t="s">
        <v>458</v>
      </c>
      <c r="B744" s="3" t="s">
        <v>459</v>
      </c>
      <c r="C744" s="3" t="s">
        <v>562</v>
      </c>
      <c r="D744" s="3" t="s">
        <v>165</v>
      </c>
      <c r="E744" s="3" t="s">
        <v>145</v>
      </c>
      <c r="F744" s="3" t="s">
        <v>28</v>
      </c>
      <c r="G744" s="3" t="s">
        <v>166</v>
      </c>
      <c r="H744" s="3" t="s">
        <v>139</v>
      </c>
      <c r="I744" s="3" t="s">
        <v>167</v>
      </c>
      <c r="J744" s="3" t="s">
        <v>168</v>
      </c>
      <c r="K744" s="3" t="s">
        <v>33</v>
      </c>
      <c r="L744" s="3" t="s">
        <v>51</v>
      </c>
      <c r="M744" s="3" t="s">
        <v>172</v>
      </c>
      <c r="N744" s="3" t="s">
        <v>173</v>
      </c>
      <c r="O744" s="3" t="s">
        <v>125</v>
      </c>
      <c r="P744" s="3" t="s">
        <v>126</v>
      </c>
      <c r="Q744" s="3" t="s">
        <v>39</v>
      </c>
      <c r="R744" s="3" t="s">
        <v>40</v>
      </c>
      <c r="S744" s="55">
        <v>2086.8000000000002</v>
      </c>
      <c r="T744" s="55">
        <v>2086.8000000000002</v>
      </c>
      <c r="U744" s="55">
        <v>1944</v>
      </c>
      <c r="V744" s="55">
        <v>0</v>
      </c>
      <c r="W744" s="3">
        <v>100</v>
      </c>
    </row>
    <row r="745" spans="1:23" x14ac:dyDescent="0.35">
      <c r="A745" s="3" t="s">
        <v>458</v>
      </c>
      <c r="B745" s="3" t="s">
        <v>459</v>
      </c>
      <c r="C745" s="3" t="s">
        <v>174</v>
      </c>
      <c r="D745" s="3" t="s">
        <v>175</v>
      </c>
      <c r="E745" s="3" t="s">
        <v>145</v>
      </c>
      <c r="F745" s="3" t="s">
        <v>176</v>
      </c>
      <c r="G745" s="3" t="s">
        <v>177</v>
      </c>
      <c r="H745" s="3" t="s">
        <v>116</v>
      </c>
      <c r="I745" s="3" t="s">
        <v>148</v>
      </c>
      <c r="J745" s="3" t="s">
        <v>149</v>
      </c>
      <c r="K745" s="3" t="s">
        <v>33</v>
      </c>
      <c r="L745" s="3" t="s">
        <v>51</v>
      </c>
      <c r="M745" s="3" t="s">
        <v>178</v>
      </c>
      <c r="N745" s="3" t="s">
        <v>179</v>
      </c>
      <c r="O745" s="3" t="s">
        <v>96</v>
      </c>
      <c r="P745" s="3" t="s">
        <v>97</v>
      </c>
      <c r="Q745" s="3" t="s">
        <v>39</v>
      </c>
      <c r="R745" s="3" t="s">
        <v>40</v>
      </c>
      <c r="S745" s="55">
        <v>484074.8</v>
      </c>
      <c r="T745" s="55">
        <v>152879.32029999999</v>
      </c>
      <c r="U745" s="55">
        <v>32350.9764</v>
      </c>
      <c r="V745" s="55">
        <v>331195.47970000003</v>
      </c>
      <c r="W745" s="3">
        <v>32</v>
      </c>
    </row>
    <row r="746" spans="1:23" x14ac:dyDescent="0.35">
      <c r="A746" s="3" t="s">
        <v>458</v>
      </c>
      <c r="B746" s="3" t="s">
        <v>459</v>
      </c>
      <c r="C746" s="3" t="s">
        <v>180</v>
      </c>
      <c r="D746" s="3" t="s">
        <v>175</v>
      </c>
      <c r="E746" s="3" t="s">
        <v>145</v>
      </c>
      <c r="F746" s="3" t="s">
        <v>176</v>
      </c>
      <c r="G746" s="3" t="s">
        <v>177</v>
      </c>
      <c r="H746" s="3" t="s">
        <v>116</v>
      </c>
      <c r="I746" s="3" t="s">
        <v>148</v>
      </c>
      <c r="J746" s="3" t="s">
        <v>149</v>
      </c>
      <c r="K746" s="3" t="s">
        <v>33</v>
      </c>
      <c r="L746" s="3" t="s">
        <v>51</v>
      </c>
      <c r="M746" s="3" t="s">
        <v>178</v>
      </c>
      <c r="N746" s="3" t="s">
        <v>179</v>
      </c>
      <c r="O746" s="3" t="s">
        <v>99</v>
      </c>
      <c r="P746" s="3" t="s">
        <v>100</v>
      </c>
      <c r="Q746" s="3" t="s">
        <v>39</v>
      </c>
      <c r="R746" s="3" t="s">
        <v>40</v>
      </c>
      <c r="S746" s="55">
        <v>145129.20000000001</v>
      </c>
      <c r="T746" s="55">
        <v>45804.694300000003</v>
      </c>
      <c r="U746" s="55">
        <v>6031.1166999999996</v>
      </c>
      <c r="V746" s="55">
        <v>99324.505699999994</v>
      </c>
      <c r="W746" s="3">
        <v>32</v>
      </c>
    </row>
    <row r="747" spans="1:23" x14ac:dyDescent="0.35">
      <c r="A747" s="3" t="s">
        <v>458</v>
      </c>
      <c r="B747" s="3" t="s">
        <v>459</v>
      </c>
      <c r="C747" s="3" t="s">
        <v>181</v>
      </c>
      <c r="D747" s="3" t="s">
        <v>175</v>
      </c>
      <c r="E747" s="3" t="s">
        <v>145</v>
      </c>
      <c r="F747" s="3" t="s">
        <v>176</v>
      </c>
      <c r="G747" s="3" t="s">
        <v>177</v>
      </c>
      <c r="H747" s="3" t="s">
        <v>116</v>
      </c>
      <c r="I747" s="3" t="s">
        <v>148</v>
      </c>
      <c r="J747" s="3" t="s">
        <v>149</v>
      </c>
      <c r="K747" s="3" t="s">
        <v>33</v>
      </c>
      <c r="L747" s="3" t="s">
        <v>51</v>
      </c>
      <c r="M747" s="3" t="s">
        <v>178</v>
      </c>
      <c r="N747" s="3" t="s">
        <v>179</v>
      </c>
      <c r="O747" s="3" t="s">
        <v>37</v>
      </c>
      <c r="P747" s="3" t="s">
        <v>38</v>
      </c>
      <c r="Q747" s="3" t="s">
        <v>39</v>
      </c>
      <c r="R747" s="3" t="s">
        <v>40</v>
      </c>
      <c r="S747" s="55">
        <v>106296.5</v>
      </c>
      <c r="T747" s="55">
        <v>20806.5524</v>
      </c>
      <c r="U747" s="55">
        <v>6544.0029000000004</v>
      </c>
      <c r="V747" s="55">
        <v>85489.9476</v>
      </c>
      <c r="W747" s="3">
        <v>20</v>
      </c>
    </row>
    <row r="748" spans="1:23" x14ac:dyDescent="0.35">
      <c r="A748" s="3" t="s">
        <v>458</v>
      </c>
      <c r="B748" s="3" t="s">
        <v>459</v>
      </c>
      <c r="C748" s="3" t="s">
        <v>182</v>
      </c>
      <c r="D748" s="3" t="s">
        <v>175</v>
      </c>
      <c r="E748" s="3" t="s">
        <v>145</v>
      </c>
      <c r="F748" s="3" t="s">
        <v>176</v>
      </c>
      <c r="G748" s="3" t="s">
        <v>177</v>
      </c>
      <c r="H748" s="3" t="s">
        <v>116</v>
      </c>
      <c r="I748" s="3" t="s">
        <v>148</v>
      </c>
      <c r="J748" s="3" t="s">
        <v>149</v>
      </c>
      <c r="K748" s="3" t="s">
        <v>33</v>
      </c>
      <c r="L748" s="3" t="s">
        <v>51</v>
      </c>
      <c r="M748" s="3" t="s">
        <v>178</v>
      </c>
      <c r="N748" s="3" t="s">
        <v>179</v>
      </c>
      <c r="O748" s="3" t="s">
        <v>42</v>
      </c>
      <c r="P748" s="3" t="s">
        <v>43</v>
      </c>
      <c r="Q748" s="3" t="s">
        <v>39</v>
      </c>
      <c r="R748" s="3" t="s">
        <v>40</v>
      </c>
      <c r="S748" s="55">
        <v>5728.8</v>
      </c>
      <c r="T748" s="55">
        <v>809.03800000000001</v>
      </c>
      <c r="U748" s="55">
        <v>478.48719999999997</v>
      </c>
      <c r="V748" s="55">
        <v>4919.7619999999997</v>
      </c>
      <c r="W748" s="3">
        <v>14</v>
      </c>
    </row>
    <row r="749" spans="1:23" x14ac:dyDescent="0.35">
      <c r="A749" s="3" t="s">
        <v>458</v>
      </c>
      <c r="B749" s="3" t="s">
        <v>459</v>
      </c>
      <c r="C749" s="3" t="s">
        <v>486</v>
      </c>
      <c r="D749" s="3" t="s">
        <v>175</v>
      </c>
      <c r="E749" s="3" t="s">
        <v>145</v>
      </c>
      <c r="F749" s="3" t="s">
        <v>176</v>
      </c>
      <c r="G749" s="3" t="s">
        <v>177</v>
      </c>
      <c r="H749" s="3" t="s">
        <v>116</v>
      </c>
      <c r="I749" s="3" t="s">
        <v>148</v>
      </c>
      <c r="J749" s="3" t="s">
        <v>149</v>
      </c>
      <c r="K749" s="3" t="s">
        <v>33</v>
      </c>
      <c r="L749" s="3" t="s">
        <v>51</v>
      </c>
      <c r="M749" s="3" t="s">
        <v>178</v>
      </c>
      <c r="N749" s="3" t="s">
        <v>179</v>
      </c>
      <c r="O749" s="3" t="s">
        <v>91</v>
      </c>
      <c r="P749" s="3" t="s">
        <v>92</v>
      </c>
      <c r="Q749" s="3" t="s">
        <v>39</v>
      </c>
      <c r="R749" s="3" t="s">
        <v>40</v>
      </c>
      <c r="S749" s="55">
        <v>264.7</v>
      </c>
      <c r="T749" s="55">
        <v>260.87279999999998</v>
      </c>
      <c r="U749" s="55">
        <v>0</v>
      </c>
      <c r="V749" s="55">
        <v>3.8271999999999999</v>
      </c>
      <c r="W749" s="3">
        <v>99</v>
      </c>
    </row>
    <row r="750" spans="1:23" x14ac:dyDescent="0.35">
      <c r="A750" s="3" t="s">
        <v>458</v>
      </c>
      <c r="B750" s="3" t="s">
        <v>459</v>
      </c>
      <c r="C750" s="3" t="s">
        <v>183</v>
      </c>
      <c r="D750" s="3" t="s">
        <v>175</v>
      </c>
      <c r="E750" s="3" t="s">
        <v>145</v>
      </c>
      <c r="F750" s="3" t="s">
        <v>176</v>
      </c>
      <c r="G750" s="3" t="s">
        <v>177</v>
      </c>
      <c r="H750" s="3" t="s">
        <v>116</v>
      </c>
      <c r="I750" s="3" t="s">
        <v>148</v>
      </c>
      <c r="J750" s="3" t="s">
        <v>149</v>
      </c>
      <c r="K750" s="3" t="s">
        <v>33</v>
      </c>
      <c r="L750" s="3" t="s">
        <v>51</v>
      </c>
      <c r="M750" s="3" t="s">
        <v>178</v>
      </c>
      <c r="N750" s="3" t="s">
        <v>179</v>
      </c>
      <c r="O750" s="3" t="s">
        <v>122</v>
      </c>
      <c r="P750" s="3" t="s">
        <v>123</v>
      </c>
      <c r="Q750" s="3" t="s">
        <v>39</v>
      </c>
      <c r="R750" s="3" t="s">
        <v>40</v>
      </c>
      <c r="S750" s="55">
        <v>1454.5</v>
      </c>
      <c r="T750" s="55">
        <v>45.942</v>
      </c>
      <c r="U750" s="55">
        <v>0</v>
      </c>
      <c r="V750" s="55">
        <v>1408.558</v>
      </c>
      <c r="W750" s="3">
        <v>3</v>
      </c>
    </row>
    <row r="751" spans="1:23" x14ac:dyDescent="0.35">
      <c r="A751" s="3" t="s">
        <v>458</v>
      </c>
      <c r="B751" s="3" t="s">
        <v>459</v>
      </c>
      <c r="C751" s="3" t="s">
        <v>184</v>
      </c>
      <c r="D751" s="3" t="s">
        <v>175</v>
      </c>
      <c r="E751" s="3" t="s">
        <v>145</v>
      </c>
      <c r="F751" s="3" t="s">
        <v>176</v>
      </c>
      <c r="G751" s="3" t="s">
        <v>177</v>
      </c>
      <c r="H751" s="3" t="s">
        <v>116</v>
      </c>
      <c r="I751" s="3" t="s">
        <v>148</v>
      </c>
      <c r="J751" s="3" t="s">
        <v>149</v>
      </c>
      <c r="K751" s="3" t="s">
        <v>33</v>
      </c>
      <c r="L751" s="3" t="s">
        <v>51</v>
      </c>
      <c r="M751" s="3" t="s">
        <v>178</v>
      </c>
      <c r="N751" s="3" t="s">
        <v>179</v>
      </c>
      <c r="O751" s="3" t="s">
        <v>103</v>
      </c>
      <c r="P751" s="3" t="s">
        <v>104</v>
      </c>
      <c r="Q751" s="3" t="s">
        <v>39</v>
      </c>
      <c r="R751" s="3" t="s">
        <v>40</v>
      </c>
      <c r="S751" s="55">
        <v>675.8</v>
      </c>
      <c r="T751" s="55">
        <v>199.28100000000001</v>
      </c>
      <c r="U751" s="55">
        <v>65.540999999999997</v>
      </c>
      <c r="V751" s="55">
        <v>476.51900000000001</v>
      </c>
      <c r="W751" s="3">
        <v>29</v>
      </c>
    </row>
    <row r="752" spans="1:23" x14ac:dyDescent="0.35">
      <c r="A752" s="3" t="s">
        <v>458</v>
      </c>
      <c r="B752" s="3" t="s">
        <v>459</v>
      </c>
      <c r="C752" s="3" t="s">
        <v>473</v>
      </c>
      <c r="D752" s="3" t="s">
        <v>175</v>
      </c>
      <c r="E752" s="3" t="s">
        <v>145</v>
      </c>
      <c r="F752" s="3" t="s">
        <v>176</v>
      </c>
      <c r="G752" s="3" t="s">
        <v>177</v>
      </c>
      <c r="H752" s="3" t="s">
        <v>116</v>
      </c>
      <c r="I752" s="3" t="s">
        <v>148</v>
      </c>
      <c r="J752" s="3" t="s">
        <v>149</v>
      </c>
      <c r="K752" s="3" t="s">
        <v>33</v>
      </c>
      <c r="L752" s="3" t="s">
        <v>51</v>
      </c>
      <c r="M752" s="3" t="s">
        <v>474</v>
      </c>
      <c r="N752" s="3" t="s">
        <v>475</v>
      </c>
      <c r="O752" s="3" t="s">
        <v>37</v>
      </c>
      <c r="P752" s="3" t="s">
        <v>38</v>
      </c>
      <c r="Q752" s="3" t="s">
        <v>39</v>
      </c>
      <c r="R752" s="3" t="s">
        <v>40</v>
      </c>
      <c r="S752" s="55">
        <v>3157.5</v>
      </c>
      <c r="T752" s="55">
        <v>0</v>
      </c>
      <c r="U752" s="55">
        <v>0</v>
      </c>
      <c r="V752" s="55">
        <v>3157.5</v>
      </c>
      <c r="W752" s="3">
        <v>0</v>
      </c>
    </row>
    <row r="753" spans="1:23" x14ac:dyDescent="0.35">
      <c r="A753" s="3" t="s">
        <v>458</v>
      </c>
      <c r="B753" s="3" t="s">
        <v>459</v>
      </c>
      <c r="C753" s="3" t="s">
        <v>185</v>
      </c>
      <c r="D753" s="3" t="s">
        <v>186</v>
      </c>
      <c r="E753" s="3" t="s">
        <v>187</v>
      </c>
      <c r="F753" s="3" t="s">
        <v>146</v>
      </c>
      <c r="G753" s="3" t="s">
        <v>188</v>
      </c>
      <c r="H753" s="3" t="s">
        <v>189</v>
      </c>
      <c r="I753" s="3" t="s">
        <v>190</v>
      </c>
      <c r="J753" s="3" t="s">
        <v>191</v>
      </c>
      <c r="K753" s="3" t="s">
        <v>33</v>
      </c>
      <c r="L753" s="3" t="s">
        <v>51</v>
      </c>
      <c r="M753" s="3" t="s">
        <v>192</v>
      </c>
      <c r="N753" s="3" t="s">
        <v>193</v>
      </c>
      <c r="O753" s="3" t="s">
        <v>108</v>
      </c>
      <c r="P753" s="3" t="s">
        <v>109</v>
      </c>
      <c r="Q753" s="3" t="s">
        <v>39</v>
      </c>
      <c r="R753" s="3" t="s">
        <v>40</v>
      </c>
      <c r="S753" s="55">
        <v>4988386</v>
      </c>
      <c r="T753" s="55">
        <v>1428500.2925</v>
      </c>
      <c r="U753" s="55">
        <v>392120.25540000002</v>
      </c>
      <c r="V753" s="55">
        <v>3559885.7075</v>
      </c>
      <c r="W753" s="3">
        <v>29</v>
      </c>
    </row>
    <row r="754" spans="1:23" x14ac:dyDescent="0.35">
      <c r="A754" s="3" t="s">
        <v>458</v>
      </c>
      <c r="B754" s="3" t="s">
        <v>459</v>
      </c>
      <c r="C754" s="3" t="s">
        <v>508</v>
      </c>
      <c r="D754" s="3" t="s">
        <v>186</v>
      </c>
      <c r="E754" s="3" t="s">
        <v>187</v>
      </c>
      <c r="F754" s="3" t="s">
        <v>146</v>
      </c>
      <c r="G754" s="3" t="s">
        <v>188</v>
      </c>
      <c r="H754" s="3" t="s">
        <v>189</v>
      </c>
      <c r="I754" s="3" t="s">
        <v>190</v>
      </c>
      <c r="J754" s="3" t="s">
        <v>191</v>
      </c>
      <c r="K754" s="3" t="s">
        <v>33</v>
      </c>
      <c r="L754" s="3" t="s">
        <v>51</v>
      </c>
      <c r="M754" s="3" t="s">
        <v>227</v>
      </c>
      <c r="N754" s="3" t="s">
        <v>228</v>
      </c>
      <c r="O754" s="3" t="s">
        <v>197</v>
      </c>
      <c r="P754" s="3" t="s">
        <v>198</v>
      </c>
      <c r="Q754" s="3" t="s">
        <v>39</v>
      </c>
      <c r="R754" s="3" t="s">
        <v>40</v>
      </c>
      <c r="S754" s="55">
        <v>29473.1</v>
      </c>
      <c r="T754" s="55">
        <v>0</v>
      </c>
      <c r="U754" s="55">
        <v>0</v>
      </c>
      <c r="V754" s="55">
        <v>29473.1</v>
      </c>
      <c r="W754" s="3">
        <v>0</v>
      </c>
    </row>
    <row r="755" spans="1:23" x14ac:dyDescent="0.35">
      <c r="A755" s="3" t="s">
        <v>458</v>
      </c>
      <c r="B755" s="3" t="s">
        <v>459</v>
      </c>
      <c r="C755" s="3" t="s">
        <v>194</v>
      </c>
      <c r="D755" s="3" t="s">
        <v>186</v>
      </c>
      <c r="E755" s="3" t="s">
        <v>187</v>
      </c>
      <c r="F755" s="3" t="s">
        <v>146</v>
      </c>
      <c r="G755" s="3" t="s">
        <v>188</v>
      </c>
      <c r="H755" s="3" t="s">
        <v>189</v>
      </c>
      <c r="I755" s="3" t="s">
        <v>190</v>
      </c>
      <c r="J755" s="3" t="s">
        <v>191</v>
      </c>
      <c r="K755" s="3" t="s">
        <v>33</v>
      </c>
      <c r="L755" s="3" t="s">
        <v>51</v>
      </c>
      <c r="M755" s="3" t="s">
        <v>195</v>
      </c>
      <c r="N755" s="3" t="s">
        <v>509</v>
      </c>
      <c r="O755" s="3" t="s">
        <v>197</v>
      </c>
      <c r="P755" s="3" t="s">
        <v>198</v>
      </c>
      <c r="Q755" s="3" t="s">
        <v>39</v>
      </c>
      <c r="R755" s="3" t="s">
        <v>40</v>
      </c>
      <c r="S755" s="55">
        <v>34664.6</v>
      </c>
      <c r="T755" s="55">
        <v>4340.3329000000003</v>
      </c>
      <c r="U755" s="55">
        <v>4340.3329000000003</v>
      </c>
      <c r="V755" s="55">
        <v>30324.267100000001</v>
      </c>
      <c r="W755" s="3">
        <v>13</v>
      </c>
    </row>
    <row r="756" spans="1:23" x14ac:dyDescent="0.35">
      <c r="A756" s="3" t="s">
        <v>458</v>
      </c>
      <c r="B756" s="3" t="s">
        <v>459</v>
      </c>
      <c r="C756" s="3" t="s">
        <v>510</v>
      </c>
      <c r="D756" s="3" t="s">
        <v>200</v>
      </c>
      <c r="E756" s="3" t="s">
        <v>187</v>
      </c>
      <c r="F756" s="3" t="s">
        <v>189</v>
      </c>
      <c r="G756" s="3" t="s">
        <v>201</v>
      </c>
      <c r="H756" s="3" t="s">
        <v>189</v>
      </c>
      <c r="I756" s="3" t="s">
        <v>190</v>
      </c>
      <c r="J756" s="3" t="s">
        <v>202</v>
      </c>
      <c r="K756" s="3" t="s">
        <v>23</v>
      </c>
      <c r="L756" s="3" t="s">
        <v>203</v>
      </c>
      <c r="M756" s="3" t="s">
        <v>511</v>
      </c>
      <c r="N756" s="3" t="s">
        <v>205</v>
      </c>
      <c r="O756" s="3" t="s">
        <v>197</v>
      </c>
      <c r="P756" s="3" t="s">
        <v>198</v>
      </c>
      <c r="Q756" s="3" t="s">
        <v>39</v>
      </c>
      <c r="R756" s="3" t="s">
        <v>40</v>
      </c>
      <c r="S756" s="55">
        <v>21148</v>
      </c>
      <c r="T756" s="55">
        <v>7049.1823000000004</v>
      </c>
      <c r="U756" s="55">
        <v>1762.2418</v>
      </c>
      <c r="V756" s="55">
        <v>14098.8177</v>
      </c>
      <c r="W756" s="3">
        <v>33</v>
      </c>
    </row>
    <row r="757" spans="1:23" x14ac:dyDescent="0.35">
      <c r="A757" s="3" t="s">
        <v>458</v>
      </c>
      <c r="B757" s="3" t="s">
        <v>459</v>
      </c>
      <c r="C757" s="3" t="s">
        <v>512</v>
      </c>
      <c r="D757" s="3" t="s">
        <v>200</v>
      </c>
      <c r="E757" s="3" t="s">
        <v>187</v>
      </c>
      <c r="F757" s="3" t="s">
        <v>189</v>
      </c>
      <c r="G757" s="3" t="s">
        <v>201</v>
      </c>
      <c r="H757" s="3" t="s">
        <v>189</v>
      </c>
      <c r="I757" s="3" t="s">
        <v>190</v>
      </c>
      <c r="J757" s="3" t="s">
        <v>202</v>
      </c>
      <c r="K757" s="3" t="s">
        <v>23</v>
      </c>
      <c r="L757" s="3" t="s">
        <v>203</v>
      </c>
      <c r="M757" s="3" t="s">
        <v>513</v>
      </c>
      <c r="N757" s="3" t="s">
        <v>514</v>
      </c>
      <c r="O757" s="3" t="s">
        <v>197</v>
      </c>
      <c r="P757" s="3" t="s">
        <v>198</v>
      </c>
      <c r="Q757" s="3" t="s">
        <v>39</v>
      </c>
      <c r="R757" s="3" t="s">
        <v>40</v>
      </c>
      <c r="S757" s="55">
        <v>1977.2</v>
      </c>
      <c r="T757" s="55">
        <v>1977.1566</v>
      </c>
      <c r="U757" s="55">
        <v>1977.1566</v>
      </c>
      <c r="V757" s="55">
        <v>4.3400000000000001E-2</v>
      </c>
      <c r="W757" s="3">
        <v>100</v>
      </c>
    </row>
    <row r="758" spans="1:23" x14ac:dyDescent="0.35">
      <c r="A758" s="3" t="s">
        <v>458</v>
      </c>
      <c r="B758" s="3" t="s">
        <v>459</v>
      </c>
      <c r="C758" s="3" t="s">
        <v>209</v>
      </c>
      <c r="D758" s="3" t="s">
        <v>200</v>
      </c>
      <c r="E758" s="3" t="s">
        <v>187</v>
      </c>
      <c r="F758" s="3" t="s">
        <v>189</v>
      </c>
      <c r="G758" s="3" t="s">
        <v>201</v>
      </c>
      <c r="H758" s="3" t="s">
        <v>189</v>
      </c>
      <c r="I758" s="3" t="s">
        <v>190</v>
      </c>
      <c r="J758" s="3" t="s">
        <v>191</v>
      </c>
      <c r="K758" s="3" t="s">
        <v>33</v>
      </c>
      <c r="L758" s="3" t="s">
        <v>51</v>
      </c>
      <c r="M758" s="3" t="s">
        <v>210</v>
      </c>
      <c r="N758" s="3" t="s">
        <v>211</v>
      </c>
      <c r="O758" s="3" t="s">
        <v>108</v>
      </c>
      <c r="P758" s="3" t="s">
        <v>109</v>
      </c>
      <c r="Q758" s="3" t="s">
        <v>39</v>
      </c>
      <c r="R758" s="3" t="s">
        <v>40</v>
      </c>
      <c r="S758" s="55">
        <v>4853107.2</v>
      </c>
      <c r="T758" s="55">
        <v>1490802.5517</v>
      </c>
      <c r="U758" s="55">
        <v>391052.06630000001</v>
      </c>
      <c r="V758" s="55">
        <v>3362304.6483</v>
      </c>
      <c r="W758" s="3">
        <v>31</v>
      </c>
    </row>
    <row r="759" spans="1:23" x14ac:dyDescent="0.35">
      <c r="A759" s="3" t="s">
        <v>458</v>
      </c>
      <c r="B759" s="3" t="s">
        <v>459</v>
      </c>
      <c r="C759" s="3" t="s">
        <v>212</v>
      </c>
      <c r="D759" s="3" t="s">
        <v>200</v>
      </c>
      <c r="E759" s="3" t="s">
        <v>187</v>
      </c>
      <c r="F759" s="3" t="s">
        <v>189</v>
      </c>
      <c r="G759" s="3" t="s">
        <v>201</v>
      </c>
      <c r="H759" s="3" t="s">
        <v>189</v>
      </c>
      <c r="I759" s="3" t="s">
        <v>190</v>
      </c>
      <c r="J759" s="3" t="s">
        <v>191</v>
      </c>
      <c r="K759" s="3" t="s">
        <v>33</v>
      </c>
      <c r="L759" s="3" t="s">
        <v>51</v>
      </c>
      <c r="M759" s="3" t="s">
        <v>213</v>
      </c>
      <c r="N759" s="3" t="s">
        <v>214</v>
      </c>
      <c r="O759" s="3" t="s">
        <v>108</v>
      </c>
      <c r="P759" s="3" t="s">
        <v>109</v>
      </c>
      <c r="Q759" s="3" t="s">
        <v>39</v>
      </c>
      <c r="R759" s="3" t="s">
        <v>40</v>
      </c>
      <c r="S759" s="55">
        <v>168859</v>
      </c>
      <c r="T759" s="55">
        <v>43732.648500000003</v>
      </c>
      <c r="U759" s="55">
        <v>13674.251700000001</v>
      </c>
      <c r="V759" s="55">
        <v>125126.3515</v>
      </c>
      <c r="W759" s="3">
        <v>26</v>
      </c>
    </row>
    <row r="760" spans="1:23" x14ac:dyDescent="0.35">
      <c r="A760" s="3" t="s">
        <v>458</v>
      </c>
      <c r="B760" s="3" t="s">
        <v>459</v>
      </c>
      <c r="C760" s="3" t="s">
        <v>215</v>
      </c>
      <c r="D760" s="3" t="s">
        <v>200</v>
      </c>
      <c r="E760" s="3" t="s">
        <v>187</v>
      </c>
      <c r="F760" s="3" t="s">
        <v>189</v>
      </c>
      <c r="G760" s="3" t="s">
        <v>201</v>
      </c>
      <c r="H760" s="3" t="s">
        <v>189</v>
      </c>
      <c r="I760" s="3" t="s">
        <v>190</v>
      </c>
      <c r="J760" s="3" t="s">
        <v>191</v>
      </c>
      <c r="K760" s="3" t="s">
        <v>33</v>
      </c>
      <c r="L760" s="3" t="s">
        <v>51</v>
      </c>
      <c r="M760" s="3" t="s">
        <v>216</v>
      </c>
      <c r="N760" s="3" t="s">
        <v>217</v>
      </c>
      <c r="O760" s="3" t="s">
        <v>108</v>
      </c>
      <c r="P760" s="3" t="s">
        <v>109</v>
      </c>
      <c r="Q760" s="3" t="s">
        <v>39</v>
      </c>
      <c r="R760" s="3" t="s">
        <v>40</v>
      </c>
      <c r="S760" s="55">
        <v>81930.899999999994</v>
      </c>
      <c r="T760" s="55">
        <v>25402.804100000001</v>
      </c>
      <c r="U760" s="55">
        <v>7200.0519000000004</v>
      </c>
      <c r="V760" s="55">
        <v>56528.0959</v>
      </c>
      <c r="W760" s="3">
        <v>31</v>
      </c>
    </row>
    <row r="761" spans="1:23" x14ac:dyDescent="0.35">
      <c r="A761" s="3" t="s">
        <v>458</v>
      </c>
      <c r="B761" s="3" t="s">
        <v>459</v>
      </c>
      <c r="C761" s="3" t="s">
        <v>218</v>
      </c>
      <c r="D761" s="3" t="s">
        <v>200</v>
      </c>
      <c r="E761" s="3" t="s">
        <v>187</v>
      </c>
      <c r="F761" s="3" t="s">
        <v>189</v>
      </c>
      <c r="G761" s="3" t="s">
        <v>201</v>
      </c>
      <c r="H761" s="3" t="s">
        <v>189</v>
      </c>
      <c r="I761" s="3" t="s">
        <v>190</v>
      </c>
      <c r="J761" s="3" t="s">
        <v>191</v>
      </c>
      <c r="K761" s="3" t="s">
        <v>33</v>
      </c>
      <c r="L761" s="3" t="s">
        <v>51</v>
      </c>
      <c r="M761" s="3" t="s">
        <v>219</v>
      </c>
      <c r="N761" s="3" t="s">
        <v>220</v>
      </c>
      <c r="O761" s="3" t="s">
        <v>221</v>
      </c>
      <c r="P761" s="3" t="s">
        <v>222</v>
      </c>
      <c r="Q761" s="3" t="s">
        <v>39</v>
      </c>
      <c r="R761" s="3" t="s">
        <v>40</v>
      </c>
      <c r="S761" s="55">
        <v>1102.9000000000001</v>
      </c>
      <c r="T761" s="55">
        <v>0</v>
      </c>
      <c r="U761" s="55">
        <v>0</v>
      </c>
      <c r="V761" s="55">
        <v>1102.9000000000001</v>
      </c>
      <c r="W761" s="3">
        <v>0</v>
      </c>
    </row>
    <row r="762" spans="1:23" x14ac:dyDescent="0.35">
      <c r="A762" s="3" t="s">
        <v>458</v>
      </c>
      <c r="B762" s="3" t="s">
        <v>459</v>
      </c>
      <c r="C762" s="3" t="s">
        <v>223</v>
      </c>
      <c r="D762" s="3" t="s">
        <v>200</v>
      </c>
      <c r="E762" s="3" t="s">
        <v>187</v>
      </c>
      <c r="F762" s="3" t="s">
        <v>189</v>
      </c>
      <c r="G762" s="3" t="s">
        <v>201</v>
      </c>
      <c r="H762" s="3" t="s">
        <v>189</v>
      </c>
      <c r="I762" s="3" t="s">
        <v>190</v>
      </c>
      <c r="J762" s="3" t="s">
        <v>191</v>
      </c>
      <c r="K762" s="3" t="s">
        <v>33</v>
      </c>
      <c r="L762" s="3" t="s">
        <v>51</v>
      </c>
      <c r="M762" s="3" t="s">
        <v>224</v>
      </c>
      <c r="N762" s="3" t="s">
        <v>564</v>
      </c>
      <c r="O762" s="3" t="s">
        <v>197</v>
      </c>
      <c r="P762" s="3" t="s">
        <v>198</v>
      </c>
      <c r="Q762" s="3" t="s">
        <v>39</v>
      </c>
      <c r="R762" s="3" t="s">
        <v>40</v>
      </c>
      <c r="S762" s="55">
        <v>55795.7</v>
      </c>
      <c r="T762" s="55">
        <v>0</v>
      </c>
      <c r="U762" s="55">
        <v>0</v>
      </c>
      <c r="V762" s="55">
        <v>55795.7</v>
      </c>
      <c r="W762" s="3">
        <v>0</v>
      </c>
    </row>
    <row r="763" spans="1:23" x14ac:dyDescent="0.35">
      <c r="A763" s="3" t="s">
        <v>458</v>
      </c>
      <c r="B763" s="3" t="s">
        <v>459</v>
      </c>
      <c r="C763" s="3" t="s">
        <v>432</v>
      </c>
      <c r="D763" s="3" t="s">
        <v>200</v>
      </c>
      <c r="E763" s="3" t="s">
        <v>187</v>
      </c>
      <c r="F763" s="3" t="s">
        <v>189</v>
      </c>
      <c r="G763" s="3" t="s">
        <v>201</v>
      </c>
      <c r="H763" s="3" t="s">
        <v>189</v>
      </c>
      <c r="I763" s="3" t="s">
        <v>190</v>
      </c>
      <c r="J763" s="3" t="s">
        <v>191</v>
      </c>
      <c r="K763" s="3" t="s">
        <v>33</v>
      </c>
      <c r="L763" s="3" t="s">
        <v>51</v>
      </c>
      <c r="M763" s="3" t="s">
        <v>427</v>
      </c>
      <c r="N763" s="3" t="s">
        <v>565</v>
      </c>
      <c r="O763" s="3" t="s">
        <v>197</v>
      </c>
      <c r="P763" s="3" t="s">
        <v>198</v>
      </c>
      <c r="Q763" s="3" t="s">
        <v>39</v>
      </c>
      <c r="R763" s="3" t="s">
        <v>40</v>
      </c>
      <c r="S763" s="55">
        <v>20000</v>
      </c>
      <c r="T763" s="55">
        <v>0</v>
      </c>
      <c r="U763" s="55">
        <v>0</v>
      </c>
      <c r="V763" s="55">
        <v>20000</v>
      </c>
      <c r="W763" s="3">
        <v>0</v>
      </c>
    </row>
    <row r="764" spans="1:23" x14ac:dyDescent="0.35">
      <c r="A764" s="3" t="s">
        <v>458</v>
      </c>
      <c r="B764" s="3" t="s">
        <v>459</v>
      </c>
      <c r="C764" s="3" t="s">
        <v>515</v>
      </c>
      <c r="D764" s="3" t="s">
        <v>200</v>
      </c>
      <c r="E764" s="3" t="s">
        <v>187</v>
      </c>
      <c r="F764" s="3" t="s">
        <v>189</v>
      </c>
      <c r="G764" s="3" t="s">
        <v>201</v>
      </c>
      <c r="H764" s="3" t="s">
        <v>189</v>
      </c>
      <c r="I764" s="3" t="s">
        <v>190</v>
      </c>
      <c r="J764" s="3" t="s">
        <v>191</v>
      </c>
      <c r="K764" s="3" t="s">
        <v>33</v>
      </c>
      <c r="L764" s="3" t="s">
        <v>51</v>
      </c>
      <c r="M764" s="3" t="s">
        <v>516</v>
      </c>
      <c r="N764" s="3" t="s">
        <v>517</v>
      </c>
      <c r="O764" s="3" t="s">
        <v>197</v>
      </c>
      <c r="P764" s="3" t="s">
        <v>198</v>
      </c>
      <c r="Q764" s="3" t="s">
        <v>39</v>
      </c>
      <c r="R764" s="3" t="s">
        <v>40</v>
      </c>
      <c r="S764" s="55">
        <v>8490.7000000000007</v>
      </c>
      <c r="T764" s="55">
        <v>0</v>
      </c>
      <c r="U764" s="55">
        <v>0</v>
      </c>
      <c r="V764" s="55">
        <v>8490.7000000000007</v>
      </c>
      <c r="W764" s="3">
        <v>0</v>
      </c>
    </row>
    <row r="765" spans="1:23" x14ac:dyDescent="0.35">
      <c r="A765" s="3" t="s">
        <v>458</v>
      </c>
      <c r="B765" s="3" t="s">
        <v>459</v>
      </c>
      <c r="C765" s="3" t="s">
        <v>226</v>
      </c>
      <c r="D765" s="3" t="s">
        <v>200</v>
      </c>
      <c r="E765" s="3" t="s">
        <v>187</v>
      </c>
      <c r="F765" s="3" t="s">
        <v>189</v>
      </c>
      <c r="G765" s="3" t="s">
        <v>201</v>
      </c>
      <c r="H765" s="3" t="s">
        <v>189</v>
      </c>
      <c r="I765" s="3" t="s">
        <v>190</v>
      </c>
      <c r="J765" s="3" t="s">
        <v>191</v>
      </c>
      <c r="K765" s="3" t="s">
        <v>33</v>
      </c>
      <c r="L765" s="3" t="s">
        <v>51</v>
      </c>
      <c r="M765" s="3" t="s">
        <v>227</v>
      </c>
      <c r="N765" s="3" t="s">
        <v>228</v>
      </c>
      <c r="O765" s="3" t="s">
        <v>197</v>
      </c>
      <c r="P765" s="3" t="s">
        <v>198</v>
      </c>
      <c r="Q765" s="3" t="s">
        <v>39</v>
      </c>
      <c r="R765" s="3" t="s">
        <v>40</v>
      </c>
      <c r="S765" s="55">
        <v>127820.2</v>
      </c>
      <c r="T765" s="55">
        <v>0</v>
      </c>
      <c r="U765" s="55">
        <v>0</v>
      </c>
      <c r="V765" s="55">
        <v>127820.2</v>
      </c>
      <c r="W765" s="3">
        <v>0</v>
      </c>
    </row>
    <row r="766" spans="1:23" x14ac:dyDescent="0.35">
      <c r="A766" s="3" t="s">
        <v>458</v>
      </c>
      <c r="B766" s="3" t="s">
        <v>459</v>
      </c>
      <c r="C766" s="3" t="s">
        <v>229</v>
      </c>
      <c r="D766" s="3" t="s">
        <v>200</v>
      </c>
      <c r="E766" s="3" t="s">
        <v>187</v>
      </c>
      <c r="F766" s="3" t="s">
        <v>189</v>
      </c>
      <c r="G766" s="3" t="s">
        <v>201</v>
      </c>
      <c r="H766" s="3" t="s">
        <v>189</v>
      </c>
      <c r="I766" s="3" t="s">
        <v>190</v>
      </c>
      <c r="J766" s="3" t="s">
        <v>191</v>
      </c>
      <c r="K766" s="3" t="s">
        <v>33</v>
      </c>
      <c r="L766" s="3" t="s">
        <v>51</v>
      </c>
      <c r="M766" s="3" t="s">
        <v>195</v>
      </c>
      <c r="N766" s="3" t="s">
        <v>509</v>
      </c>
      <c r="O766" s="3" t="s">
        <v>197</v>
      </c>
      <c r="P766" s="3" t="s">
        <v>198</v>
      </c>
      <c r="Q766" s="3" t="s">
        <v>39</v>
      </c>
      <c r="R766" s="3" t="s">
        <v>40</v>
      </c>
      <c r="S766" s="55">
        <v>28422.3</v>
      </c>
      <c r="T766" s="55">
        <v>2063.5178000000001</v>
      </c>
      <c r="U766" s="55">
        <v>2063.5178000000001</v>
      </c>
      <c r="V766" s="55">
        <v>26358.782200000001</v>
      </c>
      <c r="W766" s="3">
        <v>7</v>
      </c>
    </row>
    <row r="767" spans="1:23" x14ac:dyDescent="0.35">
      <c r="A767" s="3" t="s">
        <v>458</v>
      </c>
      <c r="B767" s="3" t="s">
        <v>459</v>
      </c>
      <c r="C767" s="3" t="s">
        <v>433</v>
      </c>
      <c r="D767" s="3" t="s">
        <v>200</v>
      </c>
      <c r="E767" s="3" t="s">
        <v>187</v>
      </c>
      <c r="F767" s="3" t="s">
        <v>189</v>
      </c>
      <c r="G767" s="3" t="s">
        <v>201</v>
      </c>
      <c r="H767" s="3" t="s">
        <v>189</v>
      </c>
      <c r="I767" s="3" t="s">
        <v>190</v>
      </c>
      <c r="J767" s="3" t="s">
        <v>191</v>
      </c>
      <c r="K767" s="3" t="s">
        <v>33</v>
      </c>
      <c r="L767" s="3" t="s">
        <v>51</v>
      </c>
      <c r="M767" s="3" t="s">
        <v>434</v>
      </c>
      <c r="N767" s="3" t="s">
        <v>435</v>
      </c>
      <c r="O767" s="3" t="s">
        <v>197</v>
      </c>
      <c r="P767" s="3" t="s">
        <v>198</v>
      </c>
      <c r="Q767" s="3" t="s">
        <v>39</v>
      </c>
      <c r="R767" s="3" t="s">
        <v>40</v>
      </c>
      <c r="S767" s="55">
        <v>2923.6</v>
      </c>
      <c r="T767" s="55">
        <v>0</v>
      </c>
      <c r="U767" s="55">
        <v>0</v>
      </c>
      <c r="V767" s="55">
        <v>2923.6</v>
      </c>
      <c r="W767" s="3">
        <v>0</v>
      </c>
    </row>
    <row r="768" spans="1:23" x14ac:dyDescent="0.35">
      <c r="A768" s="3" t="s">
        <v>458</v>
      </c>
      <c r="B768" s="3" t="s">
        <v>459</v>
      </c>
      <c r="C768" s="3" t="s">
        <v>518</v>
      </c>
      <c r="D768" s="3" t="s">
        <v>200</v>
      </c>
      <c r="E768" s="3" t="s">
        <v>187</v>
      </c>
      <c r="F768" s="3" t="s">
        <v>189</v>
      </c>
      <c r="G768" s="3" t="s">
        <v>201</v>
      </c>
      <c r="H768" s="3" t="s">
        <v>189</v>
      </c>
      <c r="I768" s="3" t="s">
        <v>190</v>
      </c>
      <c r="J768" s="3" t="s">
        <v>191</v>
      </c>
      <c r="K768" s="3" t="s">
        <v>33</v>
      </c>
      <c r="L768" s="3" t="s">
        <v>51</v>
      </c>
      <c r="M768" s="3" t="s">
        <v>519</v>
      </c>
      <c r="N768" s="3" t="s">
        <v>208</v>
      </c>
      <c r="O768" s="3" t="s">
        <v>197</v>
      </c>
      <c r="P768" s="3" t="s">
        <v>198</v>
      </c>
      <c r="Q768" s="3" t="s">
        <v>39</v>
      </c>
      <c r="R768" s="3" t="s">
        <v>40</v>
      </c>
      <c r="S768" s="55">
        <v>104515.5</v>
      </c>
      <c r="T768" s="55">
        <v>33459.839999999997</v>
      </c>
      <c r="U768" s="55">
        <v>8020.32</v>
      </c>
      <c r="V768" s="55">
        <v>71055.66</v>
      </c>
      <c r="W768" s="3">
        <v>32</v>
      </c>
    </row>
    <row r="769" spans="1:23" x14ac:dyDescent="0.35">
      <c r="A769" s="3" t="s">
        <v>458</v>
      </c>
      <c r="B769" s="3" t="s">
        <v>459</v>
      </c>
      <c r="C769" s="3" t="s">
        <v>230</v>
      </c>
      <c r="D769" s="3" t="s">
        <v>200</v>
      </c>
      <c r="E769" s="3" t="s">
        <v>187</v>
      </c>
      <c r="F769" s="3" t="s">
        <v>189</v>
      </c>
      <c r="G769" s="3" t="s">
        <v>201</v>
      </c>
      <c r="H769" s="3" t="s">
        <v>28</v>
      </c>
      <c r="I769" s="3" t="s">
        <v>231</v>
      </c>
      <c r="J769" s="3" t="s">
        <v>232</v>
      </c>
      <c r="K769" s="3" t="s">
        <v>33</v>
      </c>
      <c r="L769" s="3" t="s">
        <v>51</v>
      </c>
      <c r="M769" s="3" t="s">
        <v>233</v>
      </c>
      <c r="N769" s="3" t="s">
        <v>234</v>
      </c>
      <c r="O769" s="3" t="s">
        <v>197</v>
      </c>
      <c r="P769" s="3" t="s">
        <v>198</v>
      </c>
      <c r="Q769" s="3" t="s">
        <v>39</v>
      </c>
      <c r="R769" s="3" t="s">
        <v>40</v>
      </c>
      <c r="S769" s="55">
        <v>261384</v>
      </c>
      <c r="T769" s="55">
        <v>108781.6778</v>
      </c>
      <c r="U769" s="55">
        <v>25437.467400000001</v>
      </c>
      <c r="V769" s="55">
        <v>152602.3222</v>
      </c>
      <c r="W769" s="3">
        <v>42</v>
      </c>
    </row>
    <row r="770" spans="1:23" x14ac:dyDescent="0.35">
      <c r="A770" s="3" t="s">
        <v>458</v>
      </c>
      <c r="B770" s="3" t="s">
        <v>459</v>
      </c>
      <c r="C770" s="3" t="s">
        <v>235</v>
      </c>
      <c r="D770" s="3" t="s">
        <v>200</v>
      </c>
      <c r="E770" s="3" t="s">
        <v>187</v>
      </c>
      <c r="F770" s="3" t="s">
        <v>189</v>
      </c>
      <c r="G770" s="3" t="s">
        <v>201</v>
      </c>
      <c r="H770" s="3" t="s">
        <v>28</v>
      </c>
      <c r="I770" s="3" t="s">
        <v>231</v>
      </c>
      <c r="J770" s="3" t="s">
        <v>232</v>
      </c>
      <c r="K770" s="3" t="s">
        <v>33</v>
      </c>
      <c r="L770" s="3" t="s">
        <v>51</v>
      </c>
      <c r="M770" s="3" t="s">
        <v>236</v>
      </c>
      <c r="N770" s="3" t="s">
        <v>237</v>
      </c>
      <c r="O770" s="3" t="s">
        <v>197</v>
      </c>
      <c r="P770" s="3" t="s">
        <v>198</v>
      </c>
      <c r="Q770" s="3" t="s">
        <v>39</v>
      </c>
      <c r="R770" s="3" t="s">
        <v>40</v>
      </c>
      <c r="S770" s="55">
        <v>179288</v>
      </c>
      <c r="T770" s="55">
        <v>69170.770900000003</v>
      </c>
      <c r="U770" s="55">
        <v>15384.6157</v>
      </c>
      <c r="V770" s="55">
        <v>110117.2291</v>
      </c>
      <c r="W770" s="3">
        <v>39</v>
      </c>
    </row>
    <row r="771" spans="1:23" x14ac:dyDescent="0.35">
      <c r="A771" s="3" t="s">
        <v>458</v>
      </c>
      <c r="B771" s="3" t="s">
        <v>459</v>
      </c>
      <c r="C771" s="3" t="s">
        <v>238</v>
      </c>
      <c r="D771" s="3" t="s">
        <v>239</v>
      </c>
      <c r="E771" s="3" t="s">
        <v>187</v>
      </c>
      <c r="F771" s="3" t="s">
        <v>28</v>
      </c>
      <c r="G771" s="3" t="s">
        <v>240</v>
      </c>
      <c r="H771" s="3" t="s">
        <v>189</v>
      </c>
      <c r="I771" s="3" t="s">
        <v>190</v>
      </c>
      <c r="J771" s="3" t="s">
        <v>191</v>
      </c>
      <c r="K771" s="3" t="s">
        <v>33</v>
      </c>
      <c r="L771" s="3" t="s">
        <v>51</v>
      </c>
      <c r="M771" s="3" t="s">
        <v>241</v>
      </c>
      <c r="N771" s="3" t="s">
        <v>242</v>
      </c>
      <c r="O771" s="3" t="s">
        <v>108</v>
      </c>
      <c r="P771" s="3" t="s">
        <v>109</v>
      </c>
      <c r="Q771" s="3" t="s">
        <v>39</v>
      </c>
      <c r="R771" s="3" t="s">
        <v>40</v>
      </c>
      <c r="S771" s="55">
        <v>253526.6</v>
      </c>
      <c r="T771" s="55">
        <v>80264.385299999994</v>
      </c>
      <c r="U771" s="55">
        <v>20825.802599999999</v>
      </c>
      <c r="V771" s="55">
        <v>173262.21470000001</v>
      </c>
      <c r="W771" s="3">
        <v>32</v>
      </c>
    </row>
    <row r="772" spans="1:23" x14ac:dyDescent="0.35">
      <c r="A772" s="3" t="s">
        <v>458</v>
      </c>
      <c r="B772" s="3" t="s">
        <v>459</v>
      </c>
      <c r="C772" s="3" t="s">
        <v>520</v>
      </c>
      <c r="D772" s="3" t="s">
        <v>239</v>
      </c>
      <c r="E772" s="3" t="s">
        <v>187</v>
      </c>
      <c r="F772" s="3" t="s">
        <v>28</v>
      </c>
      <c r="G772" s="3" t="s">
        <v>240</v>
      </c>
      <c r="H772" s="3" t="s">
        <v>189</v>
      </c>
      <c r="I772" s="3" t="s">
        <v>190</v>
      </c>
      <c r="J772" s="3" t="s">
        <v>191</v>
      </c>
      <c r="K772" s="3" t="s">
        <v>33</v>
      </c>
      <c r="L772" s="3" t="s">
        <v>51</v>
      </c>
      <c r="M772" s="3" t="s">
        <v>521</v>
      </c>
      <c r="N772" s="3" t="s">
        <v>522</v>
      </c>
      <c r="O772" s="3" t="s">
        <v>523</v>
      </c>
      <c r="P772" s="3" t="s">
        <v>524</v>
      </c>
      <c r="Q772" s="3" t="s">
        <v>39</v>
      </c>
      <c r="R772" s="3" t="s">
        <v>40</v>
      </c>
      <c r="S772" s="55">
        <v>100</v>
      </c>
      <c r="T772" s="55">
        <v>0</v>
      </c>
      <c r="U772" s="55">
        <v>0</v>
      </c>
      <c r="V772" s="55">
        <v>100</v>
      </c>
      <c r="W772" s="3">
        <v>0</v>
      </c>
    </row>
    <row r="773" spans="1:23" x14ac:dyDescent="0.35">
      <c r="A773" s="3" t="s">
        <v>458</v>
      </c>
      <c r="B773" s="3" t="s">
        <v>459</v>
      </c>
      <c r="C773" s="3" t="s">
        <v>525</v>
      </c>
      <c r="D773" s="3" t="s">
        <v>526</v>
      </c>
      <c r="E773" s="3" t="s">
        <v>187</v>
      </c>
      <c r="F773" s="3" t="s">
        <v>176</v>
      </c>
      <c r="G773" s="3" t="s">
        <v>527</v>
      </c>
      <c r="H773" s="3" t="s">
        <v>189</v>
      </c>
      <c r="I773" s="3" t="s">
        <v>190</v>
      </c>
      <c r="J773" s="3" t="s">
        <v>191</v>
      </c>
      <c r="K773" s="3" t="s">
        <v>33</v>
      </c>
      <c r="L773" s="3" t="s">
        <v>51</v>
      </c>
      <c r="M773" s="3" t="s">
        <v>528</v>
      </c>
      <c r="N773" s="3" t="s">
        <v>529</v>
      </c>
      <c r="O773" s="3" t="s">
        <v>197</v>
      </c>
      <c r="P773" s="3" t="s">
        <v>198</v>
      </c>
      <c r="Q773" s="3" t="s">
        <v>39</v>
      </c>
      <c r="R773" s="3" t="s">
        <v>40</v>
      </c>
      <c r="S773" s="55">
        <v>1003.3</v>
      </c>
      <c r="T773" s="55">
        <v>0</v>
      </c>
      <c r="U773" s="55">
        <v>0</v>
      </c>
      <c r="V773" s="55">
        <v>1003.3</v>
      </c>
      <c r="W773" s="3">
        <v>0</v>
      </c>
    </row>
    <row r="774" spans="1:23" x14ac:dyDescent="0.35">
      <c r="A774" s="3" t="s">
        <v>458</v>
      </c>
      <c r="B774" s="3" t="s">
        <v>459</v>
      </c>
      <c r="C774" s="3" t="s">
        <v>243</v>
      </c>
      <c r="D774" s="3" t="s">
        <v>244</v>
      </c>
      <c r="E774" s="3" t="s">
        <v>187</v>
      </c>
      <c r="F774" s="3" t="s">
        <v>245</v>
      </c>
      <c r="G774" s="3" t="s">
        <v>246</v>
      </c>
      <c r="H774" s="3" t="s">
        <v>66</v>
      </c>
      <c r="I774" s="3" t="s">
        <v>67</v>
      </c>
      <c r="J774" s="3" t="s">
        <v>68</v>
      </c>
      <c r="K774" s="3" t="s">
        <v>33</v>
      </c>
      <c r="L774" s="3" t="s">
        <v>51</v>
      </c>
      <c r="M774" s="3" t="s">
        <v>247</v>
      </c>
      <c r="N774" s="3" t="s">
        <v>248</v>
      </c>
      <c r="O774" s="3" t="s">
        <v>108</v>
      </c>
      <c r="P774" s="3" t="s">
        <v>109</v>
      </c>
      <c r="Q774" s="3" t="s">
        <v>39</v>
      </c>
      <c r="R774" s="3" t="s">
        <v>40</v>
      </c>
      <c r="S774" s="55">
        <v>224582.9</v>
      </c>
      <c r="T774" s="55">
        <v>51830.8433</v>
      </c>
      <c r="U774" s="55">
        <v>18145.890599999999</v>
      </c>
      <c r="V774" s="55">
        <v>172752.05669999999</v>
      </c>
      <c r="W774" s="3">
        <v>23</v>
      </c>
    </row>
    <row r="775" spans="1:23" x14ac:dyDescent="0.35">
      <c r="A775" s="3" t="s">
        <v>458</v>
      </c>
      <c r="B775" s="3" t="s">
        <v>459</v>
      </c>
      <c r="C775" s="3" t="s">
        <v>249</v>
      </c>
      <c r="D775" s="3" t="s">
        <v>244</v>
      </c>
      <c r="E775" s="3" t="s">
        <v>187</v>
      </c>
      <c r="F775" s="3" t="s">
        <v>245</v>
      </c>
      <c r="G775" s="3" t="s">
        <v>246</v>
      </c>
      <c r="H775" s="3" t="s">
        <v>66</v>
      </c>
      <c r="I775" s="3" t="s">
        <v>67</v>
      </c>
      <c r="J775" s="3" t="s">
        <v>68</v>
      </c>
      <c r="K775" s="3" t="s">
        <v>33</v>
      </c>
      <c r="L775" s="3" t="s">
        <v>51</v>
      </c>
      <c r="M775" s="3" t="s">
        <v>250</v>
      </c>
      <c r="N775" s="3" t="s">
        <v>251</v>
      </c>
      <c r="O775" s="3" t="s">
        <v>197</v>
      </c>
      <c r="P775" s="3" t="s">
        <v>198</v>
      </c>
      <c r="Q775" s="3" t="s">
        <v>39</v>
      </c>
      <c r="R775" s="3" t="s">
        <v>40</v>
      </c>
      <c r="S775" s="55">
        <v>9320.5</v>
      </c>
      <c r="T775" s="55">
        <v>0</v>
      </c>
      <c r="U775" s="55">
        <v>0</v>
      </c>
      <c r="V775" s="55">
        <v>9320.5</v>
      </c>
      <c r="W775" s="3">
        <v>0</v>
      </c>
    </row>
    <row r="776" spans="1:23" x14ac:dyDescent="0.35">
      <c r="A776" s="3" t="s">
        <v>458</v>
      </c>
      <c r="B776" s="3" t="s">
        <v>459</v>
      </c>
      <c r="C776" s="3" t="s">
        <v>252</v>
      </c>
      <c r="D776" s="3" t="s">
        <v>244</v>
      </c>
      <c r="E776" s="3" t="s">
        <v>187</v>
      </c>
      <c r="F776" s="3" t="s">
        <v>245</v>
      </c>
      <c r="G776" s="3" t="s">
        <v>246</v>
      </c>
      <c r="H776" s="3" t="s">
        <v>66</v>
      </c>
      <c r="I776" s="3" t="s">
        <v>67</v>
      </c>
      <c r="J776" s="3" t="s">
        <v>68</v>
      </c>
      <c r="K776" s="3" t="s">
        <v>33</v>
      </c>
      <c r="L776" s="3" t="s">
        <v>51</v>
      </c>
      <c r="M776" s="3" t="s">
        <v>253</v>
      </c>
      <c r="N776" s="3" t="s">
        <v>254</v>
      </c>
      <c r="O776" s="3" t="s">
        <v>197</v>
      </c>
      <c r="P776" s="3" t="s">
        <v>198</v>
      </c>
      <c r="Q776" s="3" t="s">
        <v>39</v>
      </c>
      <c r="R776" s="3" t="s">
        <v>40</v>
      </c>
      <c r="S776" s="55">
        <v>1648.3</v>
      </c>
      <c r="T776" s="55">
        <v>0</v>
      </c>
      <c r="U776" s="55">
        <v>0</v>
      </c>
      <c r="V776" s="55">
        <v>1648.3</v>
      </c>
      <c r="W776" s="3">
        <v>0</v>
      </c>
    </row>
    <row r="777" spans="1:23" x14ac:dyDescent="0.35">
      <c r="A777" s="3" t="s">
        <v>458</v>
      </c>
      <c r="B777" s="3" t="s">
        <v>459</v>
      </c>
      <c r="C777" s="3" t="s">
        <v>255</v>
      </c>
      <c r="D777" s="3" t="s">
        <v>244</v>
      </c>
      <c r="E777" s="3" t="s">
        <v>187</v>
      </c>
      <c r="F777" s="3" t="s">
        <v>245</v>
      </c>
      <c r="G777" s="3" t="s">
        <v>246</v>
      </c>
      <c r="H777" s="3" t="s">
        <v>66</v>
      </c>
      <c r="I777" s="3" t="s">
        <v>67</v>
      </c>
      <c r="J777" s="3" t="s">
        <v>68</v>
      </c>
      <c r="K777" s="3" t="s">
        <v>33</v>
      </c>
      <c r="L777" s="3" t="s">
        <v>51</v>
      </c>
      <c r="M777" s="3" t="s">
        <v>256</v>
      </c>
      <c r="N777" s="3" t="s">
        <v>257</v>
      </c>
      <c r="O777" s="3" t="s">
        <v>197</v>
      </c>
      <c r="P777" s="3" t="s">
        <v>198</v>
      </c>
      <c r="Q777" s="3" t="s">
        <v>39</v>
      </c>
      <c r="R777" s="3" t="s">
        <v>40</v>
      </c>
      <c r="S777" s="55">
        <v>12658.4</v>
      </c>
      <c r="T777" s="55">
        <v>1690.3000999999999</v>
      </c>
      <c r="U777" s="55">
        <v>1690.3000999999999</v>
      </c>
      <c r="V777" s="55">
        <v>10968.099899999999</v>
      </c>
      <c r="W777" s="3">
        <v>13</v>
      </c>
    </row>
    <row r="778" spans="1:23" x14ac:dyDescent="0.35">
      <c r="A778" s="3" t="s">
        <v>458</v>
      </c>
      <c r="B778" s="3" t="s">
        <v>459</v>
      </c>
      <c r="C778" s="3" t="s">
        <v>566</v>
      </c>
      <c r="D778" s="3" t="s">
        <v>259</v>
      </c>
      <c r="E778" s="3" t="s">
        <v>187</v>
      </c>
      <c r="F778" s="3" t="s">
        <v>116</v>
      </c>
      <c r="G778" s="3" t="s">
        <v>260</v>
      </c>
      <c r="H778" s="3" t="s">
        <v>189</v>
      </c>
      <c r="I778" s="3" t="s">
        <v>190</v>
      </c>
      <c r="J778" s="3" t="s">
        <v>202</v>
      </c>
      <c r="K778" s="3" t="s">
        <v>23</v>
      </c>
      <c r="L778" s="3" t="s">
        <v>203</v>
      </c>
      <c r="M778" s="3" t="s">
        <v>567</v>
      </c>
      <c r="N778" s="3" t="s">
        <v>568</v>
      </c>
      <c r="O778" s="3" t="s">
        <v>197</v>
      </c>
      <c r="P778" s="3" t="s">
        <v>198</v>
      </c>
      <c r="Q778" s="3" t="s">
        <v>39</v>
      </c>
      <c r="R778" s="3" t="s">
        <v>40</v>
      </c>
      <c r="S778" s="55">
        <v>13914.4</v>
      </c>
      <c r="T778" s="55">
        <v>13914.3143</v>
      </c>
      <c r="U778" s="55">
        <v>13914.3143</v>
      </c>
      <c r="V778" s="55">
        <v>8.5699999999999998E-2</v>
      </c>
      <c r="W778" s="3">
        <v>100</v>
      </c>
    </row>
    <row r="779" spans="1:23" x14ac:dyDescent="0.35">
      <c r="A779" s="3" t="s">
        <v>458</v>
      </c>
      <c r="B779" s="3" t="s">
        <v>459</v>
      </c>
      <c r="C779" s="3" t="s">
        <v>569</v>
      </c>
      <c r="D779" s="3" t="s">
        <v>259</v>
      </c>
      <c r="E779" s="3" t="s">
        <v>187</v>
      </c>
      <c r="F779" s="3" t="s">
        <v>116</v>
      </c>
      <c r="G779" s="3" t="s">
        <v>260</v>
      </c>
      <c r="H779" s="3" t="s">
        <v>189</v>
      </c>
      <c r="I779" s="3" t="s">
        <v>190</v>
      </c>
      <c r="J779" s="3" t="s">
        <v>202</v>
      </c>
      <c r="K779" s="3" t="s">
        <v>23</v>
      </c>
      <c r="L779" s="3" t="s">
        <v>203</v>
      </c>
      <c r="M779" s="3" t="s">
        <v>570</v>
      </c>
      <c r="N779" s="3" t="s">
        <v>568</v>
      </c>
      <c r="O779" s="3" t="s">
        <v>197</v>
      </c>
      <c r="P779" s="3" t="s">
        <v>198</v>
      </c>
      <c r="Q779" s="3" t="s">
        <v>39</v>
      </c>
      <c r="R779" s="3" t="s">
        <v>40</v>
      </c>
      <c r="S779" s="55">
        <v>19077.8</v>
      </c>
      <c r="T779" s="55">
        <v>378.267</v>
      </c>
      <c r="U779" s="55">
        <v>363.24900000000002</v>
      </c>
      <c r="V779" s="55">
        <v>18699.532999999999</v>
      </c>
      <c r="W779" s="3">
        <v>2</v>
      </c>
    </row>
    <row r="780" spans="1:23" x14ac:dyDescent="0.35">
      <c r="A780" s="3" t="s">
        <v>458</v>
      </c>
      <c r="B780" s="3" t="s">
        <v>459</v>
      </c>
      <c r="C780" s="3" t="s">
        <v>263</v>
      </c>
      <c r="D780" s="3" t="s">
        <v>259</v>
      </c>
      <c r="E780" s="3" t="s">
        <v>187</v>
      </c>
      <c r="F780" s="3" t="s">
        <v>116</v>
      </c>
      <c r="G780" s="3" t="s">
        <v>260</v>
      </c>
      <c r="H780" s="3" t="s">
        <v>189</v>
      </c>
      <c r="I780" s="3" t="s">
        <v>190</v>
      </c>
      <c r="J780" s="3" t="s">
        <v>191</v>
      </c>
      <c r="K780" s="3" t="s">
        <v>33</v>
      </c>
      <c r="L780" s="3" t="s">
        <v>51</v>
      </c>
      <c r="M780" s="3" t="s">
        <v>264</v>
      </c>
      <c r="N780" s="3" t="s">
        <v>265</v>
      </c>
      <c r="O780" s="3" t="s">
        <v>197</v>
      </c>
      <c r="P780" s="3" t="s">
        <v>198</v>
      </c>
      <c r="Q780" s="3" t="s">
        <v>39</v>
      </c>
      <c r="R780" s="3" t="s">
        <v>40</v>
      </c>
      <c r="S780" s="55">
        <v>1642.6</v>
      </c>
      <c r="T780" s="55">
        <v>0</v>
      </c>
      <c r="U780" s="55">
        <v>0</v>
      </c>
      <c r="V780" s="55">
        <v>1642.6</v>
      </c>
      <c r="W780" s="3">
        <v>0</v>
      </c>
    </row>
    <row r="781" spans="1:23" x14ac:dyDescent="0.35">
      <c r="A781" s="3" t="s">
        <v>458</v>
      </c>
      <c r="B781" s="3" t="s">
        <v>459</v>
      </c>
      <c r="C781" s="3" t="s">
        <v>266</v>
      </c>
      <c r="D781" s="3" t="s">
        <v>259</v>
      </c>
      <c r="E781" s="3" t="s">
        <v>187</v>
      </c>
      <c r="F781" s="3" t="s">
        <v>116</v>
      </c>
      <c r="G781" s="3" t="s">
        <v>260</v>
      </c>
      <c r="H781" s="3" t="s">
        <v>189</v>
      </c>
      <c r="I781" s="3" t="s">
        <v>190</v>
      </c>
      <c r="J781" s="3" t="s">
        <v>191</v>
      </c>
      <c r="K781" s="3" t="s">
        <v>33</v>
      </c>
      <c r="L781" s="3" t="s">
        <v>51</v>
      </c>
      <c r="M781" s="3" t="s">
        <v>267</v>
      </c>
      <c r="N781" s="3" t="s">
        <v>268</v>
      </c>
      <c r="O781" s="3" t="s">
        <v>37</v>
      </c>
      <c r="P781" s="3" t="s">
        <v>38</v>
      </c>
      <c r="Q781" s="3" t="s">
        <v>39</v>
      </c>
      <c r="R781" s="3" t="s">
        <v>40</v>
      </c>
      <c r="S781" s="55">
        <v>92351.4</v>
      </c>
      <c r="T781" s="55">
        <v>2239.587</v>
      </c>
      <c r="U781" s="55">
        <v>2239.587</v>
      </c>
      <c r="V781" s="55">
        <v>90111.812999999995</v>
      </c>
      <c r="W781" s="3">
        <v>2</v>
      </c>
    </row>
    <row r="782" spans="1:23" x14ac:dyDescent="0.35">
      <c r="A782" s="3" t="s">
        <v>458</v>
      </c>
      <c r="B782" s="3" t="s">
        <v>459</v>
      </c>
      <c r="C782" s="3" t="s">
        <v>269</v>
      </c>
      <c r="D782" s="3" t="s">
        <v>259</v>
      </c>
      <c r="E782" s="3" t="s">
        <v>187</v>
      </c>
      <c r="F782" s="3" t="s">
        <v>116</v>
      </c>
      <c r="G782" s="3" t="s">
        <v>260</v>
      </c>
      <c r="H782" s="3" t="s">
        <v>189</v>
      </c>
      <c r="I782" s="3" t="s">
        <v>190</v>
      </c>
      <c r="J782" s="3" t="s">
        <v>191</v>
      </c>
      <c r="K782" s="3" t="s">
        <v>33</v>
      </c>
      <c r="L782" s="3" t="s">
        <v>51</v>
      </c>
      <c r="M782" s="3" t="s">
        <v>267</v>
      </c>
      <c r="N782" s="3" t="s">
        <v>268</v>
      </c>
      <c r="O782" s="3" t="s">
        <v>197</v>
      </c>
      <c r="P782" s="3" t="s">
        <v>198</v>
      </c>
      <c r="Q782" s="3" t="s">
        <v>39</v>
      </c>
      <c r="R782" s="3" t="s">
        <v>40</v>
      </c>
      <c r="S782" s="55">
        <v>14681.8</v>
      </c>
      <c r="T782" s="55">
        <v>296.66750000000002</v>
      </c>
      <c r="U782" s="55">
        <v>296.66750000000002</v>
      </c>
      <c r="V782" s="55">
        <v>14385.1325</v>
      </c>
      <c r="W782" s="3">
        <v>2</v>
      </c>
    </row>
    <row r="783" spans="1:23" x14ac:dyDescent="0.35">
      <c r="A783" s="3" t="s">
        <v>458</v>
      </c>
      <c r="B783" s="3" t="s">
        <v>459</v>
      </c>
      <c r="C783" s="3" t="s">
        <v>270</v>
      </c>
      <c r="D783" s="3" t="s">
        <v>259</v>
      </c>
      <c r="E783" s="3" t="s">
        <v>187</v>
      </c>
      <c r="F783" s="3" t="s">
        <v>116</v>
      </c>
      <c r="G783" s="3" t="s">
        <v>260</v>
      </c>
      <c r="H783" s="3" t="s">
        <v>189</v>
      </c>
      <c r="I783" s="3" t="s">
        <v>190</v>
      </c>
      <c r="J783" s="3" t="s">
        <v>191</v>
      </c>
      <c r="K783" s="3" t="s">
        <v>33</v>
      </c>
      <c r="L783" s="3" t="s">
        <v>51</v>
      </c>
      <c r="M783" s="3" t="s">
        <v>271</v>
      </c>
      <c r="N783" s="3" t="s">
        <v>272</v>
      </c>
      <c r="O783" s="3" t="s">
        <v>108</v>
      </c>
      <c r="P783" s="3" t="s">
        <v>109</v>
      </c>
      <c r="Q783" s="3" t="s">
        <v>39</v>
      </c>
      <c r="R783" s="3" t="s">
        <v>40</v>
      </c>
      <c r="S783" s="55">
        <v>43320.4</v>
      </c>
      <c r="T783" s="55">
        <v>12171.7757</v>
      </c>
      <c r="U783" s="55">
        <v>2828.2348000000002</v>
      </c>
      <c r="V783" s="55">
        <v>31148.624299999999</v>
      </c>
      <c r="W783" s="3">
        <v>28</v>
      </c>
    </row>
    <row r="784" spans="1:23" x14ac:dyDescent="0.35">
      <c r="A784" s="3" t="s">
        <v>458</v>
      </c>
      <c r="B784" s="3" t="s">
        <v>459</v>
      </c>
      <c r="C784" s="3" t="s">
        <v>273</v>
      </c>
      <c r="D784" s="3" t="s">
        <v>259</v>
      </c>
      <c r="E784" s="3" t="s">
        <v>187</v>
      </c>
      <c r="F784" s="3" t="s">
        <v>116</v>
      </c>
      <c r="G784" s="3" t="s">
        <v>260</v>
      </c>
      <c r="H784" s="3" t="s">
        <v>189</v>
      </c>
      <c r="I784" s="3" t="s">
        <v>190</v>
      </c>
      <c r="J784" s="3" t="s">
        <v>191</v>
      </c>
      <c r="K784" s="3" t="s">
        <v>33</v>
      </c>
      <c r="L784" s="3" t="s">
        <v>51</v>
      </c>
      <c r="M784" s="3" t="s">
        <v>274</v>
      </c>
      <c r="N784" s="3" t="s">
        <v>275</v>
      </c>
      <c r="O784" s="3" t="s">
        <v>108</v>
      </c>
      <c r="P784" s="3" t="s">
        <v>109</v>
      </c>
      <c r="Q784" s="3" t="s">
        <v>39</v>
      </c>
      <c r="R784" s="3" t="s">
        <v>40</v>
      </c>
      <c r="S784" s="55">
        <v>59928.7</v>
      </c>
      <c r="T784" s="55">
        <v>18903.419999999998</v>
      </c>
      <c r="U784" s="55">
        <v>5196.3788999999997</v>
      </c>
      <c r="V784" s="55">
        <v>41025.279999999999</v>
      </c>
      <c r="W784" s="3">
        <v>32</v>
      </c>
    </row>
    <row r="785" spans="1:23" x14ac:dyDescent="0.35">
      <c r="A785" s="3" t="s">
        <v>458</v>
      </c>
      <c r="B785" s="3" t="s">
        <v>459</v>
      </c>
      <c r="C785" s="3" t="s">
        <v>530</v>
      </c>
      <c r="D785" s="3" t="s">
        <v>259</v>
      </c>
      <c r="E785" s="3" t="s">
        <v>187</v>
      </c>
      <c r="F785" s="3" t="s">
        <v>116</v>
      </c>
      <c r="G785" s="3" t="s">
        <v>260</v>
      </c>
      <c r="H785" s="3" t="s">
        <v>189</v>
      </c>
      <c r="I785" s="3" t="s">
        <v>190</v>
      </c>
      <c r="J785" s="3" t="s">
        <v>191</v>
      </c>
      <c r="K785" s="3" t="s">
        <v>33</v>
      </c>
      <c r="L785" s="3" t="s">
        <v>51</v>
      </c>
      <c r="M785" s="3" t="s">
        <v>531</v>
      </c>
      <c r="N785" s="3" t="s">
        <v>532</v>
      </c>
      <c r="O785" s="3" t="s">
        <v>197</v>
      </c>
      <c r="P785" s="3" t="s">
        <v>198</v>
      </c>
      <c r="Q785" s="3" t="s">
        <v>39</v>
      </c>
      <c r="R785" s="3" t="s">
        <v>40</v>
      </c>
      <c r="S785" s="55">
        <v>7028.9</v>
      </c>
      <c r="T785" s="55">
        <v>4329.6000000000004</v>
      </c>
      <c r="U785" s="55">
        <v>1728</v>
      </c>
      <c r="V785" s="55">
        <v>2699.3</v>
      </c>
      <c r="W785" s="3">
        <v>62</v>
      </c>
    </row>
    <row r="786" spans="1:23" x14ac:dyDescent="0.35">
      <c r="A786" s="3" t="s">
        <v>458</v>
      </c>
      <c r="B786" s="3" t="s">
        <v>459</v>
      </c>
      <c r="C786" s="3" t="s">
        <v>460</v>
      </c>
      <c r="D786" s="3" t="s">
        <v>259</v>
      </c>
      <c r="E786" s="3" t="s">
        <v>187</v>
      </c>
      <c r="F786" s="3" t="s">
        <v>116</v>
      </c>
      <c r="G786" s="3" t="s">
        <v>260</v>
      </c>
      <c r="H786" s="3" t="s">
        <v>189</v>
      </c>
      <c r="I786" s="3" t="s">
        <v>190</v>
      </c>
      <c r="J786" s="3" t="s">
        <v>191</v>
      </c>
      <c r="K786" s="3" t="s">
        <v>33</v>
      </c>
      <c r="L786" s="3" t="s">
        <v>51</v>
      </c>
      <c r="M786" s="3" t="s">
        <v>461</v>
      </c>
      <c r="N786" s="3" t="s">
        <v>462</v>
      </c>
      <c r="O786" s="3" t="s">
        <v>197</v>
      </c>
      <c r="P786" s="3" t="s">
        <v>198</v>
      </c>
      <c r="Q786" s="3" t="s">
        <v>39</v>
      </c>
      <c r="R786" s="3" t="s">
        <v>40</v>
      </c>
      <c r="S786" s="55">
        <v>19787.3</v>
      </c>
      <c r="T786" s="55">
        <v>0</v>
      </c>
      <c r="U786" s="55">
        <v>0</v>
      </c>
      <c r="V786" s="55">
        <v>19787.3</v>
      </c>
      <c r="W786" s="3">
        <v>0</v>
      </c>
    </row>
    <row r="787" spans="1:23" x14ac:dyDescent="0.35">
      <c r="A787" s="3" t="s">
        <v>458</v>
      </c>
      <c r="B787" s="3" t="s">
        <v>459</v>
      </c>
      <c r="C787" s="3" t="s">
        <v>276</v>
      </c>
      <c r="D787" s="3" t="s">
        <v>259</v>
      </c>
      <c r="E787" s="3" t="s">
        <v>187</v>
      </c>
      <c r="F787" s="3" t="s">
        <v>116</v>
      </c>
      <c r="G787" s="3" t="s">
        <v>260</v>
      </c>
      <c r="H787" s="3" t="s">
        <v>189</v>
      </c>
      <c r="I787" s="3" t="s">
        <v>190</v>
      </c>
      <c r="J787" s="3" t="s">
        <v>191</v>
      </c>
      <c r="K787" s="3" t="s">
        <v>33</v>
      </c>
      <c r="L787" s="3" t="s">
        <v>51</v>
      </c>
      <c r="M787" s="3" t="s">
        <v>277</v>
      </c>
      <c r="N787" s="3" t="s">
        <v>533</v>
      </c>
      <c r="O787" s="3" t="s">
        <v>197</v>
      </c>
      <c r="P787" s="3" t="s">
        <v>198</v>
      </c>
      <c r="Q787" s="3" t="s">
        <v>39</v>
      </c>
      <c r="R787" s="3" t="s">
        <v>40</v>
      </c>
      <c r="S787" s="55">
        <v>44012.1</v>
      </c>
      <c r="T787" s="55">
        <v>0</v>
      </c>
      <c r="U787" s="55">
        <v>0</v>
      </c>
      <c r="V787" s="55">
        <v>44012.1</v>
      </c>
      <c r="W787" s="3">
        <v>0</v>
      </c>
    </row>
    <row r="788" spans="1:23" x14ac:dyDescent="0.35">
      <c r="A788" s="3" t="s">
        <v>458</v>
      </c>
      <c r="B788" s="3" t="s">
        <v>459</v>
      </c>
      <c r="C788" s="3" t="s">
        <v>282</v>
      </c>
      <c r="D788" s="3" t="s">
        <v>259</v>
      </c>
      <c r="E788" s="3" t="s">
        <v>187</v>
      </c>
      <c r="F788" s="3" t="s">
        <v>116</v>
      </c>
      <c r="G788" s="3" t="s">
        <v>260</v>
      </c>
      <c r="H788" s="3" t="s">
        <v>66</v>
      </c>
      <c r="I788" s="3" t="s">
        <v>67</v>
      </c>
      <c r="J788" s="3" t="s">
        <v>68</v>
      </c>
      <c r="K788" s="3" t="s">
        <v>33</v>
      </c>
      <c r="L788" s="3" t="s">
        <v>51</v>
      </c>
      <c r="M788" s="3" t="s">
        <v>283</v>
      </c>
      <c r="N788" s="3" t="s">
        <v>284</v>
      </c>
      <c r="O788" s="3" t="s">
        <v>197</v>
      </c>
      <c r="P788" s="3" t="s">
        <v>198</v>
      </c>
      <c r="Q788" s="3" t="s">
        <v>39</v>
      </c>
      <c r="R788" s="3" t="s">
        <v>40</v>
      </c>
      <c r="S788" s="55">
        <v>500</v>
      </c>
      <c r="T788" s="55">
        <v>76.2</v>
      </c>
      <c r="U788" s="55">
        <v>76.2</v>
      </c>
      <c r="V788" s="55">
        <v>423.8</v>
      </c>
      <c r="W788" s="3">
        <v>15</v>
      </c>
    </row>
    <row r="789" spans="1:23" x14ac:dyDescent="0.35">
      <c r="A789" s="3" t="s">
        <v>458</v>
      </c>
      <c r="B789" s="3" t="s">
        <v>459</v>
      </c>
      <c r="C789" s="3" t="s">
        <v>289</v>
      </c>
      <c r="D789" s="3" t="s">
        <v>290</v>
      </c>
      <c r="E789" s="3" t="s">
        <v>291</v>
      </c>
      <c r="F789" s="3" t="s">
        <v>146</v>
      </c>
      <c r="G789" s="3" t="s">
        <v>534</v>
      </c>
      <c r="H789" s="3" t="s">
        <v>293</v>
      </c>
      <c r="I789" s="3" t="s">
        <v>294</v>
      </c>
      <c r="J789" s="3" t="s">
        <v>295</v>
      </c>
      <c r="K789" s="3" t="s">
        <v>33</v>
      </c>
      <c r="L789" s="3" t="s">
        <v>51</v>
      </c>
      <c r="M789" s="3" t="s">
        <v>296</v>
      </c>
      <c r="N789" s="3" t="s">
        <v>535</v>
      </c>
      <c r="O789" s="3" t="s">
        <v>108</v>
      </c>
      <c r="P789" s="3" t="s">
        <v>109</v>
      </c>
      <c r="Q789" s="3" t="s">
        <v>39</v>
      </c>
      <c r="R789" s="3" t="s">
        <v>40</v>
      </c>
      <c r="S789" s="55">
        <v>232056</v>
      </c>
      <c r="T789" s="55">
        <v>81174.8802</v>
      </c>
      <c r="U789" s="55">
        <v>19807.682799999999</v>
      </c>
      <c r="V789" s="55">
        <v>150881.11979999999</v>
      </c>
      <c r="W789" s="3">
        <v>35</v>
      </c>
    </row>
    <row r="790" spans="1:23" x14ac:dyDescent="0.35">
      <c r="A790" s="3" t="s">
        <v>458</v>
      </c>
      <c r="B790" s="3" t="s">
        <v>459</v>
      </c>
      <c r="C790" s="3" t="s">
        <v>298</v>
      </c>
      <c r="D790" s="3" t="s">
        <v>290</v>
      </c>
      <c r="E790" s="3" t="s">
        <v>291</v>
      </c>
      <c r="F790" s="3" t="s">
        <v>146</v>
      </c>
      <c r="G790" s="3" t="s">
        <v>534</v>
      </c>
      <c r="H790" s="3" t="s">
        <v>293</v>
      </c>
      <c r="I790" s="3" t="s">
        <v>294</v>
      </c>
      <c r="J790" s="3" t="s">
        <v>295</v>
      </c>
      <c r="K790" s="3" t="s">
        <v>33</v>
      </c>
      <c r="L790" s="3" t="s">
        <v>51</v>
      </c>
      <c r="M790" s="3" t="s">
        <v>299</v>
      </c>
      <c r="N790" s="3" t="s">
        <v>536</v>
      </c>
      <c r="O790" s="3" t="s">
        <v>108</v>
      </c>
      <c r="P790" s="3" t="s">
        <v>109</v>
      </c>
      <c r="Q790" s="3" t="s">
        <v>39</v>
      </c>
      <c r="R790" s="3" t="s">
        <v>40</v>
      </c>
      <c r="S790" s="55">
        <v>86322.7</v>
      </c>
      <c r="T790" s="55">
        <v>24232.514299999999</v>
      </c>
      <c r="U790" s="55">
        <v>5380.1908000000003</v>
      </c>
      <c r="V790" s="55">
        <v>62090.185700000002</v>
      </c>
      <c r="W790" s="3">
        <v>28</v>
      </c>
    </row>
    <row r="791" spans="1:23" x14ac:dyDescent="0.35">
      <c r="A791" s="3" t="s">
        <v>458</v>
      </c>
      <c r="B791" s="3" t="s">
        <v>459</v>
      </c>
      <c r="C791" s="3" t="s">
        <v>301</v>
      </c>
      <c r="D791" s="3" t="s">
        <v>290</v>
      </c>
      <c r="E791" s="3" t="s">
        <v>291</v>
      </c>
      <c r="F791" s="3" t="s">
        <v>146</v>
      </c>
      <c r="G791" s="3" t="s">
        <v>534</v>
      </c>
      <c r="H791" s="3" t="s">
        <v>293</v>
      </c>
      <c r="I791" s="3" t="s">
        <v>294</v>
      </c>
      <c r="J791" s="3" t="s">
        <v>295</v>
      </c>
      <c r="K791" s="3" t="s">
        <v>33</v>
      </c>
      <c r="L791" s="3" t="s">
        <v>51</v>
      </c>
      <c r="M791" s="3" t="s">
        <v>302</v>
      </c>
      <c r="N791" s="3" t="s">
        <v>537</v>
      </c>
      <c r="O791" s="3" t="s">
        <v>108</v>
      </c>
      <c r="P791" s="3" t="s">
        <v>109</v>
      </c>
      <c r="Q791" s="3" t="s">
        <v>39</v>
      </c>
      <c r="R791" s="3" t="s">
        <v>40</v>
      </c>
      <c r="S791" s="55">
        <v>192328.9</v>
      </c>
      <c r="T791" s="55">
        <v>57293.5337</v>
      </c>
      <c r="U791" s="55">
        <v>14826.4413</v>
      </c>
      <c r="V791" s="55">
        <v>135035.36629999999</v>
      </c>
      <c r="W791" s="3">
        <v>30</v>
      </c>
    </row>
    <row r="792" spans="1:23" x14ac:dyDescent="0.35">
      <c r="A792" s="3" t="s">
        <v>458</v>
      </c>
      <c r="B792" s="3" t="s">
        <v>459</v>
      </c>
      <c r="C792" s="3" t="s">
        <v>304</v>
      </c>
      <c r="D792" s="3" t="s">
        <v>290</v>
      </c>
      <c r="E792" s="3" t="s">
        <v>291</v>
      </c>
      <c r="F792" s="3" t="s">
        <v>146</v>
      </c>
      <c r="G792" s="3" t="s">
        <v>534</v>
      </c>
      <c r="H792" s="3" t="s">
        <v>293</v>
      </c>
      <c r="I792" s="3" t="s">
        <v>294</v>
      </c>
      <c r="J792" s="3" t="s">
        <v>295</v>
      </c>
      <c r="K792" s="3" t="s">
        <v>33</v>
      </c>
      <c r="L792" s="3" t="s">
        <v>51</v>
      </c>
      <c r="M792" s="3" t="s">
        <v>305</v>
      </c>
      <c r="N792" s="3" t="s">
        <v>538</v>
      </c>
      <c r="O792" s="3" t="s">
        <v>108</v>
      </c>
      <c r="P792" s="3" t="s">
        <v>109</v>
      </c>
      <c r="Q792" s="3" t="s">
        <v>39</v>
      </c>
      <c r="R792" s="3" t="s">
        <v>40</v>
      </c>
      <c r="S792" s="55">
        <v>73563</v>
      </c>
      <c r="T792" s="55">
        <v>22445.450099999998</v>
      </c>
      <c r="U792" s="55">
        <v>4749.8446999999996</v>
      </c>
      <c r="V792" s="55">
        <v>51117.549899999998</v>
      </c>
      <c r="W792" s="3">
        <v>31</v>
      </c>
    </row>
    <row r="793" spans="1:23" x14ac:dyDescent="0.35">
      <c r="A793" s="3" t="s">
        <v>458</v>
      </c>
      <c r="B793" s="3" t="s">
        <v>459</v>
      </c>
      <c r="C793" s="3" t="s">
        <v>307</v>
      </c>
      <c r="D793" s="3" t="s">
        <v>290</v>
      </c>
      <c r="E793" s="3" t="s">
        <v>291</v>
      </c>
      <c r="F793" s="3" t="s">
        <v>146</v>
      </c>
      <c r="G793" s="3" t="s">
        <v>534</v>
      </c>
      <c r="H793" s="3" t="s">
        <v>293</v>
      </c>
      <c r="I793" s="3" t="s">
        <v>294</v>
      </c>
      <c r="J793" s="3" t="s">
        <v>295</v>
      </c>
      <c r="K793" s="3" t="s">
        <v>33</v>
      </c>
      <c r="L793" s="3" t="s">
        <v>51</v>
      </c>
      <c r="M793" s="3" t="s">
        <v>308</v>
      </c>
      <c r="N793" s="3" t="s">
        <v>309</v>
      </c>
      <c r="O793" s="3" t="s">
        <v>37</v>
      </c>
      <c r="P793" s="3" t="s">
        <v>38</v>
      </c>
      <c r="Q793" s="3" t="s">
        <v>39</v>
      </c>
      <c r="R793" s="3" t="s">
        <v>40</v>
      </c>
      <c r="S793" s="55">
        <v>8508.2999999999993</v>
      </c>
      <c r="T793" s="55">
        <v>1460</v>
      </c>
      <c r="U793" s="55">
        <v>0</v>
      </c>
      <c r="V793" s="55">
        <v>7048.3</v>
      </c>
      <c r="W793" s="3">
        <v>17</v>
      </c>
    </row>
    <row r="794" spans="1:23" x14ac:dyDescent="0.35">
      <c r="A794" s="3" t="s">
        <v>458</v>
      </c>
      <c r="B794" s="3" t="s">
        <v>459</v>
      </c>
      <c r="C794" s="3" t="s">
        <v>436</v>
      </c>
      <c r="D794" s="3" t="s">
        <v>290</v>
      </c>
      <c r="E794" s="3" t="s">
        <v>291</v>
      </c>
      <c r="F794" s="3" t="s">
        <v>146</v>
      </c>
      <c r="G794" s="3" t="s">
        <v>534</v>
      </c>
      <c r="H794" s="3" t="s">
        <v>293</v>
      </c>
      <c r="I794" s="3" t="s">
        <v>294</v>
      </c>
      <c r="J794" s="3" t="s">
        <v>295</v>
      </c>
      <c r="K794" s="3" t="s">
        <v>33</v>
      </c>
      <c r="L794" s="3" t="s">
        <v>51</v>
      </c>
      <c r="M794" s="3" t="s">
        <v>308</v>
      </c>
      <c r="N794" s="3" t="s">
        <v>309</v>
      </c>
      <c r="O794" s="3" t="s">
        <v>197</v>
      </c>
      <c r="P794" s="3" t="s">
        <v>198</v>
      </c>
      <c r="Q794" s="3" t="s">
        <v>39</v>
      </c>
      <c r="R794" s="3" t="s">
        <v>40</v>
      </c>
      <c r="S794" s="55">
        <v>3002.4</v>
      </c>
      <c r="T794" s="55">
        <v>761.09</v>
      </c>
      <c r="U794" s="55">
        <v>761.09</v>
      </c>
      <c r="V794" s="55">
        <v>2241.31</v>
      </c>
      <c r="W794" s="3">
        <v>25</v>
      </c>
    </row>
    <row r="795" spans="1:23" x14ac:dyDescent="0.35">
      <c r="A795" s="3" t="s">
        <v>458</v>
      </c>
      <c r="B795" s="3" t="s">
        <v>459</v>
      </c>
      <c r="C795" s="3" t="s">
        <v>310</v>
      </c>
      <c r="D795" s="3" t="s">
        <v>290</v>
      </c>
      <c r="E795" s="3" t="s">
        <v>291</v>
      </c>
      <c r="F795" s="3" t="s">
        <v>146</v>
      </c>
      <c r="G795" s="3" t="s">
        <v>534</v>
      </c>
      <c r="H795" s="3" t="s">
        <v>293</v>
      </c>
      <c r="I795" s="3" t="s">
        <v>294</v>
      </c>
      <c r="J795" s="3" t="s">
        <v>295</v>
      </c>
      <c r="K795" s="3" t="s">
        <v>33</v>
      </c>
      <c r="L795" s="3" t="s">
        <v>51</v>
      </c>
      <c r="M795" s="3" t="s">
        <v>311</v>
      </c>
      <c r="N795" s="3" t="s">
        <v>312</v>
      </c>
      <c r="O795" s="3" t="s">
        <v>197</v>
      </c>
      <c r="P795" s="3" t="s">
        <v>198</v>
      </c>
      <c r="Q795" s="3" t="s">
        <v>39</v>
      </c>
      <c r="R795" s="3" t="s">
        <v>40</v>
      </c>
      <c r="S795" s="55">
        <v>40101.9</v>
      </c>
      <c r="T795" s="55">
        <v>9407.8978000000006</v>
      </c>
      <c r="U795" s="55">
        <v>1720.3524</v>
      </c>
      <c r="V795" s="55">
        <v>30694.002199999999</v>
      </c>
      <c r="W795" s="3">
        <v>23</v>
      </c>
    </row>
    <row r="796" spans="1:23" x14ac:dyDescent="0.35">
      <c r="A796" s="3" t="s">
        <v>458</v>
      </c>
      <c r="B796" s="3" t="s">
        <v>459</v>
      </c>
      <c r="C796" s="3" t="s">
        <v>313</v>
      </c>
      <c r="D796" s="3" t="s">
        <v>290</v>
      </c>
      <c r="E796" s="3" t="s">
        <v>291</v>
      </c>
      <c r="F796" s="3" t="s">
        <v>146</v>
      </c>
      <c r="G796" s="3" t="s">
        <v>534</v>
      </c>
      <c r="H796" s="3" t="s">
        <v>293</v>
      </c>
      <c r="I796" s="3" t="s">
        <v>294</v>
      </c>
      <c r="J796" s="3" t="s">
        <v>295</v>
      </c>
      <c r="K796" s="3" t="s">
        <v>33</v>
      </c>
      <c r="L796" s="3" t="s">
        <v>51</v>
      </c>
      <c r="M796" s="3" t="s">
        <v>314</v>
      </c>
      <c r="N796" s="3" t="s">
        <v>315</v>
      </c>
      <c r="O796" s="3" t="s">
        <v>197</v>
      </c>
      <c r="P796" s="3" t="s">
        <v>198</v>
      </c>
      <c r="Q796" s="3" t="s">
        <v>39</v>
      </c>
      <c r="R796" s="3" t="s">
        <v>40</v>
      </c>
      <c r="S796" s="55">
        <v>712.6</v>
      </c>
      <c r="T796" s="55">
        <v>0</v>
      </c>
      <c r="U796" s="55">
        <v>0</v>
      </c>
      <c r="V796" s="55">
        <v>712.6</v>
      </c>
      <c r="W796" s="3">
        <v>0</v>
      </c>
    </row>
    <row r="797" spans="1:23" x14ac:dyDescent="0.35">
      <c r="A797" s="3" t="s">
        <v>458</v>
      </c>
      <c r="B797" s="3" t="s">
        <v>459</v>
      </c>
      <c r="C797" s="3" t="s">
        <v>539</v>
      </c>
      <c r="D797" s="3" t="s">
        <v>290</v>
      </c>
      <c r="E797" s="3" t="s">
        <v>291</v>
      </c>
      <c r="F797" s="3" t="s">
        <v>146</v>
      </c>
      <c r="G797" s="3" t="s">
        <v>534</v>
      </c>
      <c r="H797" s="3" t="s">
        <v>293</v>
      </c>
      <c r="I797" s="3" t="s">
        <v>294</v>
      </c>
      <c r="J797" s="3" t="s">
        <v>295</v>
      </c>
      <c r="K797" s="3" t="s">
        <v>33</v>
      </c>
      <c r="L797" s="3" t="s">
        <v>51</v>
      </c>
      <c r="M797" s="3" t="s">
        <v>540</v>
      </c>
      <c r="N797" s="3" t="s">
        <v>541</v>
      </c>
      <c r="O797" s="3" t="s">
        <v>197</v>
      </c>
      <c r="P797" s="3" t="s">
        <v>198</v>
      </c>
      <c r="Q797" s="3" t="s">
        <v>39</v>
      </c>
      <c r="R797" s="3" t="s">
        <v>40</v>
      </c>
      <c r="S797" s="55">
        <v>30745.7</v>
      </c>
      <c r="T797" s="55">
        <v>0</v>
      </c>
      <c r="U797" s="55">
        <v>0</v>
      </c>
      <c r="V797" s="55">
        <v>30745.7</v>
      </c>
      <c r="W797" s="3">
        <v>0</v>
      </c>
    </row>
    <row r="798" spans="1:23" x14ac:dyDescent="0.35">
      <c r="A798" s="3" t="s">
        <v>458</v>
      </c>
      <c r="B798" s="3" t="s">
        <v>459</v>
      </c>
      <c r="C798" s="3" t="s">
        <v>322</v>
      </c>
      <c r="D798" s="3" t="s">
        <v>317</v>
      </c>
      <c r="E798" s="3" t="s">
        <v>291</v>
      </c>
      <c r="F798" s="3" t="s">
        <v>318</v>
      </c>
      <c r="G798" s="3" t="s">
        <v>319</v>
      </c>
      <c r="H798" s="3" t="s">
        <v>293</v>
      </c>
      <c r="I798" s="3" t="s">
        <v>294</v>
      </c>
      <c r="J798" s="3" t="s">
        <v>295</v>
      </c>
      <c r="K798" s="3" t="s">
        <v>33</v>
      </c>
      <c r="L798" s="3" t="s">
        <v>51</v>
      </c>
      <c r="M798" s="3" t="s">
        <v>323</v>
      </c>
      <c r="N798" s="3" t="s">
        <v>324</v>
      </c>
      <c r="O798" s="3" t="s">
        <v>197</v>
      </c>
      <c r="P798" s="3" t="s">
        <v>198</v>
      </c>
      <c r="Q798" s="3" t="s">
        <v>39</v>
      </c>
      <c r="R798" s="3" t="s">
        <v>40</v>
      </c>
      <c r="S798" s="55">
        <v>12448.4</v>
      </c>
      <c r="T798" s="55">
        <v>3061.3195999999998</v>
      </c>
      <c r="U798" s="55">
        <v>0</v>
      </c>
      <c r="V798" s="55">
        <v>9387.0804000000007</v>
      </c>
      <c r="W798" s="3">
        <v>25</v>
      </c>
    </row>
    <row r="799" spans="1:23" x14ac:dyDescent="0.35">
      <c r="A799" s="3" t="s">
        <v>458</v>
      </c>
      <c r="B799" s="3" t="s">
        <v>459</v>
      </c>
      <c r="C799" s="3" t="s">
        <v>325</v>
      </c>
      <c r="D799" s="3" t="s">
        <v>326</v>
      </c>
      <c r="E799" s="3" t="s">
        <v>327</v>
      </c>
      <c r="F799" s="3" t="s">
        <v>189</v>
      </c>
      <c r="G799" s="3" t="s">
        <v>328</v>
      </c>
      <c r="H799" s="3" t="s">
        <v>146</v>
      </c>
      <c r="I799" s="3" t="s">
        <v>329</v>
      </c>
      <c r="J799" s="3" t="s">
        <v>330</v>
      </c>
      <c r="K799" s="3" t="s">
        <v>33</v>
      </c>
      <c r="L799" s="3" t="s">
        <v>51</v>
      </c>
      <c r="M799" s="3" t="s">
        <v>331</v>
      </c>
      <c r="N799" s="3" t="s">
        <v>332</v>
      </c>
      <c r="O799" s="3" t="s">
        <v>108</v>
      </c>
      <c r="P799" s="3" t="s">
        <v>109</v>
      </c>
      <c r="Q799" s="3" t="s">
        <v>39</v>
      </c>
      <c r="R799" s="3" t="s">
        <v>40</v>
      </c>
      <c r="S799" s="55">
        <v>607335</v>
      </c>
      <c r="T799" s="55">
        <v>162637.45629999999</v>
      </c>
      <c r="U799" s="55">
        <v>44851.048199999997</v>
      </c>
      <c r="V799" s="55">
        <v>444697.54369999998</v>
      </c>
      <c r="W799" s="3">
        <v>27</v>
      </c>
    </row>
    <row r="800" spans="1:23" x14ac:dyDescent="0.35">
      <c r="A800" s="3" t="s">
        <v>458</v>
      </c>
      <c r="B800" s="3" t="s">
        <v>459</v>
      </c>
      <c r="C800" s="3" t="s">
        <v>333</v>
      </c>
      <c r="D800" s="3" t="s">
        <v>326</v>
      </c>
      <c r="E800" s="3" t="s">
        <v>327</v>
      </c>
      <c r="F800" s="3" t="s">
        <v>189</v>
      </c>
      <c r="G800" s="3" t="s">
        <v>328</v>
      </c>
      <c r="H800" s="3" t="s">
        <v>146</v>
      </c>
      <c r="I800" s="3" t="s">
        <v>329</v>
      </c>
      <c r="J800" s="3" t="s">
        <v>330</v>
      </c>
      <c r="K800" s="3" t="s">
        <v>33</v>
      </c>
      <c r="L800" s="3" t="s">
        <v>51</v>
      </c>
      <c r="M800" s="3" t="s">
        <v>331</v>
      </c>
      <c r="N800" s="3" t="s">
        <v>332</v>
      </c>
      <c r="O800" s="3" t="s">
        <v>334</v>
      </c>
      <c r="P800" s="3" t="s">
        <v>335</v>
      </c>
      <c r="Q800" s="3" t="s">
        <v>39</v>
      </c>
      <c r="R800" s="3" t="s">
        <v>40</v>
      </c>
      <c r="S800" s="55">
        <v>5154.6000000000004</v>
      </c>
      <c r="T800" s="55">
        <v>1101.7112999999999</v>
      </c>
      <c r="U800" s="55">
        <v>306.22190000000001</v>
      </c>
      <c r="V800" s="55">
        <v>4052.8887</v>
      </c>
      <c r="W800" s="3">
        <v>21</v>
      </c>
    </row>
    <row r="801" spans="1:23" x14ac:dyDescent="0.35">
      <c r="A801" s="3" t="s">
        <v>458</v>
      </c>
      <c r="B801" s="3" t="s">
        <v>459</v>
      </c>
      <c r="C801" s="3" t="s">
        <v>542</v>
      </c>
      <c r="D801" s="3" t="s">
        <v>337</v>
      </c>
      <c r="E801" s="3" t="s">
        <v>327</v>
      </c>
      <c r="F801" s="3" t="s">
        <v>116</v>
      </c>
      <c r="G801" s="3" t="s">
        <v>338</v>
      </c>
      <c r="H801" s="3" t="s">
        <v>146</v>
      </c>
      <c r="I801" s="3" t="s">
        <v>329</v>
      </c>
      <c r="J801" s="3" t="s">
        <v>339</v>
      </c>
      <c r="K801" s="3" t="s">
        <v>23</v>
      </c>
      <c r="L801" s="3" t="s">
        <v>203</v>
      </c>
      <c r="M801" s="3" t="s">
        <v>543</v>
      </c>
      <c r="N801" s="3" t="s">
        <v>341</v>
      </c>
      <c r="O801" s="3" t="s">
        <v>197</v>
      </c>
      <c r="P801" s="3" t="s">
        <v>198</v>
      </c>
      <c r="Q801" s="3" t="s">
        <v>39</v>
      </c>
      <c r="R801" s="3" t="s">
        <v>40</v>
      </c>
      <c r="S801" s="55">
        <v>79182.8</v>
      </c>
      <c r="T801" s="55">
        <v>68566.592399999994</v>
      </c>
      <c r="U801" s="55">
        <v>0</v>
      </c>
      <c r="V801" s="55">
        <v>10616.2076</v>
      </c>
      <c r="W801" s="3">
        <v>87</v>
      </c>
    </row>
    <row r="802" spans="1:23" x14ac:dyDescent="0.35">
      <c r="A802" s="3" t="s">
        <v>458</v>
      </c>
      <c r="B802" s="3" t="s">
        <v>459</v>
      </c>
      <c r="C802" s="3" t="s">
        <v>544</v>
      </c>
      <c r="D802" s="3" t="s">
        <v>337</v>
      </c>
      <c r="E802" s="3" t="s">
        <v>327</v>
      </c>
      <c r="F802" s="3" t="s">
        <v>116</v>
      </c>
      <c r="G802" s="3" t="s">
        <v>338</v>
      </c>
      <c r="H802" s="3" t="s">
        <v>146</v>
      </c>
      <c r="I802" s="3" t="s">
        <v>329</v>
      </c>
      <c r="J802" s="3" t="s">
        <v>339</v>
      </c>
      <c r="K802" s="3" t="s">
        <v>23</v>
      </c>
      <c r="L802" s="3" t="s">
        <v>203</v>
      </c>
      <c r="M802" s="3" t="s">
        <v>545</v>
      </c>
      <c r="N802" s="3" t="s">
        <v>359</v>
      </c>
      <c r="O802" s="3" t="s">
        <v>197</v>
      </c>
      <c r="P802" s="3" t="s">
        <v>198</v>
      </c>
      <c r="Q802" s="3" t="s">
        <v>39</v>
      </c>
      <c r="R802" s="3" t="s">
        <v>40</v>
      </c>
      <c r="S802" s="55">
        <v>50.1</v>
      </c>
      <c r="T802" s="55">
        <v>50.1</v>
      </c>
      <c r="U802" s="55">
        <v>50.1</v>
      </c>
      <c r="V802" s="55">
        <v>0</v>
      </c>
      <c r="W802" s="3">
        <v>100</v>
      </c>
    </row>
    <row r="803" spans="1:23" x14ac:dyDescent="0.35">
      <c r="A803" s="3" t="s">
        <v>458</v>
      </c>
      <c r="B803" s="3" t="s">
        <v>459</v>
      </c>
      <c r="C803" s="3" t="s">
        <v>437</v>
      </c>
      <c r="D803" s="3" t="s">
        <v>337</v>
      </c>
      <c r="E803" s="3" t="s">
        <v>327</v>
      </c>
      <c r="F803" s="3" t="s">
        <v>116</v>
      </c>
      <c r="G803" s="3" t="s">
        <v>338</v>
      </c>
      <c r="H803" s="3" t="s">
        <v>146</v>
      </c>
      <c r="I803" s="3" t="s">
        <v>329</v>
      </c>
      <c r="J803" s="3" t="s">
        <v>330</v>
      </c>
      <c r="K803" s="3" t="s">
        <v>33</v>
      </c>
      <c r="L803" s="3" t="s">
        <v>51</v>
      </c>
      <c r="M803" s="3" t="s">
        <v>438</v>
      </c>
      <c r="N803" s="3" t="s">
        <v>439</v>
      </c>
      <c r="O803" s="3" t="s">
        <v>197</v>
      </c>
      <c r="P803" s="3" t="s">
        <v>198</v>
      </c>
      <c r="Q803" s="3" t="s">
        <v>39</v>
      </c>
      <c r="R803" s="3" t="s">
        <v>40</v>
      </c>
      <c r="S803" s="55">
        <v>35585.699999999997</v>
      </c>
      <c r="T803" s="55">
        <v>8268.2965999999997</v>
      </c>
      <c r="U803" s="55">
        <v>7172.7564000000002</v>
      </c>
      <c r="V803" s="55">
        <v>27317.403399999999</v>
      </c>
      <c r="W803" s="3">
        <v>23</v>
      </c>
    </row>
    <row r="804" spans="1:23" x14ac:dyDescent="0.35">
      <c r="A804" s="3" t="s">
        <v>458</v>
      </c>
      <c r="B804" s="3" t="s">
        <v>459</v>
      </c>
      <c r="C804" s="3" t="s">
        <v>342</v>
      </c>
      <c r="D804" s="3" t="s">
        <v>337</v>
      </c>
      <c r="E804" s="3" t="s">
        <v>327</v>
      </c>
      <c r="F804" s="3" t="s">
        <v>116</v>
      </c>
      <c r="G804" s="3" t="s">
        <v>338</v>
      </c>
      <c r="H804" s="3" t="s">
        <v>146</v>
      </c>
      <c r="I804" s="3" t="s">
        <v>329</v>
      </c>
      <c r="J804" s="3" t="s">
        <v>330</v>
      </c>
      <c r="K804" s="3" t="s">
        <v>33</v>
      </c>
      <c r="L804" s="3" t="s">
        <v>51</v>
      </c>
      <c r="M804" s="3" t="s">
        <v>343</v>
      </c>
      <c r="N804" s="3" t="s">
        <v>344</v>
      </c>
      <c r="O804" s="3" t="s">
        <v>37</v>
      </c>
      <c r="P804" s="3" t="s">
        <v>38</v>
      </c>
      <c r="Q804" s="3" t="s">
        <v>39</v>
      </c>
      <c r="R804" s="3" t="s">
        <v>40</v>
      </c>
      <c r="S804" s="55">
        <v>46.1</v>
      </c>
      <c r="T804" s="55">
        <v>0</v>
      </c>
      <c r="U804" s="55">
        <v>0</v>
      </c>
      <c r="V804" s="55">
        <v>46.1</v>
      </c>
      <c r="W804" s="3">
        <v>0</v>
      </c>
    </row>
    <row r="805" spans="1:23" x14ac:dyDescent="0.35">
      <c r="A805" s="3" t="s">
        <v>458</v>
      </c>
      <c r="B805" s="3" t="s">
        <v>459</v>
      </c>
      <c r="C805" s="3" t="s">
        <v>345</v>
      </c>
      <c r="D805" s="3" t="s">
        <v>337</v>
      </c>
      <c r="E805" s="3" t="s">
        <v>327</v>
      </c>
      <c r="F805" s="3" t="s">
        <v>116</v>
      </c>
      <c r="G805" s="3" t="s">
        <v>338</v>
      </c>
      <c r="H805" s="3" t="s">
        <v>146</v>
      </c>
      <c r="I805" s="3" t="s">
        <v>329</v>
      </c>
      <c r="J805" s="3" t="s">
        <v>330</v>
      </c>
      <c r="K805" s="3" t="s">
        <v>33</v>
      </c>
      <c r="L805" s="3" t="s">
        <v>51</v>
      </c>
      <c r="M805" s="3" t="s">
        <v>346</v>
      </c>
      <c r="N805" s="3" t="s">
        <v>347</v>
      </c>
      <c r="O805" s="3" t="s">
        <v>197</v>
      </c>
      <c r="P805" s="3" t="s">
        <v>198</v>
      </c>
      <c r="Q805" s="3" t="s">
        <v>39</v>
      </c>
      <c r="R805" s="3" t="s">
        <v>40</v>
      </c>
      <c r="S805" s="55">
        <v>98282.8</v>
      </c>
      <c r="T805" s="55">
        <v>0</v>
      </c>
      <c r="U805" s="55">
        <v>0</v>
      </c>
      <c r="V805" s="55">
        <v>98282.8</v>
      </c>
      <c r="W805" s="3">
        <v>0</v>
      </c>
    </row>
    <row r="806" spans="1:23" x14ac:dyDescent="0.35">
      <c r="A806" s="3" t="s">
        <v>458</v>
      </c>
      <c r="B806" s="3" t="s">
        <v>459</v>
      </c>
      <c r="C806" s="3" t="s">
        <v>489</v>
      </c>
      <c r="D806" s="3" t="s">
        <v>337</v>
      </c>
      <c r="E806" s="3" t="s">
        <v>327</v>
      </c>
      <c r="F806" s="3" t="s">
        <v>116</v>
      </c>
      <c r="G806" s="3" t="s">
        <v>338</v>
      </c>
      <c r="H806" s="3" t="s">
        <v>146</v>
      </c>
      <c r="I806" s="3" t="s">
        <v>329</v>
      </c>
      <c r="J806" s="3" t="s">
        <v>330</v>
      </c>
      <c r="K806" s="3" t="s">
        <v>33</v>
      </c>
      <c r="L806" s="3" t="s">
        <v>51</v>
      </c>
      <c r="M806" s="3" t="s">
        <v>490</v>
      </c>
      <c r="N806" s="3" t="s">
        <v>491</v>
      </c>
      <c r="O806" s="3" t="s">
        <v>197</v>
      </c>
      <c r="P806" s="3" t="s">
        <v>198</v>
      </c>
      <c r="Q806" s="3" t="s">
        <v>39</v>
      </c>
      <c r="R806" s="3" t="s">
        <v>40</v>
      </c>
      <c r="S806" s="55">
        <v>14237.2</v>
      </c>
      <c r="T806" s="55">
        <v>0</v>
      </c>
      <c r="U806" s="55">
        <v>0</v>
      </c>
      <c r="V806" s="55">
        <v>14237.2</v>
      </c>
      <c r="W806" s="3">
        <v>0</v>
      </c>
    </row>
    <row r="807" spans="1:23" x14ac:dyDescent="0.35">
      <c r="A807" s="3" t="s">
        <v>458</v>
      </c>
      <c r="B807" s="3" t="s">
        <v>459</v>
      </c>
      <c r="C807" s="3" t="s">
        <v>348</v>
      </c>
      <c r="D807" s="3" t="s">
        <v>337</v>
      </c>
      <c r="E807" s="3" t="s">
        <v>327</v>
      </c>
      <c r="F807" s="3" t="s">
        <v>116</v>
      </c>
      <c r="G807" s="3" t="s">
        <v>338</v>
      </c>
      <c r="H807" s="3" t="s">
        <v>146</v>
      </c>
      <c r="I807" s="3" t="s">
        <v>329</v>
      </c>
      <c r="J807" s="3" t="s">
        <v>330</v>
      </c>
      <c r="K807" s="3" t="s">
        <v>33</v>
      </c>
      <c r="L807" s="3" t="s">
        <v>51</v>
      </c>
      <c r="M807" s="3" t="s">
        <v>349</v>
      </c>
      <c r="N807" s="3" t="s">
        <v>350</v>
      </c>
      <c r="O807" s="3" t="s">
        <v>197</v>
      </c>
      <c r="P807" s="3" t="s">
        <v>198</v>
      </c>
      <c r="Q807" s="3" t="s">
        <v>39</v>
      </c>
      <c r="R807" s="3" t="s">
        <v>40</v>
      </c>
      <c r="S807" s="55">
        <v>100</v>
      </c>
      <c r="T807" s="55">
        <v>0</v>
      </c>
      <c r="U807" s="55">
        <v>0</v>
      </c>
      <c r="V807" s="55">
        <v>100</v>
      </c>
      <c r="W807" s="3">
        <v>0</v>
      </c>
    </row>
    <row r="808" spans="1:23" x14ac:dyDescent="0.35">
      <c r="A808" s="3" t="s">
        <v>458</v>
      </c>
      <c r="B808" s="3" t="s">
        <v>459</v>
      </c>
      <c r="C808" s="3" t="s">
        <v>546</v>
      </c>
      <c r="D808" s="3" t="s">
        <v>337</v>
      </c>
      <c r="E808" s="3" t="s">
        <v>327</v>
      </c>
      <c r="F808" s="3" t="s">
        <v>116</v>
      </c>
      <c r="G808" s="3" t="s">
        <v>338</v>
      </c>
      <c r="H808" s="3" t="s">
        <v>146</v>
      </c>
      <c r="I808" s="3" t="s">
        <v>329</v>
      </c>
      <c r="J808" s="3" t="s">
        <v>330</v>
      </c>
      <c r="K808" s="3" t="s">
        <v>33</v>
      </c>
      <c r="L808" s="3" t="s">
        <v>51</v>
      </c>
      <c r="M808" s="3" t="s">
        <v>547</v>
      </c>
      <c r="N808" s="3" t="s">
        <v>548</v>
      </c>
      <c r="O808" s="3" t="s">
        <v>197</v>
      </c>
      <c r="P808" s="3" t="s">
        <v>198</v>
      </c>
      <c r="Q808" s="3" t="s">
        <v>39</v>
      </c>
      <c r="R808" s="3" t="s">
        <v>40</v>
      </c>
      <c r="S808" s="55">
        <v>15384.9</v>
      </c>
      <c r="T808" s="55">
        <v>0</v>
      </c>
      <c r="U808" s="55">
        <v>0</v>
      </c>
      <c r="V808" s="55">
        <v>15384.9</v>
      </c>
      <c r="W808" s="3">
        <v>0</v>
      </c>
    </row>
    <row r="809" spans="1:23" x14ac:dyDescent="0.35">
      <c r="A809" s="3" t="s">
        <v>458</v>
      </c>
      <c r="B809" s="3" t="s">
        <v>459</v>
      </c>
      <c r="C809" s="3" t="s">
        <v>455</v>
      </c>
      <c r="D809" s="3" t="s">
        <v>337</v>
      </c>
      <c r="E809" s="3" t="s">
        <v>327</v>
      </c>
      <c r="F809" s="3" t="s">
        <v>116</v>
      </c>
      <c r="G809" s="3" t="s">
        <v>338</v>
      </c>
      <c r="H809" s="3" t="s">
        <v>146</v>
      </c>
      <c r="I809" s="3" t="s">
        <v>329</v>
      </c>
      <c r="J809" s="3" t="s">
        <v>330</v>
      </c>
      <c r="K809" s="3" t="s">
        <v>33</v>
      </c>
      <c r="L809" s="3" t="s">
        <v>51</v>
      </c>
      <c r="M809" s="3" t="s">
        <v>456</v>
      </c>
      <c r="N809" s="3" t="s">
        <v>457</v>
      </c>
      <c r="O809" s="3" t="s">
        <v>197</v>
      </c>
      <c r="P809" s="3" t="s">
        <v>198</v>
      </c>
      <c r="Q809" s="3" t="s">
        <v>39</v>
      </c>
      <c r="R809" s="3" t="s">
        <v>40</v>
      </c>
      <c r="S809" s="55">
        <v>2903.1</v>
      </c>
      <c r="T809" s="55">
        <v>0</v>
      </c>
      <c r="U809" s="55">
        <v>0</v>
      </c>
      <c r="V809" s="55">
        <v>2903.1</v>
      </c>
      <c r="W809" s="3">
        <v>0</v>
      </c>
    </row>
    <row r="810" spans="1:23" x14ac:dyDescent="0.35">
      <c r="A810" s="3" t="s">
        <v>458</v>
      </c>
      <c r="B810" s="3" t="s">
        <v>459</v>
      </c>
      <c r="C810" s="3" t="s">
        <v>354</v>
      </c>
      <c r="D810" s="3" t="s">
        <v>337</v>
      </c>
      <c r="E810" s="3" t="s">
        <v>327</v>
      </c>
      <c r="F810" s="3" t="s">
        <v>116</v>
      </c>
      <c r="G810" s="3" t="s">
        <v>338</v>
      </c>
      <c r="H810" s="3" t="s">
        <v>146</v>
      </c>
      <c r="I810" s="3" t="s">
        <v>329</v>
      </c>
      <c r="J810" s="3" t="s">
        <v>330</v>
      </c>
      <c r="K810" s="3" t="s">
        <v>33</v>
      </c>
      <c r="L810" s="3" t="s">
        <v>51</v>
      </c>
      <c r="M810" s="3" t="s">
        <v>355</v>
      </c>
      <c r="N810" s="3" t="s">
        <v>356</v>
      </c>
      <c r="O810" s="3" t="s">
        <v>197</v>
      </c>
      <c r="P810" s="3" t="s">
        <v>198</v>
      </c>
      <c r="Q810" s="3" t="s">
        <v>39</v>
      </c>
      <c r="R810" s="3" t="s">
        <v>40</v>
      </c>
      <c r="S810" s="55">
        <v>34143.9</v>
      </c>
      <c r="T810" s="55">
        <v>8925.7070999999996</v>
      </c>
      <c r="U810" s="55">
        <v>3058.6689999999999</v>
      </c>
      <c r="V810" s="55">
        <v>25218.192899999998</v>
      </c>
      <c r="W810" s="3">
        <v>26</v>
      </c>
    </row>
    <row r="811" spans="1:23" x14ac:dyDescent="0.35">
      <c r="A811" s="3" t="s">
        <v>458</v>
      </c>
      <c r="B811" s="3" t="s">
        <v>459</v>
      </c>
      <c r="C811" s="3" t="s">
        <v>463</v>
      </c>
      <c r="D811" s="3" t="s">
        <v>337</v>
      </c>
      <c r="E811" s="3" t="s">
        <v>327</v>
      </c>
      <c r="F811" s="3" t="s">
        <v>116</v>
      </c>
      <c r="G811" s="3" t="s">
        <v>338</v>
      </c>
      <c r="H811" s="3" t="s">
        <v>146</v>
      </c>
      <c r="I811" s="3" t="s">
        <v>329</v>
      </c>
      <c r="J811" s="3" t="s">
        <v>330</v>
      </c>
      <c r="K811" s="3" t="s">
        <v>33</v>
      </c>
      <c r="L811" s="3" t="s">
        <v>51</v>
      </c>
      <c r="M811" s="3" t="s">
        <v>464</v>
      </c>
      <c r="N811" s="3" t="s">
        <v>465</v>
      </c>
      <c r="O811" s="3" t="s">
        <v>197</v>
      </c>
      <c r="P811" s="3" t="s">
        <v>198</v>
      </c>
      <c r="Q811" s="3" t="s">
        <v>39</v>
      </c>
      <c r="R811" s="3" t="s">
        <v>40</v>
      </c>
      <c r="S811" s="55">
        <v>2395.8000000000002</v>
      </c>
      <c r="T811" s="55">
        <v>0</v>
      </c>
      <c r="U811" s="55">
        <v>0</v>
      </c>
      <c r="V811" s="55">
        <v>2395.8000000000002</v>
      </c>
      <c r="W811" s="3">
        <v>0</v>
      </c>
    </row>
    <row r="812" spans="1:23" x14ac:dyDescent="0.35">
      <c r="A812" s="3" t="s">
        <v>458</v>
      </c>
      <c r="B812" s="3" t="s">
        <v>459</v>
      </c>
      <c r="C812" s="3" t="s">
        <v>363</v>
      </c>
      <c r="D812" s="3" t="s">
        <v>364</v>
      </c>
      <c r="E812" s="3" t="s">
        <v>365</v>
      </c>
      <c r="F812" s="3" t="s">
        <v>189</v>
      </c>
      <c r="G812" s="3" t="s">
        <v>366</v>
      </c>
      <c r="H812" s="3" t="s">
        <v>28</v>
      </c>
      <c r="I812" s="3" t="s">
        <v>231</v>
      </c>
      <c r="J812" s="3" t="s">
        <v>232</v>
      </c>
      <c r="K812" s="3" t="s">
        <v>33</v>
      </c>
      <c r="L812" s="3" t="s">
        <v>51</v>
      </c>
      <c r="M812" s="3" t="s">
        <v>367</v>
      </c>
      <c r="N812" s="3" t="s">
        <v>368</v>
      </c>
      <c r="O812" s="3" t="s">
        <v>108</v>
      </c>
      <c r="P812" s="3" t="s">
        <v>109</v>
      </c>
      <c r="Q812" s="3" t="s">
        <v>39</v>
      </c>
      <c r="R812" s="3" t="s">
        <v>40</v>
      </c>
      <c r="S812" s="55">
        <v>181890.3</v>
      </c>
      <c r="T812" s="55">
        <v>59587.5291</v>
      </c>
      <c r="U812" s="55">
        <v>15558.9697</v>
      </c>
      <c r="V812" s="55">
        <v>122302.7709</v>
      </c>
      <c r="W812" s="3">
        <v>33</v>
      </c>
    </row>
    <row r="813" spans="1:23" x14ac:dyDescent="0.35">
      <c r="A813" s="3" t="s">
        <v>458</v>
      </c>
      <c r="B813" s="3" t="s">
        <v>459</v>
      </c>
      <c r="C813" s="3" t="s">
        <v>369</v>
      </c>
      <c r="D813" s="3" t="s">
        <v>364</v>
      </c>
      <c r="E813" s="3" t="s">
        <v>365</v>
      </c>
      <c r="F813" s="3" t="s">
        <v>189</v>
      </c>
      <c r="G813" s="3" t="s">
        <v>366</v>
      </c>
      <c r="H813" s="3" t="s">
        <v>28</v>
      </c>
      <c r="I813" s="3" t="s">
        <v>231</v>
      </c>
      <c r="J813" s="3" t="s">
        <v>232</v>
      </c>
      <c r="K813" s="3" t="s">
        <v>33</v>
      </c>
      <c r="L813" s="3" t="s">
        <v>51</v>
      </c>
      <c r="M813" s="3" t="s">
        <v>367</v>
      </c>
      <c r="N813" s="3" t="s">
        <v>368</v>
      </c>
      <c r="O813" s="3" t="s">
        <v>334</v>
      </c>
      <c r="P813" s="3" t="s">
        <v>335</v>
      </c>
      <c r="Q813" s="3" t="s">
        <v>39</v>
      </c>
      <c r="R813" s="3" t="s">
        <v>40</v>
      </c>
      <c r="S813" s="55">
        <v>18356.2</v>
      </c>
      <c r="T813" s="55">
        <v>4951.7608</v>
      </c>
      <c r="U813" s="55">
        <v>1314.4386</v>
      </c>
      <c r="V813" s="55">
        <v>13404.439200000001</v>
      </c>
      <c r="W813" s="3">
        <v>27</v>
      </c>
    </row>
    <row r="814" spans="1:23" x14ac:dyDescent="0.35">
      <c r="A814" s="3" t="s">
        <v>458</v>
      </c>
      <c r="B814" s="3" t="s">
        <v>459</v>
      </c>
      <c r="C814" s="3" t="s">
        <v>373</v>
      </c>
      <c r="D814" s="3" t="s">
        <v>364</v>
      </c>
      <c r="E814" s="3" t="s">
        <v>365</v>
      </c>
      <c r="F814" s="3" t="s">
        <v>189</v>
      </c>
      <c r="G814" s="3" t="s">
        <v>366</v>
      </c>
      <c r="H814" s="3" t="s">
        <v>28</v>
      </c>
      <c r="I814" s="3" t="s">
        <v>231</v>
      </c>
      <c r="J814" s="3" t="s">
        <v>232</v>
      </c>
      <c r="K814" s="3" t="s">
        <v>33</v>
      </c>
      <c r="L814" s="3" t="s">
        <v>51</v>
      </c>
      <c r="M814" s="3" t="s">
        <v>371</v>
      </c>
      <c r="N814" s="3" t="s">
        <v>372</v>
      </c>
      <c r="O814" s="3" t="s">
        <v>334</v>
      </c>
      <c r="P814" s="3" t="s">
        <v>335</v>
      </c>
      <c r="Q814" s="3" t="s">
        <v>39</v>
      </c>
      <c r="R814" s="3" t="s">
        <v>40</v>
      </c>
      <c r="S814" s="55">
        <v>109296.5</v>
      </c>
      <c r="T814" s="55">
        <v>43235.5406</v>
      </c>
      <c r="U814" s="55">
        <v>9209.2939999999999</v>
      </c>
      <c r="V814" s="55">
        <v>66060.959400000007</v>
      </c>
      <c r="W814" s="3">
        <v>40</v>
      </c>
    </row>
    <row r="815" spans="1:23" x14ac:dyDescent="0.35">
      <c r="A815" s="3" t="s">
        <v>458</v>
      </c>
      <c r="B815" s="3" t="s">
        <v>459</v>
      </c>
      <c r="C815" s="3" t="s">
        <v>374</v>
      </c>
      <c r="D815" s="3" t="s">
        <v>364</v>
      </c>
      <c r="E815" s="3" t="s">
        <v>365</v>
      </c>
      <c r="F815" s="3" t="s">
        <v>189</v>
      </c>
      <c r="G815" s="3" t="s">
        <v>366</v>
      </c>
      <c r="H815" s="3" t="s">
        <v>28</v>
      </c>
      <c r="I815" s="3" t="s">
        <v>231</v>
      </c>
      <c r="J815" s="3" t="s">
        <v>232</v>
      </c>
      <c r="K815" s="3" t="s">
        <v>33</v>
      </c>
      <c r="L815" s="3" t="s">
        <v>51</v>
      </c>
      <c r="M815" s="3" t="s">
        <v>375</v>
      </c>
      <c r="N815" s="3" t="s">
        <v>376</v>
      </c>
      <c r="O815" s="3" t="s">
        <v>197</v>
      </c>
      <c r="P815" s="3" t="s">
        <v>198</v>
      </c>
      <c r="Q815" s="3" t="s">
        <v>39</v>
      </c>
      <c r="R815" s="3" t="s">
        <v>40</v>
      </c>
      <c r="S815" s="55">
        <v>10386</v>
      </c>
      <c r="T815" s="55">
        <v>0</v>
      </c>
      <c r="U815" s="55">
        <v>0</v>
      </c>
      <c r="V815" s="55">
        <v>10386</v>
      </c>
      <c r="W815" s="3">
        <v>0</v>
      </c>
    </row>
    <row r="816" spans="1:23" x14ac:dyDescent="0.35">
      <c r="A816" s="3" t="s">
        <v>458</v>
      </c>
      <c r="B816" s="3" t="s">
        <v>459</v>
      </c>
      <c r="C816" s="3" t="s">
        <v>377</v>
      </c>
      <c r="D816" s="3" t="s">
        <v>364</v>
      </c>
      <c r="E816" s="3" t="s">
        <v>365</v>
      </c>
      <c r="F816" s="3" t="s">
        <v>189</v>
      </c>
      <c r="G816" s="3" t="s">
        <v>366</v>
      </c>
      <c r="H816" s="3" t="s">
        <v>28</v>
      </c>
      <c r="I816" s="3" t="s">
        <v>231</v>
      </c>
      <c r="J816" s="3" t="s">
        <v>232</v>
      </c>
      <c r="K816" s="3" t="s">
        <v>33</v>
      </c>
      <c r="L816" s="3" t="s">
        <v>51</v>
      </c>
      <c r="M816" s="3" t="s">
        <v>378</v>
      </c>
      <c r="N816" s="3" t="s">
        <v>549</v>
      </c>
      <c r="O816" s="3" t="s">
        <v>108</v>
      </c>
      <c r="P816" s="3" t="s">
        <v>109</v>
      </c>
      <c r="Q816" s="3" t="s">
        <v>39</v>
      </c>
      <c r="R816" s="3" t="s">
        <v>40</v>
      </c>
      <c r="S816" s="55">
        <v>12844.7</v>
      </c>
      <c r="T816" s="55">
        <v>3964.1741999999999</v>
      </c>
      <c r="U816" s="55">
        <v>1120.7831000000001</v>
      </c>
      <c r="V816" s="55">
        <v>8880.5257999999994</v>
      </c>
      <c r="W816" s="3">
        <v>31</v>
      </c>
    </row>
    <row r="817" spans="1:23" x14ac:dyDescent="0.35">
      <c r="A817" s="3" t="s">
        <v>458</v>
      </c>
      <c r="B817" s="3" t="s">
        <v>459</v>
      </c>
      <c r="C817" s="3" t="s">
        <v>380</v>
      </c>
      <c r="D817" s="3" t="s">
        <v>364</v>
      </c>
      <c r="E817" s="3" t="s">
        <v>365</v>
      </c>
      <c r="F817" s="3" t="s">
        <v>189</v>
      </c>
      <c r="G817" s="3" t="s">
        <v>366</v>
      </c>
      <c r="H817" s="3" t="s">
        <v>28</v>
      </c>
      <c r="I817" s="3" t="s">
        <v>231</v>
      </c>
      <c r="J817" s="3" t="s">
        <v>232</v>
      </c>
      <c r="K817" s="3" t="s">
        <v>33</v>
      </c>
      <c r="L817" s="3" t="s">
        <v>51</v>
      </c>
      <c r="M817" s="3" t="s">
        <v>378</v>
      </c>
      <c r="N817" s="3" t="s">
        <v>549</v>
      </c>
      <c r="O817" s="3" t="s">
        <v>334</v>
      </c>
      <c r="P817" s="3" t="s">
        <v>335</v>
      </c>
      <c r="Q817" s="3" t="s">
        <v>39</v>
      </c>
      <c r="R817" s="3" t="s">
        <v>40</v>
      </c>
      <c r="S817" s="55">
        <v>443478.3</v>
      </c>
      <c r="T817" s="55">
        <v>144126.11989999999</v>
      </c>
      <c r="U817" s="55">
        <v>31134.952300000001</v>
      </c>
      <c r="V817" s="55">
        <v>299352.1801</v>
      </c>
      <c r="W817" s="3">
        <v>32</v>
      </c>
    </row>
    <row r="818" spans="1:23" x14ac:dyDescent="0.35">
      <c r="A818" s="3" t="s">
        <v>458</v>
      </c>
      <c r="B818" s="3" t="s">
        <v>459</v>
      </c>
      <c r="C818" s="3" t="s">
        <v>384</v>
      </c>
      <c r="D818" s="3" t="s">
        <v>364</v>
      </c>
      <c r="E818" s="3" t="s">
        <v>365</v>
      </c>
      <c r="F818" s="3" t="s">
        <v>189</v>
      </c>
      <c r="G818" s="3" t="s">
        <v>366</v>
      </c>
      <c r="H818" s="3" t="s">
        <v>28</v>
      </c>
      <c r="I818" s="3" t="s">
        <v>231</v>
      </c>
      <c r="J818" s="3" t="s">
        <v>232</v>
      </c>
      <c r="K818" s="3" t="s">
        <v>33</v>
      </c>
      <c r="L818" s="3" t="s">
        <v>51</v>
      </c>
      <c r="M818" s="3" t="s">
        <v>382</v>
      </c>
      <c r="N818" s="3" t="s">
        <v>383</v>
      </c>
      <c r="O818" s="3" t="s">
        <v>334</v>
      </c>
      <c r="P818" s="3" t="s">
        <v>335</v>
      </c>
      <c r="Q818" s="3" t="s">
        <v>39</v>
      </c>
      <c r="R818" s="3" t="s">
        <v>40</v>
      </c>
      <c r="S818" s="55">
        <v>51058.7</v>
      </c>
      <c r="T818" s="55">
        <v>17437.692299999999</v>
      </c>
      <c r="U818" s="55">
        <v>3998.6662999999999</v>
      </c>
      <c r="V818" s="55">
        <v>33621.007700000002</v>
      </c>
      <c r="W818" s="3">
        <v>34</v>
      </c>
    </row>
    <row r="819" spans="1:23" x14ac:dyDescent="0.35">
      <c r="A819" s="3" t="s">
        <v>458</v>
      </c>
      <c r="B819" s="3" t="s">
        <v>459</v>
      </c>
      <c r="C819" s="3" t="s">
        <v>391</v>
      </c>
      <c r="D819" s="3" t="s">
        <v>392</v>
      </c>
      <c r="E819" s="3" t="s">
        <v>365</v>
      </c>
      <c r="F819" s="3" t="s">
        <v>28</v>
      </c>
      <c r="G819" s="3" t="s">
        <v>393</v>
      </c>
      <c r="H819" s="3" t="s">
        <v>28</v>
      </c>
      <c r="I819" s="3" t="s">
        <v>231</v>
      </c>
      <c r="J819" s="3" t="s">
        <v>232</v>
      </c>
      <c r="K819" s="3" t="s">
        <v>33</v>
      </c>
      <c r="L819" s="3" t="s">
        <v>51</v>
      </c>
      <c r="M819" s="3" t="s">
        <v>394</v>
      </c>
      <c r="N819" s="3" t="s">
        <v>395</v>
      </c>
      <c r="O819" s="3" t="s">
        <v>197</v>
      </c>
      <c r="P819" s="3" t="s">
        <v>198</v>
      </c>
      <c r="Q819" s="3" t="s">
        <v>39</v>
      </c>
      <c r="R819" s="3" t="s">
        <v>40</v>
      </c>
      <c r="S819" s="55">
        <v>48948.800000000003</v>
      </c>
      <c r="T819" s="55">
        <v>4148.9655000000002</v>
      </c>
      <c r="U819" s="55">
        <v>1332.3510000000001</v>
      </c>
      <c r="V819" s="55">
        <v>44799.834499999997</v>
      </c>
      <c r="W819" s="3">
        <v>8</v>
      </c>
    </row>
    <row r="820" spans="1:23" x14ac:dyDescent="0.35">
      <c r="A820" s="3" t="s">
        <v>458</v>
      </c>
      <c r="B820" s="3" t="s">
        <v>459</v>
      </c>
      <c r="C820" s="3" t="s">
        <v>550</v>
      </c>
      <c r="D820" s="3" t="s">
        <v>397</v>
      </c>
      <c r="E820" s="3" t="s">
        <v>365</v>
      </c>
      <c r="F820" s="3" t="s">
        <v>318</v>
      </c>
      <c r="G820" s="3" t="s">
        <v>398</v>
      </c>
      <c r="H820" s="3" t="s">
        <v>28</v>
      </c>
      <c r="I820" s="3" t="s">
        <v>231</v>
      </c>
      <c r="J820" s="3" t="s">
        <v>232</v>
      </c>
      <c r="K820" s="3" t="s">
        <v>33</v>
      </c>
      <c r="L820" s="3" t="s">
        <v>51</v>
      </c>
      <c r="M820" s="3" t="s">
        <v>551</v>
      </c>
      <c r="N820" s="3" t="s">
        <v>552</v>
      </c>
      <c r="O820" s="3" t="s">
        <v>108</v>
      </c>
      <c r="P820" s="3" t="s">
        <v>109</v>
      </c>
      <c r="Q820" s="3" t="s">
        <v>39</v>
      </c>
      <c r="R820" s="3" t="s">
        <v>40</v>
      </c>
      <c r="S820" s="55">
        <v>32359.3</v>
      </c>
      <c r="T820" s="55">
        <v>5333.5307000000003</v>
      </c>
      <c r="U820" s="55">
        <v>4521.5972000000002</v>
      </c>
      <c r="V820" s="55">
        <v>27025.7693</v>
      </c>
      <c r="W820" s="3">
        <v>16</v>
      </c>
    </row>
    <row r="821" spans="1:23" x14ac:dyDescent="0.35">
      <c r="A821" s="3" t="s">
        <v>458</v>
      </c>
      <c r="B821" s="3" t="s">
        <v>459</v>
      </c>
      <c r="C821" s="3" t="s">
        <v>553</v>
      </c>
      <c r="D821" s="3" t="s">
        <v>404</v>
      </c>
      <c r="E821" s="3" t="s">
        <v>405</v>
      </c>
      <c r="F821" s="3" t="s">
        <v>146</v>
      </c>
      <c r="G821" s="3" t="s">
        <v>406</v>
      </c>
      <c r="H821" s="3" t="s">
        <v>318</v>
      </c>
      <c r="I821" s="3" t="s">
        <v>407</v>
      </c>
      <c r="J821" s="3" t="s">
        <v>554</v>
      </c>
      <c r="K821" s="3" t="s">
        <v>23</v>
      </c>
      <c r="L821" s="3" t="s">
        <v>203</v>
      </c>
      <c r="M821" s="3" t="s">
        <v>555</v>
      </c>
      <c r="N821" s="3" t="s">
        <v>442</v>
      </c>
      <c r="O821" s="3" t="s">
        <v>197</v>
      </c>
      <c r="P821" s="3" t="s">
        <v>198</v>
      </c>
      <c r="Q821" s="3" t="s">
        <v>39</v>
      </c>
      <c r="R821" s="3" t="s">
        <v>40</v>
      </c>
      <c r="S821" s="55">
        <v>9879.5</v>
      </c>
      <c r="T821" s="55">
        <v>12.15</v>
      </c>
      <c r="U821" s="55">
        <v>12.15</v>
      </c>
      <c r="V821" s="55">
        <v>9867.35</v>
      </c>
      <c r="W821" s="3">
        <v>0</v>
      </c>
    </row>
    <row r="822" spans="1:23" x14ac:dyDescent="0.35">
      <c r="A822" s="3" t="s">
        <v>458</v>
      </c>
      <c r="B822" s="3" t="s">
        <v>459</v>
      </c>
      <c r="C822" s="3" t="s">
        <v>403</v>
      </c>
      <c r="D822" s="3" t="s">
        <v>404</v>
      </c>
      <c r="E822" s="3" t="s">
        <v>405</v>
      </c>
      <c r="F822" s="3" t="s">
        <v>146</v>
      </c>
      <c r="G822" s="3" t="s">
        <v>406</v>
      </c>
      <c r="H822" s="3" t="s">
        <v>318</v>
      </c>
      <c r="I822" s="3" t="s">
        <v>407</v>
      </c>
      <c r="J822" s="3" t="s">
        <v>408</v>
      </c>
      <c r="K822" s="3" t="s">
        <v>33</v>
      </c>
      <c r="L822" s="3" t="s">
        <v>51</v>
      </c>
      <c r="M822" s="3" t="s">
        <v>409</v>
      </c>
      <c r="N822" s="3" t="s">
        <v>410</v>
      </c>
      <c r="O822" s="3" t="s">
        <v>108</v>
      </c>
      <c r="P822" s="3" t="s">
        <v>109</v>
      </c>
      <c r="Q822" s="3" t="s">
        <v>39</v>
      </c>
      <c r="R822" s="3" t="s">
        <v>40</v>
      </c>
      <c r="S822" s="55">
        <v>183125.7</v>
      </c>
      <c r="T822" s="55">
        <v>60390.701099999998</v>
      </c>
      <c r="U822" s="55">
        <v>12836.602999999999</v>
      </c>
      <c r="V822" s="55">
        <v>122734.99890000001</v>
      </c>
      <c r="W822" s="3">
        <v>33</v>
      </c>
    </row>
    <row r="823" spans="1:23" x14ac:dyDescent="0.35">
      <c r="A823" s="3" t="s">
        <v>458</v>
      </c>
      <c r="B823" s="3" t="s">
        <v>459</v>
      </c>
      <c r="C823" s="3" t="s">
        <v>556</v>
      </c>
      <c r="D823" s="3" t="s">
        <v>412</v>
      </c>
      <c r="E823" s="3" t="s">
        <v>405</v>
      </c>
      <c r="F823" s="3" t="s">
        <v>189</v>
      </c>
      <c r="G823" s="3" t="s">
        <v>413</v>
      </c>
      <c r="H823" s="3" t="s">
        <v>318</v>
      </c>
      <c r="I823" s="3" t="s">
        <v>407</v>
      </c>
      <c r="J823" s="3" t="s">
        <v>554</v>
      </c>
      <c r="K823" s="3" t="s">
        <v>23</v>
      </c>
      <c r="L823" s="3" t="s">
        <v>203</v>
      </c>
      <c r="M823" s="3" t="s">
        <v>557</v>
      </c>
      <c r="N823" s="3" t="s">
        <v>415</v>
      </c>
      <c r="O823" s="3" t="s">
        <v>197</v>
      </c>
      <c r="P823" s="3" t="s">
        <v>198</v>
      </c>
      <c r="Q823" s="3" t="s">
        <v>39</v>
      </c>
      <c r="R823" s="3" t="s">
        <v>40</v>
      </c>
      <c r="S823" s="55">
        <v>3545.6</v>
      </c>
      <c r="T823" s="55">
        <v>277.14359999999999</v>
      </c>
      <c r="U823" s="55">
        <v>0</v>
      </c>
      <c r="V823" s="55">
        <v>3268.4564</v>
      </c>
      <c r="W823" s="3">
        <v>8</v>
      </c>
    </row>
    <row r="824" spans="1:23" x14ac:dyDescent="0.35">
      <c r="A824" s="3" t="s">
        <v>458</v>
      </c>
      <c r="B824" s="3" t="s">
        <v>459</v>
      </c>
      <c r="C824" s="3" t="s">
        <v>416</v>
      </c>
      <c r="D824" s="3" t="s">
        <v>417</v>
      </c>
      <c r="E824" s="3" t="s">
        <v>405</v>
      </c>
      <c r="F824" s="3" t="s">
        <v>28</v>
      </c>
      <c r="G824" s="3" t="s">
        <v>418</v>
      </c>
      <c r="H824" s="3" t="s">
        <v>318</v>
      </c>
      <c r="I824" s="3" t="s">
        <v>407</v>
      </c>
      <c r="J824" s="3" t="s">
        <v>408</v>
      </c>
      <c r="K824" s="3" t="s">
        <v>33</v>
      </c>
      <c r="L824" s="3" t="s">
        <v>51</v>
      </c>
      <c r="M824" s="3" t="s">
        <v>419</v>
      </c>
      <c r="N824" s="3" t="s">
        <v>420</v>
      </c>
      <c r="O824" s="3" t="s">
        <v>108</v>
      </c>
      <c r="P824" s="3" t="s">
        <v>109</v>
      </c>
      <c r="Q824" s="3" t="s">
        <v>39</v>
      </c>
      <c r="R824" s="3" t="s">
        <v>40</v>
      </c>
      <c r="S824" s="55">
        <v>325200.09999999998</v>
      </c>
      <c r="T824" s="55">
        <v>94507.839300000007</v>
      </c>
      <c r="U824" s="55">
        <v>22614.638200000001</v>
      </c>
      <c r="V824" s="55">
        <v>230692.26070000001</v>
      </c>
      <c r="W824" s="3">
        <v>29</v>
      </c>
    </row>
    <row r="825" spans="1:23" x14ac:dyDescent="0.35">
      <c r="A825" s="3" t="s">
        <v>33</v>
      </c>
      <c r="B825" s="3" t="s">
        <v>466</v>
      </c>
      <c r="C825" s="3" t="s">
        <v>25</v>
      </c>
      <c r="D825" s="3" t="s">
        <v>26</v>
      </c>
      <c r="E825" s="3" t="s">
        <v>27</v>
      </c>
      <c r="F825" s="3" t="s">
        <v>28</v>
      </c>
      <c r="G825" s="3" t="s">
        <v>29</v>
      </c>
      <c r="H825" s="3" t="s">
        <v>30</v>
      </c>
      <c r="I825" s="3" t="s">
        <v>31</v>
      </c>
      <c r="J825" s="3" t="s">
        <v>32</v>
      </c>
      <c r="K825" s="3" t="s">
        <v>33</v>
      </c>
      <c r="L825" s="3" t="s">
        <v>51</v>
      </c>
      <c r="M825" s="3" t="s">
        <v>35</v>
      </c>
      <c r="N825" s="3" t="s">
        <v>36</v>
      </c>
      <c r="O825" s="3" t="s">
        <v>37</v>
      </c>
      <c r="P825" s="3" t="s">
        <v>38</v>
      </c>
      <c r="Q825" s="3" t="s">
        <v>39</v>
      </c>
      <c r="R825" s="3" t="s">
        <v>40</v>
      </c>
      <c r="S825" s="55">
        <v>3772.6</v>
      </c>
      <c r="T825" s="55">
        <v>17.8306</v>
      </c>
      <c r="U825" s="55">
        <v>4.4576000000000002</v>
      </c>
      <c r="V825" s="55">
        <v>3754.7694000000001</v>
      </c>
      <c r="W825" s="3">
        <v>0</v>
      </c>
    </row>
    <row r="826" spans="1:23" x14ac:dyDescent="0.35">
      <c r="A826" s="3" t="s">
        <v>33</v>
      </c>
      <c r="B826" s="3" t="s">
        <v>466</v>
      </c>
      <c r="C826" s="3" t="s">
        <v>41</v>
      </c>
      <c r="D826" s="3" t="s">
        <v>26</v>
      </c>
      <c r="E826" s="3" t="s">
        <v>27</v>
      </c>
      <c r="F826" s="3" t="s">
        <v>28</v>
      </c>
      <c r="G826" s="3" t="s">
        <v>29</v>
      </c>
      <c r="H826" s="3" t="s">
        <v>30</v>
      </c>
      <c r="I826" s="3" t="s">
        <v>31</v>
      </c>
      <c r="J826" s="3" t="s">
        <v>32</v>
      </c>
      <c r="K826" s="3" t="s">
        <v>33</v>
      </c>
      <c r="L826" s="3" t="s">
        <v>51</v>
      </c>
      <c r="M826" s="3" t="s">
        <v>35</v>
      </c>
      <c r="N826" s="3" t="s">
        <v>36</v>
      </c>
      <c r="O826" s="3" t="s">
        <v>42</v>
      </c>
      <c r="P826" s="3" t="s">
        <v>43</v>
      </c>
      <c r="Q826" s="3" t="s">
        <v>39</v>
      </c>
      <c r="R826" s="3" t="s">
        <v>40</v>
      </c>
      <c r="S826" s="55">
        <v>8.3000000000000007</v>
      </c>
      <c r="T826" s="55">
        <v>0</v>
      </c>
      <c r="U826" s="55">
        <v>0</v>
      </c>
      <c r="V826" s="55">
        <v>8.3000000000000007</v>
      </c>
      <c r="W826" s="3">
        <v>0</v>
      </c>
    </row>
    <row r="827" spans="1:23" x14ac:dyDescent="0.35">
      <c r="A827" s="3" t="s">
        <v>33</v>
      </c>
      <c r="B827" s="3" t="s">
        <v>466</v>
      </c>
      <c r="C827" s="3" t="s">
        <v>44</v>
      </c>
      <c r="D827" s="3" t="s">
        <v>45</v>
      </c>
      <c r="E827" s="3" t="s">
        <v>27</v>
      </c>
      <c r="F827" s="3" t="s">
        <v>46</v>
      </c>
      <c r="G827" s="3" t="s">
        <v>47</v>
      </c>
      <c r="H827" s="3" t="s">
        <v>48</v>
      </c>
      <c r="I827" s="3" t="s">
        <v>49</v>
      </c>
      <c r="J827" s="3" t="s">
        <v>50</v>
      </c>
      <c r="K827" s="3" t="s">
        <v>33</v>
      </c>
      <c r="L827" s="3" t="s">
        <v>51</v>
      </c>
      <c r="M827" s="3" t="s">
        <v>52</v>
      </c>
      <c r="N827" s="3" t="s">
        <v>53</v>
      </c>
      <c r="O827" s="3" t="s">
        <v>54</v>
      </c>
      <c r="P827" s="3" t="s">
        <v>55</v>
      </c>
      <c r="Q827" s="3" t="s">
        <v>39</v>
      </c>
      <c r="R827" s="3" t="s">
        <v>40</v>
      </c>
      <c r="S827" s="55">
        <v>64.400000000000006</v>
      </c>
      <c r="T827" s="55">
        <v>0</v>
      </c>
      <c r="U827" s="55">
        <v>0</v>
      </c>
      <c r="V827" s="55">
        <v>64.400000000000006</v>
      </c>
      <c r="W827" s="3">
        <v>0</v>
      </c>
    </row>
    <row r="828" spans="1:23" x14ac:dyDescent="0.35">
      <c r="A828" s="3" t="s">
        <v>33</v>
      </c>
      <c r="B828" s="3" t="s">
        <v>466</v>
      </c>
      <c r="C828" s="3" t="s">
        <v>59</v>
      </c>
      <c r="D828" s="3" t="s">
        <v>45</v>
      </c>
      <c r="E828" s="3" t="s">
        <v>27</v>
      </c>
      <c r="F828" s="3" t="s">
        <v>46</v>
      </c>
      <c r="G828" s="3" t="s">
        <v>47</v>
      </c>
      <c r="H828" s="3" t="s">
        <v>60</v>
      </c>
      <c r="I828" s="3" t="s">
        <v>61</v>
      </c>
      <c r="J828" s="3" t="s">
        <v>62</v>
      </c>
      <c r="K828" s="3" t="s">
        <v>33</v>
      </c>
      <c r="L828" s="3" t="s">
        <v>51</v>
      </c>
      <c r="M828" s="3" t="s">
        <v>63</v>
      </c>
      <c r="N828" s="3" t="s">
        <v>64</v>
      </c>
      <c r="O828" s="3" t="s">
        <v>37</v>
      </c>
      <c r="P828" s="3" t="s">
        <v>38</v>
      </c>
      <c r="Q828" s="3" t="s">
        <v>39</v>
      </c>
      <c r="R828" s="3" t="s">
        <v>40</v>
      </c>
      <c r="S828" s="55">
        <v>208.2</v>
      </c>
      <c r="T828" s="55">
        <v>78.489999999999995</v>
      </c>
      <c r="U828" s="55">
        <v>13.4</v>
      </c>
      <c r="V828" s="55">
        <v>129.71</v>
      </c>
      <c r="W828" s="3">
        <v>38</v>
      </c>
    </row>
    <row r="829" spans="1:23" x14ac:dyDescent="0.35">
      <c r="A829" s="3" t="s">
        <v>33</v>
      </c>
      <c r="B829" s="3" t="s">
        <v>466</v>
      </c>
      <c r="C829" s="3" t="s">
        <v>65</v>
      </c>
      <c r="D829" s="3" t="s">
        <v>45</v>
      </c>
      <c r="E829" s="3" t="s">
        <v>27</v>
      </c>
      <c r="F829" s="3" t="s">
        <v>46</v>
      </c>
      <c r="G829" s="3" t="s">
        <v>47</v>
      </c>
      <c r="H829" s="3" t="s">
        <v>66</v>
      </c>
      <c r="I829" s="3" t="s">
        <v>67</v>
      </c>
      <c r="J829" s="3" t="s">
        <v>68</v>
      </c>
      <c r="K829" s="3" t="s">
        <v>33</v>
      </c>
      <c r="L829" s="3" t="s">
        <v>51</v>
      </c>
      <c r="M829" s="3" t="s">
        <v>69</v>
      </c>
      <c r="N829" s="3" t="s">
        <v>70</v>
      </c>
      <c r="O829" s="3" t="s">
        <v>37</v>
      </c>
      <c r="P829" s="3" t="s">
        <v>38</v>
      </c>
      <c r="Q829" s="3" t="s">
        <v>39</v>
      </c>
      <c r="R829" s="3" t="s">
        <v>40</v>
      </c>
      <c r="S829" s="55">
        <v>567.9</v>
      </c>
      <c r="T829" s="55">
        <v>0</v>
      </c>
      <c r="U829" s="55">
        <v>0</v>
      </c>
      <c r="V829" s="55">
        <v>567.9</v>
      </c>
      <c r="W829" s="3">
        <v>0</v>
      </c>
    </row>
    <row r="830" spans="1:23" x14ac:dyDescent="0.35">
      <c r="A830" s="3" t="s">
        <v>33</v>
      </c>
      <c r="B830" s="3" t="s">
        <v>466</v>
      </c>
      <c r="C830" s="3" t="s">
        <v>71</v>
      </c>
      <c r="D830" s="3" t="s">
        <v>45</v>
      </c>
      <c r="E830" s="3" t="s">
        <v>27</v>
      </c>
      <c r="F830" s="3" t="s">
        <v>46</v>
      </c>
      <c r="G830" s="3" t="s">
        <v>47</v>
      </c>
      <c r="H830" s="3" t="s">
        <v>30</v>
      </c>
      <c r="I830" s="3" t="s">
        <v>31</v>
      </c>
      <c r="J830" s="3" t="s">
        <v>32</v>
      </c>
      <c r="K830" s="3" t="s">
        <v>33</v>
      </c>
      <c r="L830" s="3" t="s">
        <v>51</v>
      </c>
      <c r="M830" s="3" t="s">
        <v>72</v>
      </c>
      <c r="N830" s="3" t="s">
        <v>73</v>
      </c>
      <c r="O830" s="3" t="s">
        <v>74</v>
      </c>
      <c r="P830" s="3" t="s">
        <v>75</v>
      </c>
      <c r="Q830" s="3" t="s">
        <v>39</v>
      </c>
      <c r="R830" s="3" t="s">
        <v>40</v>
      </c>
      <c r="S830" s="55">
        <v>246128.1</v>
      </c>
      <c r="T830" s="55">
        <v>99240.604500000001</v>
      </c>
      <c r="U830" s="55">
        <v>12469.0785</v>
      </c>
      <c r="V830" s="55">
        <v>146887.49549999999</v>
      </c>
      <c r="W830" s="3">
        <v>40</v>
      </c>
    </row>
    <row r="831" spans="1:23" x14ac:dyDescent="0.35">
      <c r="A831" s="3" t="s">
        <v>33</v>
      </c>
      <c r="B831" s="3" t="s">
        <v>466</v>
      </c>
      <c r="C831" s="3" t="s">
        <v>76</v>
      </c>
      <c r="D831" s="3" t="s">
        <v>45</v>
      </c>
      <c r="E831" s="3" t="s">
        <v>27</v>
      </c>
      <c r="F831" s="3" t="s">
        <v>46</v>
      </c>
      <c r="G831" s="3" t="s">
        <v>47</v>
      </c>
      <c r="H831" s="3" t="s">
        <v>30</v>
      </c>
      <c r="I831" s="3" t="s">
        <v>31</v>
      </c>
      <c r="J831" s="3" t="s">
        <v>32</v>
      </c>
      <c r="K831" s="3" t="s">
        <v>33</v>
      </c>
      <c r="L831" s="3" t="s">
        <v>51</v>
      </c>
      <c r="M831" s="3" t="s">
        <v>72</v>
      </c>
      <c r="N831" s="3" t="s">
        <v>73</v>
      </c>
      <c r="O831" s="3" t="s">
        <v>77</v>
      </c>
      <c r="P831" s="3" t="s">
        <v>78</v>
      </c>
      <c r="Q831" s="3" t="s">
        <v>39</v>
      </c>
      <c r="R831" s="3" t="s">
        <v>40</v>
      </c>
      <c r="S831" s="55">
        <v>140.5</v>
      </c>
      <c r="T831" s="55">
        <v>46.386000000000003</v>
      </c>
      <c r="U831" s="55">
        <v>14.679</v>
      </c>
      <c r="V831" s="55">
        <v>94.114000000000004</v>
      </c>
      <c r="W831" s="3">
        <v>33</v>
      </c>
    </row>
    <row r="832" spans="1:23" x14ac:dyDescent="0.35">
      <c r="A832" s="3" t="s">
        <v>33</v>
      </c>
      <c r="B832" s="3" t="s">
        <v>466</v>
      </c>
      <c r="C832" s="3" t="s">
        <v>79</v>
      </c>
      <c r="D832" s="3" t="s">
        <v>45</v>
      </c>
      <c r="E832" s="3" t="s">
        <v>27</v>
      </c>
      <c r="F832" s="3" t="s">
        <v>46</v>
      </c>
      <c r="G832" s="3" t="s">
        <v>47</v>
      </c>
      <c r="H832" s="3" t="s">
        <v>30</v>
      </c>
      <c r="I832" s="3" t="s">
        <v>31</v>
      </c>
      <c r="J832" s="3" t="s">
        <v>32</v>
      </c>
      <c r="K832" s="3" t="s">
        <v>33</v>
      </c>
      <c r="L832" s="3" t="s">
        <v>51</v>
      </c>
      <c r="M832" s="3" t="s">
        <v>72</v>
      </c>
      <c r="N832" s="3" t="s">
        <v>73</v>
      </c>
      <c r="O832" s="3" t="s">
        <v>80</v>
      </c>
      <c r="P832" s="3" t="s">
        <v>81</v>
      </c>
      <c r="Q832" s="3" t="s">
        <v>39</v>
      </c>
      <c r="R832" s="3" t="s">
        <v>40</v>
      </c>
      <c r="S832" s="55">
        <v>73726.399999999994</v>
      </c>
      <c r="T832" s="55">
        <v>31049.190500000001</v>
      </c>
      <c r="U832" s="55">
        <v>11982.3277</v>
      </c>
      <c r="V832" s="55">
        <v>42677.209499999997</v>
      </c>
      <c r="W832" s="3">
        <v>42</v>
      </c>
    </row>
    <row r="833" spans="1:23" x14ac:dyDescent="0.35">
      <c r="A833" s="3" t="s">
        <v>33</v>
      </c>
      <c r="B833" s="3" t="s">
        <v>466</v>
      </c>
      <c r="C833" s="3" t="s">
        <v>82</v>
      </c>
      <c r="D833" s="3" t="s">
        <v>45</v>
      </c>
      <c r="E833" s="3" t="s">
        <v>27</v>
      </c>
      <c r="F833" s="3" t="s">
        <v>46</v>
      </c>
      <c r="G833" s="3" t="s">
        <v>47</v>
      </c>
      <c r="H833" s="3" t="s">
        <v>30</v>
      </c>
      <c r="I833" s="3" t="s">
        <v>31</v>
      </c>
      <c r="J833" s="3" t="s">
        <v>32</v>
      </c>
      <c r="K833" s="3" t="s">
        <v>33</v>
      </c>
      <c r="L833" s="3" t="s">
        <v>51</v>
      </c>
      <c r="M833" s="3" t="s">
        <v>72</v>
      </c>
      <c r="N833" s="3" t="s">
        <v>73</v>
      </c>
      <c r="O833" s="3" t="s">
        <v>83</v>
      </c>
      <c r="P833" s="3" t="s">
        <v>84</v>
      </c>
      <c r="Q833" s="3" t="s">
        <v>39</v>
      </c>
      <c r="R833" s="3" t="s">
        <v>40</v>
      </c>
      <c r="S833" s="55">
        <v>300</v>
      </c>
      <c r="T833" s="55">
        <v>43.384700000000002</v>
      </c>
      <c r="U833" s="55">
        <v>43.384700000000002</v>
      </c>
      <c r="V833" s="55">
        <v>256.61529999999999</v>
      </c>
      <c r="W833" s="3">
        <v>14</v>
      </c>
    </row>
    <row r="834" spans="1:23" x14ac:dyDescent="0.35">
      <c r="A834" s="3" t="s">
        <v>33</v>
      </c>
      <c r="B834" s="3" t="s">
        <v>466</v>
      </c>
      <c r="C834" s="3" t="s">
        <v>85</v>
      </c>
      <c r="D834" s="3" t="s">
        <v>45</v>
      </c>
      <c r="E834" s="3" t="s">
        <v>27</v>
      </c>
      <c r="F834" s="3" t="s">
        <v>46</v>
      </c>
      <c r="G834" s="3" t="s">
        <v>47</v>
      </c>
      <c r="H834" s="3" t="s">
        <v>30</v>
      </c>
      <c r="I834" s="3" t="s">
        <v>31</v>
      </c>
      <c r="J834" s="3" t="s">
        <v>32</v>
      </c>
      <c r="K834" s="3" t="s">
        <v>33</v>
      </c>
      <c r="L834" s="3" t="s">
        <v>51</v>
      </c>
      <c r="M834" s="3" t="s">
        <v>72</v>
      </c>
      <c r="N834" s="3" t="s">
        <v>73</v>
      </c>
      <c r="O834" s="3" t="s">
        <v>86</v>
      </c>
      <c r="P834" s="3" t="s">
        <v>87</v>
      </c>
      <c r="Q834" s="3" t="s">
        <v>39</v>
      </c>
      <c r="R834" s="3" t="s">
        <v>40</v>
      </c>
      <c r="S834" s="55">
        <v>15051.1</v>
      </c>
      <c r="T834" s="55">
        <v>0</v>
      </c>
      <c r="U834" s="55">
        <v>0</v>
      </c>
      <c r="V834" s="55">
        <v>15051.1</v>
      </c>
      <c r="W834" s="3">
        <v>0</v>
      </c>
    </row>
    <row r="835" spans="1:23" x14ac:dyDescent="0.35">
      <c r="A835" s="3" t="s">
        <v>33</v>
      </c>
      <c r="B835" s="3" t="s">
        <v>466</v>
      </c>
      <c r="C835" s="3" t="s">
        <v>88</v>
      </c>
      <c r="D835" s="3" t="s">
        <v>45</v>
      </c>
      <c r="E835" s="3" t="s">
        <v>27</v>
      </c>
      <c r="F835" s="3" t="s">
        <v>46</v>
      </c>
      <c r="G835" s="3" t="s">
        <v>47</v>
      </c>
      <c r="H835" s="3" t="s">
        <v>30</v>
      </c>
      <c r="I835" s="3" t="s">
        <v>31</v>
      </c>
      <c r="J835" s="3" t="s">
        <v>32</v>
      </c>
      <c r="K835" s="3" t="s">
        <v>33</v>
      </c>
      <c r="L835" s="3" t="s">
        <v>51</v>
      </c>
      <c r="M835" s="3" t="s">
        <v>72</v>
      </c>
      <c r="N835" s="3" t="s">
        <v>73</v>
      </c>
      <c r="O835" s="3" t="s">
        <v>37</v>
      </c>
      <c r="P835" s="3" t="s">
        <v>38</v>
      </c>
      <c r="Q835" s="3" t="s">
        <v>39</v>
      </c>
      <c r="R835" s="3" t="s">
        <v>40</v>
      </c>
      <c r="S835" s="55">
        <v>96234.5</v>
      </c>
      <c r="T835" s="55">
        <v>8349.0092999999997</v>
      </c>
      <c r="U835" s="55">
        <v>3054.8451</v>
      </c>
      <c r="V835" s="55">
        <v>87885.490699999995</v>
      </c>
      <c r="W835" s="3">
        <v>9</v>
      </c>
    </row>
    <row r="836" spans="1:23" x14ac:dyDescent="0.35">
      <c r="A836" s="3" t="s">
        <v>33</v>
      </c>
      <c r="B836" s="3" t="s">
        <v>466</v>
      </c>
      <c r="C836" s="3" t="s">
        <v>89</v>
      </c>
      <c r="D836" s="3" t="s">
        <v>45</v>
      </c>
      <c r="E836" s="3" t="s">
        <v>27</v>
      </c>
      <c r="F836" s="3" t="s">
        <v>46</v>
      </c>
      <c r="G836" s="3" t="s">
        <v>47</v>
      </c>
      <c r="H836" s="3" t="s">
        <v>30</v>
      </c>
      <c r="I836" s="3" t="s">
        <v>31</v>
      </c>
      <c r="J836" s="3" t="s">
        <v>32</v>
      </c>
      <c r="K836" s="3" t="s">
        <v>33</v>
      </c>
      <c r="L836" s="3" t="s">
        <v>51</v>
      </c>
      <c r="M836" s="3" t="s">
        <v>72</v>
      </c>
      <c r="N836" s="3" t="s">
        <v>73</v>
      </c>
      <c r="O836" s="3" t="s">
        <v>42</v>
      </c>
      <c r="P836" s="3" t="s">
        <v>43</v>
      </c>
      <c r="Q836" s="3" t="s">
        <v>39</v>
      </c>
      <c r="R836" s="3" t="s">
        <v>40</v>
      </c>
      <c r="S836" s="55">
        <v>16160.9</v>
      </c>
      <c r="T836" s="55">
        <v>8756.7507999999998</v>
      </c>
      <c r="U836" s="55">
        <v>1191.4118000000001</v>
      </c>
      <c r="V836" s="55">
        <v>7404.1491999999998</v>
      </c>
      <c r="W836" s="3">
        <v>54</v>
      </c>
    </row>
    <row r="837" spans="1:23" x14ac:dyDescent="0.35">
      <c r="A837" s="3" t="s">
        <v>33</v>
      </c>
      <c r="B837" s="3" t="s">
        <v>466</v>
      </c>
      <c r="C837" s="3" t="s">
        <v>90</v>
      </c>
      <c r="D837" s="3" t="s">
        <v>45</v>
      </c>
      <c r="E837" s="3" t="s">
        <v>27</v>
      </c>
      <c r="F837" s="3" t="s">
        <v>46</v>
      </c>
      <c r="G837" s="3" t="s">
        <v>47</v>
      </c>
      <c r="H837" s="3" t="s">
        <v>30</v>
      </c>
      <c r="I837" s="3" t="s">
        <v>31</v>
      </c>
      <c r="J837" s="3" t="s">
        <v>32</v>
      </c>
      <c r="K837" s="3" t="s">
        <v>33</v>
      </c>
      <c r="L837" s="3" t="s">
        <v>51</v>
      </c>
      <c r="M837" s="3" t="s">
        <v>72</v>
      </c>
      <c r="N837" s="3" t="s">
        <v>73</v>
      </c>
      <c r="O837" s="3" t="s">
        <v>91</v>
      </c>
      <c r="P837" s="3" t="s">
        <v>92</v>
      </c>
      <c r="Q837" s="3" t="s">
        <v>39</v>
      </c>
      <c r="R837" s="3" t="s">
        <v>40</v>
      </c>
      <c r="S837" s="55">
        <v>214.8</v>
      </c>
      <c r="T837" s="55">
        <v>214.71510000000001</v>
      </c>
      <c r="U837" s="55">
        <v>0</v>
      </c>
      <c r="V837" s="55">
        <v>8.4900000000000003E-2</v>
      </c>
      <c r="W837" s="3">
        <v>100</v>
      </c>
    </row>
    <row r="838" spans="1:23" x14ac:dyDescent="0.35">
      <c r="A838" s="3" t="s">
        <v>33</v>
      </c>
      <c r="B838" s="3" t="s">
        <v>466</v>
      </c>
      <c r="C838" s="3" t="s">
        <v>559</v>
      </c>
      <c r="D838" s="3" t="s">
        <v>45</v>
      </c>
      <c r="E838" s="3" t="s">
        <v>27</v>
      </c>
      <c r="F838" s="3" t="s">
        <v>46</v>
      </c>
      <c r="G838" s="3" t="s">
        <v>47</v>
      </c>
      <c r="H838" s="3" t="s">
        <v>30</v>
      </c>
      <c r="I838" s="3" t="s">
        <v>31</v>
      </c>
      <c r="J838" s="3" t="s">
        <v>32</v>
      </c>
      <c r="K838" s="3" t="s">
        <v>33</v>
      </c>
      <c r="L838" s="3" t="s">
        <v>51</v>
      </c>
      <c r="M838" s="3" t="s">
        <v>72</v>
      </c>
      <c r="N838" s="3" t="s">
        <v>73</v>
      </c>
      <c r="O838" s="3" t="s">
        <v>125</v>
      </c>
      <c r="P838" s="3" t="s">
        <v>126</v>
      </c>
      <c r="Q838" s="3" t="s">
        <v>39</v>
      </c>
      <c r="R838" s="3" t="s">
        <v>40</v>
      </c>
      <c r="S838" s="55">
        <v>179.8</v>
      </c>
      <c r="T838" s="55">
        <v>179.71199999999999</v>
      </c>
      <c r="U838" s="55">
        <v>179.71199999999999</v>
      </c>
      <c r="V838" s="55">
        <v>8.7999999999999995E-2</v>
      </c>
      <c r="W838" s="3">
        <v>100</v>
      </c>
    </row>
    <row r="839" spans="1:23" x14ac:dyDescent="0.35">
      <c r="A839" s="3" t="s">
        <v>33</v>
      </c>
      <c r="B839" s="3" t="s">
        <v>466</v>
      </c>
      <c r="C839" s="3" t="s">
        <v>93</v>
      </c>
      <c r="D839" s="3" t="s">
        <v>45</v>
      </c>
      <c r="E839" s="3" t="s">
        <v>27</v>
      </c>
      <c r="F839" s="3" t="s">
        <v>46</v>
      </c>
      <c r="G839" s="3" t="s">
        <v>47</v>
      </c>
      <c r="H839" s="3" t="s">
        <v>30</v>
      </c>
      <c r="I839" s="3" t="s">
        <v>31</v>
      </c>
      <c r="J839" s="3" t="s">
        <v>32</v>
      </c>
      <c r="K839" s="3" t="s">
        <v>33</v>
      </c>
      <c r="L839" s="3" t="s">
        <v>51</v>
      </c>
      <c r="M839" s="3" t="s">
        <v>94</v>
      </c>
      <c r="N839" s="3" t="s">
        <v>95</v>
      </c>
      <c r="O839" s="3" t="s">
        <v>96</v>
      </c>
      <c r="P839" s="3" t="s">
        <v>97</v>
      </c>
      <c r="Q839" s="3" t="s">
        <v>39</v>
      </c>
      <c r="R839" s="3" t="s">
        <v>40</v>
      </c>
      <c r="S839" s="55">
        <v>181743.4</v>
      </c>
      <c r="T839" s="55">
        <v>70975.717999999993</v>
      </c>
      <c r="U839" s="55">
        <v>14147.5013</v>
      </c>
      <c r="V839" s="55">
        <v>110767.682</v>
      </c>
      <c r="W839" s="3">
        <v>39</v>
      </c>
    </row>
    <row r="840" spans="1:23" x14ac:dyDescent="0.35">
      <c r="A840" s="3" t="s">
        <v>33</v>
      </c>
      <c r="B840" s="3" t="s">
        <v>466</v>
      </c>
      <c r="C840" s="3" t="s">
        <v>98</v>
      </c>
      <c r="D840" s="3" t="s">
        <v>45</v>
      </c>
      <c r="E840" s="3" t="s">
        <v>27</v>
      </c>
      <c r="F840" s="3" t="s">
        <v>46</v>
      </c>
      <c r="G840" s="3" t="s">
        <v>47</v>
      </c>
      <c r="H840" s="3" t="s">
        <v>30</v>
      </c>
      <c r="I840" s="3" t="s">
        <v>31</v>
      </c>
      <c r="J840" s="3" t="s">
        <v>32</v>
      </c>
      <c r="K840" s="3" t="s">
        <v>33</v>
      </c>
      <c r="L840" s="3" t="s">
        <v>51</v>
      </c>
      <c r="M840" s="3" t="s">
        <v>94</v>
      </c>
      <c r="N840" s="3" t="s">
        <v>95</v>
      </c>
      <c r="O840" s="3" t="s">
        <v>99</v>
      </c>
      <c r="P840" s="3" t="s">
        <v>100</v>
      </c>
      <c r="Q840" s="3" t="s">
        <v>39</v>
      </c>
      <c r="R840" s="3" t="s">
        <v>40</v>
      </c>
      <c r="S840" s="55">
        <v>54698.400000000001</v>
      </c>
      <c r="T840" s="55">
        <v>20039.8037</v>
      </c>
      <c r="U840" s="55">
        <v>4358.9562999999998</v>
      </c>
      <c r="V840" s="55">
        <v>34658.596299999997</v>
      </c>
      <c r="W840" s="3">
        <v>37</v>
      </c>
    </row>
    <row r="841" spans="1:23" x14ac:dyDescent="0.35">
      <c r="A841" s="3" t="s">
        <v>33</v>
      </c>
      <c r="B841" s="3" t="s">
        <v>466</v>
      </c>
      <c r="C841" s="3" t="s">
        <v>101</v>
      </c>
      <c r="D841" s="3" t="s">
        <v>45</v>
      </c>
      <c r="E841" s="3" t="s">
        <v>27</v>
      </c>
      <c r="F841" s="3" t="s">
        <v>46</v>
      </c>
      <c r="G841" s="3" t="s">
        <v>47</v>
      </c>
      <c r="H841" s="3" t="s">
        <v>30</v>
      </c>
      <c r="I841" s="3" t="s">
        <v>31</v>
      </c>
      <c r="J841" s="3" t="s">
        <v>32</v>
      </c>
      <c r="K841" s="3" t="s">
        <v>33</v>
      </c>
      <c r="L841" s="3" t="s">
        <v>51</v>
      </c>
      <c r="M841" s="3" t="s">
        <v>94</v>
      </c>
      <c r="N841" s="3" t="s">
        <v>95</v>
      </c>
      <c r="O841" s="3" t="s">
        <v>37</v>
      </c>
      <c r="P841" s="3" t="s">
        <v>38</v>
      </c>
      <c r="Q841" s="3" t="s">
        <v>39</v>
      </c>
      <c r="R841" s="3" t="s">
        <v>40</v>
      </c>
      <c r="S841" s="55">
        <v>2625.5</v>
      </c>
      <c r="T841" s="55">
        <v>1434.1885</v>
      </c>
      <c r="U841" s="55">
        <v>174.54239999999999</v>
      </c>
      <c r="V841" s="55">
        <v>1191.3115</v>
      </c>
      <c r="W841" s="3">
        <v>55</v>
      </c>
    </row>
    <row r="842" spans="1:23" x14ac:dyDescent="0.35">
      <c r="A842" s="3" t="s">
        <v>33</v>
      </c>
      <c r="B842" s="3" t="s">
        <v>466</v>
      </c>
      <c r="C842" s="3" t="s">
        <v>467</v>
      </c>
      <c r="D842" s="3" t="s">
        <v>45</v>
      </c>
      <c r="E842" s="3" t="s">
        <v>27</v>
      </c>
      <c r="F842" s="3" t="s">
        <v>46</v>
      </c>
      <c r="G842" s="3" t="s">
        <v>47</v>
      </c>
      <c r="H842" s="3" t="s">
        <v>30</v>
      </c>
      <c r="I842" s="3" t="s">
        <v>31</v>
      </c>
      <c r="J842" s="3" t="s">
        <v>32</v>
      </c>
      <c r="K842" s="3" t="s">
        <v>33</v>
      </c>
      <c r="L842" s="3" t="s">
        <v>51</v>
      </c>
      <c r="M842" s="3" t="s">
        <v>94</v>
      </c>
      <c r="N842" s="3" t="s">
        <v>95</v>
      </c>
      <c r="O842" s="3" t="s">
        <v>468</v>
      </c>
      <c r="P842" s="3" t="s">
        <v>469</v>
      </c>
      <c r="Q842" s="3" t="s">
        <v>39</v>
      </c>
      <c r="R842" s="3" t="s">
        <v>40</v>
      </c>
      <c r="S842" s="55">
        <v>2</v>
      </c>
      <c r="T842" s="55">
        <v>1.9904999999999999</v>
      </c>
      <c r="U842" s="55">
        <v>0</v>
      </c>
      <c r="V842" s="55">
        <v>9.4999999999999998E-3</v>
      </c>
      <c r="W842" s="3">
        <v>100</v>
      </c>
    </row>
    <row r="843" spans="1:23" x14ac:dyDescent="0.35">
      <c r="A843" s="3" t="s">
        <v>33</v>
      </c>
      <c r="B843" s="3" t="s">
        <v>466</v>
      </c>
      <c r="C843" s="3" t="s">
        <v>102</v>
      </c>
      <c r="D843" s="3" t="s">
        <v>45</v>
      </c>
      <c r="E843" s="3" t="s">
        <v>27</v>
      </c>
      <c r="F843" s="3" t="s">
        <v>46</v>
      </c>
      <c r="G843" s="3" t="s">
        <v>47</v>
      </c>
      <c r="H843" s="3" t="s">
        <v>30</v>
      </c>
      <c r="I843" s="3" t="s">
        <v>31</v>
      </c>
      <c r="J843" s="3" t="s">
        <v>32</v>
      </c>
      <c r="K843" s="3" t="s">
        <v>33</v>
      </c>
      <c r="L843" s="3" t="s">
        <v>51</v>
      </c>
      <c r="M843" s="3" t="s">
        <v>94</v>
      </c>
      <c r="N843" s="3" t="s">
        <v>95</v>
      </c>
      <c r="O843" s="3" t="s">
        <v>103</v>
      </c>
      <c r="P843" s="3" t="s">
        <v>104</v>
      </c>
      <c r="Q843" s="3" t="s">
        <v>39</v>
      </c>
      <c r="R843" s="3" t="s">
        <v>40</v>
      </c>
      <c r="S843" s="55">
        <v>3.7</v>
      </c>
      <c r="T843" s="55">
        <v>1.3929</v>
      </c>
      <c r="U843" s="55">
        <v>0</v>
      </c>
      <c r="V843" s="55">
        <v>2.3071000000000002</v>
      </c>
      <c r="W843" s="3">
        <v>38</v>
      </c>
    </row>
    <row r="844" spans="1:23" x14ac:dyDescent="0.35">
      <c r="A844" s="3" t="s">
        <v>33</v>
      </c>
      <c r="B844" s="3" t="s">
        <v>466</v>
      </c>
      <c r="C844" s="3" t="s">
        <v>105</v>
      </c>
      <c r="D844" s="3" t="s">
        <v>45</v>
      </c>
      <c r="E844" s="3" t="s">
        <v>27</v>
      </c>
      <c r="F844" s="3" t="s">
        <v>46</v>
      </c>
      <c r="G844" s="3" t="s">
        <v>47</v>
      </c>
      <c r="H844" s="3" t="s">
        <v>30</v>
      </c>
      <c r="I844" s="3" t="s">
        <v>31</v>
      </c>
      <c r="J844" s="3" t="s">
        <v>32</v>
      </c>
      <c r="K844" s="3" t="s">
        <v>33</v>
      </c>
      <c r="L844" s="3" t="s">
        <v>51</v>
      </c>
      <c r="M844" s="3" t="s">
        <v>106</v>
      </c>
      <c r="N844" s="3" t="s">
        <v>107</v>
      </c>
      <c r="O844" s="3" t="s">
        <v>108</v>
      </c>
      <c r="P844" s="3" t="s">
        <v>109</v>
      </c>
      <c r="Q844" s="3" t="s">
        <v>39</v>
      </c>
      <c r="R844" s="3" t="s">
        <v>40</v>
      </c>
      <c r="S844" s="55">
        <v>70925.600000000006</v>
      </c>
      <c r="T844" s="55">
        <v>26711.5573</v>
      </c>
      <c r="U844" s="55">
        <v>5950.3</v>
      </c>
      <c r="V844" s="55">
        <v>44214.042699999998</v>
      </c>
      <c r="W844" s="3">
        <v>38</v>
      </c>
    </row>
    <row r="845" spans="1:23" x14ac:dyDescent="0.35">
      <c r="A845" s="3" t="s">
        <v>33</v>
      </c>
      <c r="B845" s="3" t="s">
        <v>466</v>
      </c>
      <c r="C845" s="3" t="s">
        <v>110</v>
      </c>
      <c r="D845" s="3" t="s">
        <v>45</v>
      </c>
      <c r="E845" s="3" t="s">
        <v>27</v>
      </c>
      <c r="F845" s="3" t="s">
        <v>46</v>
      </c>
      <c r="G845" s="3" t="s">
        <v>47</v>
      </c>
      <c r="H845" s="3" t="s">
        <v>30</v>
      </c>
      <c r="I845" s="3" t="s">
        <v>31</v>
      </c>
      <c r="J845" s="3" t="s">
        <v>32</v>
      </c>
      <c r="K845" s="3" t="s">
        <v>33</v>
      </c>
      <c r="L845" s="3" t="s">
        <v>51</v>
      </c>
      <c r="M845" s="3" t="s">
        <v>111</v>
      </c>
      <c r="N845" s="3" t="s">
        <v>112</v>
      </c>
      <c r="O845" s="3" t="s">
        <v>37</v>
      </c>
      <c r="P845" s="3" t="s">
        <v>38</v>
      </c>
      <c r="Q845" s="3" t="s">
        <v>39</v>
      </c>
      <c r="R845" s="3" t="s">
        <v>40</v>
      </c>
      <c r="S845" s="55">
        <v>6362.8</v>
      </c>
      <c r="T845" s="55">
        <v>1682.9112</v>
      </c>
      <c r="U845" s="55">
        <v>946.24</v>
      </c>
      <c r="V845" s="55">
        <v>4679.8887999999997</v>
      </c>
      <c r="W845" s="3">
        <v>26</v>
      </c>
    </row>
    <row r="846" spans="1:23" x14ac:dyDescent="0.35">
      <c r="A846" s="3" t="s">
        <v>33</v>
      </c>
      <c r="B846" s="3" t="s">
        <v>466</v>
      </c>
      <c r="C846" s="3" t="s">
        <v>113</v>
      </c>
      <c r="D846" s="3" t="s">
        <v>114</v>
      </c>
      <c r="E846" s="3" t="s">
        <v>115</v>
      </c>
      <c r="F846" s="3" t="s">
        <v>116</v>
      </c>
      <c r="G846" s="3" t="s">
        <v>117</v>
      </c>
      <c r="H846" s="3" t="s">
        <v>48</v>
      </c>
      <c r="I846" s="3" t="s">
        <v>49</v>
      </c>
      <c r="J846" s="3" t="s">
        <v>50</v>
      </c>
      <c r="K846" s="3" t="s">
        <v>33</v>
      </c>
      <c r="L846" s="3" t="s">
        <v>51</v>
      </c>
      <c r="M846" s="3" t="s">
        <v>118</v>
      </c>
      <c r="N846" s="3" t="s">
        <v>119</v>
      </c>
      <c r="O846" s="3" t="s">
        <v>37</v>
      </c>
      <c r="P846" s="3" t="s">
        <v>38</v>
      </c>
      <c r="Q846" s="3" t="s">
        <v>39</v>
      </c>
      <c r="R846" s="3" t="s">
        <v>40</v>
      </c>
      <c r="S846" s="55">
        <v>4082.8</v>
      </c>
      <c r="T846" s="55">
        <v>1256.6955</v>
      </c>
      <c r="U846" s="55">
        <v>0</v>
      </c>
      <c r="V846" s="55">
        <v>2826.1044999999999</v>
      </c>
      <c r="W846" s="3">
        <v>31</v>
      </c>
    </row>
    <row r="847" spans="1:23" x14ac:dyDescent="0.35">
      <c r="A847" s="3" t="s">
        <v>33</v>
      </c>
      <c r="B847" s="3" t="s">
        <v>466</v>
      </c>
      <c r="C847" s="3" t="s">
        <v>120</v>
      </c>
      <c r="D847" s="3" t="s">
        <v>114</v>
      </c>
      <c r="E847" s="3" t="s">
        <v>115</v>
      </c>
      <c r="F847" s="3" t="s">
        <v>116</v>
      </c>
      <c r="G847" s="3" t="s">
        <v>117</v>
      </c>
      <c r="H847" s="3" t="s">
        <v>48</v>
      </c>
      <c r="I847" s="3" t="s">
        <v>49</v>
      </c>
      <c r="J847" s="3" t="s">
        <v>50</v>
      </c>
      <c r="K847" s="3" t="s">
        <v>33</v>
      </c>
      <c r="L847" s="3" t="s">
        <v>51</v>
      </c>
      <c r="M847" s="3" t="s">
        <v>118</v>
      </c>
      <c r="N847" s="3" t="s">
        <v>119</v>
      </c>
      <c r="O847" s="3" t="s">
        <v>42</v>
      </c>
      <c r="P847" s="3" t="s">
        <v>43</v>
      </c>
      <c r="Q847" s="3" t="s">
        <v>39</v>
      </c>
      <c r="R847" s="3" t="s">
        <v>40</v>
      </c>
      <c r="S847" s="55">
        <v>8518.1</v>
      </c>
      <c r="T847" s="55">
        <v>264.81889999999999</v>
      </c>
      <c r="U847" s="55">
        <v>0</v>
      </c>
      <c r="V847" s="55">
        <v>8253.2811000000002</v>
      </c>
      <c r="W847" s="3">
        <v>3</v>
      </c>
    </row>
    <row r="848" spans="1:23" x14ac:dyDescent="0.35">
      <c r="A848" s="3" t="s">
        <v>33</v>
      </c>
      <c r="B848" s="3" t="s">
        <v>466</v>
      </c>
      <c r="C848" s="3" t="s">
        <v>121</v>
      </c>
      <c r="D848" s="3" t="s">
        <v>114</v>
      </c>
      <c r="E848" s="3" t="s">
        <v>115</v>
      </c>
      <c r="F848" s="3" t="s">
        <v>116</v>
      </c>
      <c r="G848" s="3" t="s">
        <v>117</v>
      </c>
      <c r="H848" s="3" t="s">
        <v>48</v>
      </c>
      <c r="I848" s="3" t="s">
        <v>49</v>
      </c>
      <c r="J848" s="3" t="s">
        <v>50</v>
      </c>
      <c r="K848" s="3" t="s">
        <v>33</v>
      </c>
      <c r="L848" s="3" t="s">
        <v>51</v>
      </c>
      <c r="M848" s="3" t="s">
        <v>118</v>
      </c>
      <c r="N848" s="3" t="s">
        <v>119</v>
      </c>
      <c r="O848" s="3" t="s">
        <v>122</v>
      </c>
      <c r="P848" s="3" t="s">
        <v>123</v>
      </c>
      <c r="Q848" s="3" t="s">
        <v>39</v>
      </c>
      <c r="R848" s="3" t="s">
        <v>40</v>
      </c>
      <c r="S848" s="55">
        <v>5312.2</v>
      </c>
      <c r="T848" s="55">
        <v>2714.5491999999999</v>
      </c>
      <c r="U848" s="55">
        <v>0</v>
      </c>
      <c r="V848" s="55">
        <v>2597.6507999999999</v>
      </c>
      <c r="W848" s="3">
        <v>51</v>
      </c>
    </row>
    <row r="849" spans="1:23" x14ac:dyDescent="0.35">
      <c r="A849" s="3" t="s">
        <v>33</v>
      </c>
      <c r="B849" s="3" t="s">
        <v>466</v>
      </c>
      <c r="C849" s="3" t="s">
        <v>124</v>
      </c>
      <c r="D849" s="3" t="s">
        <v>114</v>
      </c>
      <c r="E849" s="3" t="s">
        <v>115</v>
      </c>
      <c r="F849" s="3" t="s">
        <v>116</v>
      </c>
      <c r="G849" s="3" t="s">
        <v>117</v>
      </c>
      <c r="H849" s="3" t="s">
        <v>48</v>
      </c>
      <c r="I849" s="3" t="s">
        <v>49</v>
      </c>
      <c r="J849" s="3" t="s">
        <v>50</v>
      </c>
      <c r="K849" s="3" t="s">
        <v>33</v>
      </c>
      <c r="L849" s="3" t="s">
        <v>51</v>
      </c>
      <c r="M849" s="3" t="s">
        <v>118</v>
      </c>
      <c r="N849" s="3" t="s">
        <v>119</v>
      </c>
      <c r="O849" s="3" t="s">
        <v>125</v>
      </c>
      <c r="P849" s="3" t="s">
        <v>126</v>
      </c>
      <c r="Q849" s="3" t="s">
        <v>39</v>
      </c>
      <c r="R849" s="3" t="s">
        <v>40</v>
      </c>
      <c r="S849" s="55">
        <v>1748.2</v>
      </c>
      <c r="T849" s="55">
        <v>851.13739999999996</v>
      </c>
      <c r="U849" s="55">
        <v>374.3707</v>
      </c>
      <c r="V849" s="55">
        <v>897.06259999999997</v>
      </c>
      <c r="W849" s="3">
        <v>49</v>
      </c>
    </row>
    <row r="850" spans="1:23" x14ac:dyDescent="0.35">
      <c r="A850" s="3" t="s">
        <v>33</v>
      </c>
      <c r="B850" s="3" t="s">
        <v>466</v>
      </c>
      <c r="C850" s="3" t="s">
        <v>130</v>
      </c>
      <c r="D850" s="3" t="s">
        <v>131</v>
      </c>
      <c r="E850" s="3" t="s">
        <v>115</v>
      </c>
      <c r="F850" s="3" t="s">
        <v>132</v>
      </c>
      <c r="G850" s="3" t="s">
        <v>133</v>
      </c>
      <c r="H850" s="3" t="s">
        <v>48</v>
      </c>
      <c r="I850" s="3" t="s">
        <v>49</v>
      </c>
      <c r="J850" s="3" t="s">
        <v>50</v>
      </c>
      <c r="K850" s="3" t="s">
        <v>33</v>
      </c>
      <c r="L850" s="3" t="s">
        <v>51</v>
      </c>
      <c r="M850" s="3" t="s">
        <v>134</v>
      </c>
      <c r="N850" s="3" t="s">
        <v>135</v>
      </c>
      <c r="O850" s="3" t="s">
        <v>37</v>
      </c>
      <c r="P850" s="3" t="s">
        <v>38</v>
      </c>
      <c r="Q850" s="3" t="s">
        <v>39</v>
      </c>
      <c r="R850" s="3" t="s">
        <v>40</v>
      </c>
      <c r="S850" s="55">
        <v>22.1</v>
      </c>
      <c r="T850" s="55">
        <v>0</v>
      </c>
      <c r="U850" s="55">
        <v>0</v>
      </c>
      <c r="V850" s="55">
        <v>22.1</v>
      </c>
      <c r="W850" s="3">
        <v>0</v>
      </c>
    </row>
    <row r="851" spans="1:23" x14ac:dyDescent="0.35">
      <c r="A851" s="3" t="s">
        <v>33</v>
      </c>
      <c r="B851" s="3" t="s">
        <v>466</v>
      </c>
      <c r="C851" s="3" t="s">
        <v>448</v>
      </c>
      <c r="D851" s="3" t="s">
        <v>137</v>
      </c>
      <c r="E851" s="3" t="s">
        <v>138</v>
      </c>
      <c r="F851" s="3" t="s">
        <v>139</v>
      </c>
      <c r="G851" s="3" t="s">
        <v>140</v>
      </c>
      <c r="H851" s="3" t="s">
        <v>48</v>
      </c>
      <c r="I851" s="3" t="s">
        <v>49</v>
      </c>
      <c r="J851" s="3" t="s">
        <v>50</v>
      </c>
      <c r="K851" s="3" t="s">
        <v>33</v>
      </c>
      <c r="L851" s="3" t="s">
        <v>51</v>
      </c>
      <c r="M851" s="3" t="s">
        <v>446</v>
      </c>
      <c r="N851" s="3" t="s">
        <v>447</v>
      </c>
      <c r="O851" s="3" t="s">
        <v>197</v>
      </c>
      <c r="P851" s="3" t="s">
        <v>198</v>
      </c>
      <c r="Q851" s="3" t="s">
        <v>39</v>
      </c>
      <c r="R851" s="3" t="s">
        <v>40</v>
      </c>
      <c r="S851" s="55">
        <v>32862.199999999997</v>
      </c>
      <c r="T851" s="55">
        <v>0</v>
      </c>
      <c r="U851" s="55">
        <v>0</v>
      </c>
      <c r="V851" s="55">
        <v>32862.199999999997</v>
      </c>
      <c r="W851" s="3">
        <v>0</v>
      </c>
    </row>
    <row r="852" spans="1:23" x14ac:dyDescent="0.35">
      <c r="A852" s="3" t="s">
        <v>33</v>
      </c>
      <c r="B852" s="3" t="s">
        <v>466</v>
      </c>
      <c r="C852" s="3" t="s">
        <v>136</v>
      </c>
      <c r="D852" s="3" t="s">
        <v>137</v>
      </c>
      <c r="E852" s="3" t="s">
        <v>138</v>
      </c>
      <c r="F852" s="3" t="s">
        <v>139</v>
      </c>
      <c r="G852" s="3" t="s">
        <v>140</v>
      </c>
      <c r="H852" s="3" t="s">
        <v>30</v>
      </c>
      <c r="I852" s="3" t="s">
        <v>31</v>
      </c>
      <c r="J852" s="3" t="s">
        <v>32</v>
      </c>
      <c r="K852" s="3" t="s">
        <v>33</v>
      </c>
      <c r="L852" s="3" t="s">
        <v>51</v>
      </c>
      <c r="M852" s="3" t="s">
        <v>141</v>
      </c>
      <c r="N852" s="3" t="s">
        <v>142</v>
      </c>
      <c r="O852" s="3" t="s">
        <v>83</v>
      </c>
      <c r="P852" s="3" t="s">
        <v>84</v>
      </c>
      <c r="Q852" s="3" t="s">
        <v>39</v>
      </c>
      <c r="R852" s="3" t="s">
        <v>40</v>
      </c>
      <c r="S852" s="55">
        <v>5402.8</v>
      </c>
      <c r="T852" s="55">
        <v>2372.4726999999998</v>
      </c>
      <c r="U852" s="55">
        <v>977.11659999999995</v>
      </c>
      <c r="V852" s="55">
        <v>3030.3272999999999</v>
      </c>
      <c r="W852" s="3">
        <v>44</v>
      </c>
    </row>
    <row r="853" spans="1:23" x14ac:dyDescent="0.35">
      <c r="A853" s="3" t="s">
        <v>33</v>
      </c>
      <c r="B853" s="3" t="s">
        <v>466</v>
      </c>
      <c r="C853" s="3" t="s">
        <v>143</v>
      </c>
      <c r="D853" s="3" t="s">
        <v>144</v>
      </c>
      <c r="E853" s="3" t="s">
        <v>145</v>
      </c>
      <c r="F853" s="3" t="s">
        <v>146</v>
      </c>
      <c r="G853" s="3" t="s">
        <v>147</v>
      </c>
      <c r="H853" s="3" t="s">
        <v>116</v>
      </c>
      <c r="I853" s="3" t="s">
        <v>148</v>
      </c>
      <c r="J853" s="3" t="s">
        <v>149</v>
      </c>
      <c r="K853" s="3" t="s">
        <v>33</v>
      </c>
      <c r="L853" s="3" t="s">
        <v>51</v>
      </c>
      <c r="M853" s="3" t="s">
        <v>150</v>
      </c>
      <c r="N853" s="3" t="s">
        <v>151</v>
      </c>
      <c r="O853" s="3" t="s">
        <v>37</v>
      </c>
      <c r="P853" s="3" t="s">
        <v>38</v>
      </c>
      <c r="Q853" s="3" t="s">
        <v>39</v>
      </c>
      <c r="R853" s="3" t="s">
        <v>40</v>
      </c>
      <c r="S853" s="55">
        <v>5247.5</v>
      </c>
      <c r="T853" s="55">
        <v>1881.4365</v>
      </c>
      <c r="U853" s="55">
        <v>1881.4365</v>
      </c>
      <c r="V853" s="55">
        <v>3366.0635000000002</v>
      </c>
      <c r="W853" s="3">
        <v>36</v>
      </c>
    </row>
    <row r="854" spans="1:23" x14ac:dyDescent="0.35">
      <c r="A854" s="3" t="s">
        <v>33</v>
      </c>
      <c r="B854" s="3" t="s">
        <v>466</v>
      </c>
      <c r="C854" s="3" t="s">
        <v>152</v>
      </c>
      <c r="D854" s="3" t="s">
        <v>144</v>
      </c>
      <c r="E854" s="3" t="s">
        <v>145</v>
      </c>
      <c r="F854" s="3" t="s">
        <v>146</v>
      </c>
      <c r="G854" s="3" t="s">
        <v>147</v>
      </c>
      <c r="H854" s="3" t="s">
        <v>116</v>
      </c>
      <c r="I854" s="3" t="s">
        <v>148</v>
      </c>
      <c r="J854" s="3" t="s">
        <v>149</v>
      </c>
      <c r="K854" s="3" t="s">
        <v>33</v>
      </c>
      <c r="L854" s="3" t="s">
        <v>51</v>
      </c>
      <c r="M854" s="3" t="s">
        <v>153</v>
      </c>
      <c r="N854" s="3" t="s">
        <v>154</v>
      </c>
      <c r="O854" s="3" t="s">
        <v>37</v>
      </c>
      <c r="P854" s="3" t="s">
        <v>38</v>
      </c>
      <c r="Q854" s="3" t="s">
        <v>39</v>
      </c>
      <c r="R854" s="3" t="s">
        <v>40</v>
      </c>
      <c r="S854" s="55">
        <v>58395.199999999997</v>
      </c>
      <c r="T854" s="55">
        <v>0</v>
      </c>
      <c r="U854" s="55">
        <v>0</v>
      </c>
      <c r="V854" s="55">
        <v>58395.199999999997</v>
      </c>
      <c r="W854" s="3">
        <v>0</v>
      </c>
    </row>
    <row r="855" spans="1:23" x14ac:dyDescent="0.35">
      <c r="A855" s="3" t="s">
        <v>33</v>
      </c>
      <c r="B855" s="3" t="s">
        <v>466</v>
      </c>
      <c r="C855" s="3" t="s">
        <v>155</v>
      </c>
      <c r="D855" s="3" t="s">
        <v>144</v>
      </c>
      <c r="E855" s="3" t="s">
        <v>145</v>
      </c>
      <c r="F855" s="3" t="s">
        <v>146</v>
      </c>
      <c r="G855" s="3" t="s">
        <v>147</v>
      </c>
      <c r="H855" s="3" t="s">
        <v>116</v>
      </c>
      <c r="I855" s="3" t="s">
        <v>148</v>
      </c>
      <c r="J855" s="3" t="s">
        <v>149</v>
      </c>
      <c r="K855" s="3" t="s">
        <v>33</v>
      </c>
      <c r="L855" s="3" t="s">
        <v>51</v>
      </c>
      <c r="M855" s="3" t="s">
        <v>156</v>
      </c>
      <c r="N855" s="3" t="s">
        <v>157</v>
      </c>
      <c r="O855" s="3" t="s">
        <v>37</v>
      </c>
      <c r="P855" s="3" t="s">
        <v>38</v>
      </c>
      <c r="Q855" s="3" t="s">
        <v>39</v>
      </c>
      <c r="R855" s="3" t="s">
        <v>40</v>
      </c>
      <c r="S855" s="55">
        <v>1465.6</v>
      </c>
      <c r="T855" s="55">
        <v>296.7645</v>
      </c>
      <c r="U855" s="55">
        <v>247.9496</v>
      </c>
      <c r="V855" s="55">
        <v>1168.8354999999999</v>
      </c>
      <c r="W855" s="3">
        <v>20</v>
      </c>
    </row>
    <row r="856" spans="1:23" x14ac:dyDescent="0.35">
      <c r="A856" s="3" t="s">
        <v>33</v>
      </c>
      <c r="B856" s="3" t="s">
        <v>466</v>
      </c>
      <c r="C856" s="3" t="s">
        <v>158</v>
      </c>
      <c r="D856" s="3" t="s">
        <v>144</v>
      </c>
      <c r="E856" s="3" t="s">
        <v>145</v>
      </c>
      <c r="F856" s="3" t="s">
        <v>146</v>
      </c>
      <c r="G856" s="3" t="s">
        <v>147</v>
      </c>
      <c r="H856" s="3" t="s">
        <v>116</v>
      </c>
      <c r="I856" s="3" t="s">
        <v>148</v>
      </c>
      <c r="J856" s="3" t="s">
        <v>149</v>
      </c>
      <c r="K856" s="3" t="s">
        <v>33</v>
      </c>
      <c r="L856" s="3" t="s">
        <v>51</v>
      </c>
      <c r="M856" s="3" t="s">
        <v>156</v>
      </c>
      <c r="N856" s="3" t="s">
        <v>157</v>
      </c>
      <c r="O856" s="3" t="s">
        <v>125</v>
      </c>
      <c r="P856" s="3" t="s">
        <v>126</v>
      </c>
      <c r="Q856" s="3" t="s">
        <v>39</v>
      </c>
      <c r="R856" s="3" t="s">
        <v>40</v>
      </c>
      <c r="S856" s="55">
        <v>105638.8</v>
      </c>
      <c r="T856" s="55">
        <v>38013.052799999998</v>
      </c>
      <c r="U856" s="55">
        <v>7195.8434999999999</v>
      </c>
      <c r="V856" s="55">
        <v>67625.747199999998</v>
      </c>
      <c r="W856" s="3">
        <v>36</v>
      </c>
    </row>
    <row r="857" spans="1:23" x14ac:dyDescent="0.35">
      <c r="A857" s="3" t="s">
        <v>33</v>
      </c>
      <c r="B857" s="3" t="s">
        <v>466</v>
      </c>
      <c r="C857" s="3" t="s">
        <v>159</v>
      </c>
      <c r="D857" s="3" t="s">
        <v>144</v>
      </c>
      <c r="E857" s="3" t="s">
        <v>145</v>
      </c>
      <c r="F857" s="3" t="s">
        <v>146</v>
      </c>
      <c r="G857" s="3" t="s">
        <v>147</v>
      </c>
      <c r="H857" s="3" t="s">
        <v>116</v>
      </c>
      <c r="I857" s="3" t="s">
        <v>148</v>
      </c>
      <c r="J857" s="3" t="s">
        <v>149</v>
      </c>
      <c r="K857" s="3" t="s">
        <v>33</v>
      </c>
      <c r="L857" s="3" t="s">
        <v>51</v>
      </c>
      <c r="M857" s="3" t="s">
        <v>160</v>
      </c>
      <c r="N857" s="3" t="s">
        <v>161</v>
      </c>
      <c r="O857" s="3" t="s">
        <v>37</v>
      </c>
      <c r="P857" s="3" t="s">
        <v>38</v>
      </c>
      <c r="Q857" s="3" t="s">
        <v>39</v>
      </c>
      <c r="R857" s="3" t="s">
        <v>40</v>
      </c>
      <c r="S857" s="55">
        <v>16844.5</v>
      </c>
      <c r="T857" s="55">
        <v>5669.7142999999996</v>
      </c>
      <c r="U857" s="55">
        <v>335.69970000000001</v>
      </c>
      <c r="V857" s="55">
        <v>11174.7857</v>
      </c>
      <c r="W857" s="3">
        <v>34</v>
      </c>
    </row>
    <row r="858" spans="1:23" x14ac:dyDescent="0.35">
      <c r="A858" s="3" t="s">
        <v>33</v>
      </c>
      <c r="B858" s="3" t="s">
        <v>466</v>
      </c>
      <c r="C858" s="3" t="s">
        <v>162</v>
      </c>
      <c r="D858" s="3" t="s">
        <v>144</v>
      </c>
      <c r="E858" s="3" t="s">
        <v>145</v>
      </c>
      <c r="F858" s="3" t="s">
        <v>146</v>
      </c>
      <c r="G858" s="3" t="s">
        <v>147</v>
      </c>
      <c r="H858" s="3" t="s">
        <v>116</v>
      </c>
      <c r="I858" s="3" t="s">
        <v>148</v>
      </c>
      <c r="J858" s="3" t="s">
        <v>149</v>
      </c>
      <c r="K858" s="3" t="s">
        <v>33</v>
      </c>
      <c r="L858" s="3" t="s">
        <v>51</v>
      </c>
      <c r="M858" s="3" t="s">
        <v>160</v>
      </c>
      <c r="N858" s="3" t="s">
        <v>161</v>
      </c>
      <c r="O858" s="3" t="s">
        <v>42</v>
      </c>
      <c r="P858" s="3" t="s">
        <v>43</v>
      </c>
      <c r="Q858" s="3" t="s">
        <v>39</v>
      </c>
      <c r="R858" s="3" t="s">
        <v>40</v>
      </c>
      <c r="S858" s="55">
        <v>6321.4</v>
      </c>
      <c r="T858" s="55">
        <v>0</v>
      </c>
      <c r="U858" s="55">
        <v>0</v>
      </c>
      <c r="V858" s="55">
        <v>6321.4</v>
      </c>
      <c r="W858" s="3">
        <v>0</v>
      </c>
    </row>
    <row r="859" spans="1:23" x14ac:dyDescent="0.35">
      <c r="A859" s="3" t="s">
        <v>33</v>
      </c>
      <c r="B859" s="3" t="s">
        <v>466</v>
      </c>
      <c r="C859" s="3" t="s">
        <v>163</v>
      </c>
      <c r="D859" s="3" t="s">
        <v>144</v>
      </c>
      <c r="E859" s="3" t="s">
        <v>145</v>
      </c>
      <c r="F859" s="3" t="s">
        <v>146</v>
      </c>
      <c r="G859" s="3" t="s">
        <v>147</v>
      </c>
      <c r="H859" s="3" t="s">
        <v>116</v>
      </c>
      <c r="I859" s="3" t="s">
        <v>148</v>
      </c>
      <c r="J859" s="3" t="s">
        <v>149</v>
      </c>
      <c r="K859" s="3" t="s">
        <v>33</v>
      </c>
      <c r="L859" s="3" t="s">
        <v>51</v>
      </c>
      <c r="M859" s="3" t="s">
        <v>160</v>
      </c>
      <c r="N859" s="3" t="s">
        <v>161</v>
      </c>
      <c r="O859" s="3" t="s">
        <v>125</v>
      </c>
      <c r="P859" s="3" t="s">
        <v>126</v>
      </c>
      <c r="Q859" s="3" t="s">
        <v>39</v>
      </c>
      <c r="R859" s="3" t="s">
        <v>40</v>
      </c>
      <c r="S859" s="55">
        <v>4785.7</v>
      </c>
      <c r="T859" s="55">
        <v>1868.1646000000001</v>
      </c>
      <c r="U859" s="55">
        <v>377.45639999999997</v>
      </c>
      <c r="V859" s="55">
        <v>2917.5354000000002</v>
      </c>
      <c r="W859" s="3">
        <v>39</v>
      </c>
    </row>
    <row r="860" spans="1:23" x14ac:dyDescent="0.35">
      <c r="A860" s="3" t="s">
        <v>33</v>
      </c>
      <c r="B860" s="3" t="s">
        <v>466</v>
      </c>
      <c r="C860" s="3" t="s">
        <v>423</v>
      </c>
      <c r="D860" s="3" t="s">
        <v>165</v>
      </c>
      <c r="E860" s="3" t="s">
        <v>145</v>
      </c>
      <c r="F860" s="3" t="s">
        <v>28</v>
      </c>
      <c r="G860" s="3" t="s">
        <v>166</v>
      </c>
      <c r="H860" s="3" t="s">
        <v>139</v>
      </c>
      <c r="I860" s="3" t="s">
        <v>167</v>
      </c>
      <c r="J860" s="3" t="s">
        <v>168</v>
      </c>
      <c r="K860" s="3" t="s">
        <v>33</v>
      </c>
      <c r="L860" s="3" t="s">
        <v>51</v>
      </c>
      <c r="M860" s="3" t="s">
        <v>424</v>
      </c>
      <c r="N860" s="3" t="s">
        <v>507</v>
      </c>
      <c r="O860" s="3" t="s">
        <v>37</v>
      </c>
      <c r="P860" s="3" t="s">
        <v>38</v>
      </c>
      <c r="Q860" s="3" t="s">
        <v>39</v>
      </c>
      <c r="R860" s="3" t="s">
        <v>40</v>
      </c>
      <c r="S860" s="55">
        <v>1249.3</v>
      </c>
      <c r="T860" s="55">
        <v>0</v>
      </c>
      <c r="U860" s="55">
        <v>0</v>
      </c>
      <c r="V860" s="55">
        <v>1249.3</v>
      </c>
      <c r="W860" s="3">
        <v>0</v>
      </c>
    </row>
    <row r="861" spans="1:23" x14ac:dyDescent="0.35">
      <c r="A861" s="3" t="s">
        <v>33</v>
      </c>
      <c r="B861" s="3" t="s">
        <v>466</v>
      </c>
      <c r="C861" s="3" t="s">
        <v>560</v>
      </c>
      <c r="D861" s="3" t="s">
        <v>165</v>
      </c>
      <c r="E861" s="3" t="s">
        <v>145</v>
      </c>
      <c r="F861" s="3" t="s">
        <v>28</v>
      </c>
      <c r="G861" s="3" t="s">
        <v>166</v>
      </c>
      <c r="H861" s="3" t="s">
        <v>139</v>
      </c>
      <c r="I861" s="3" t="s">
        <v>167</v>
      </c>
      <c r="J861" s="3" t="s">
        <v>168</v>
      </c>
      <c r="K861" s="3" t="s">
        <v>33</v>
      </c>
      <c r="L861" s="3" t="s">
        <v>51</v>
      </c>
      <c r="M861" s="3" t="s">
        <v>424</v>
      </c>
      <c r="N861" s="3" t="s">
        <v>507</v>
      </c>
      <c r="O861" s="3" t="s">
        <v>125</v>
      </c>
      <c r="P861" s="3" t="s">
        <v>126</v>
      </c>
      <c r="Q861" s="3" t="s">
        <v>39</v>
      </c>
      <c r="R861" s="3" t="s">
        <v>40</v>
      </c>
      <c r="S861" s="55">
        <v>250.7</v>
      </c>
      <c r="T861" s="55">
        <v>250.65</v>
      </c>
      <c r="U861" s="55">
        <v>0</v>
      </c>
      <c r="V861" s="55">
        <v>0.05</v>
      </c>
      <c r="W861" s="3">
        <v>100</v>
      </c>
    </row>
    <row r="862" spans="1:23" x14ac:dyDescent="0.35">
      <c r="A862" s="3" t="s">
        <v>33</v>
      </c>
      <c r="B862" s="3" t="s">
        <v>466</v>
      </c>
      <c r="C862" s="3" t="s">
        <v>164</v>
      </c>
      <c r="D862" s="3" t="s">
        <v>165</v>
      </c>
      <c r="E862" s="3" t="s">
        <v>145</v>
      </c>
      <c r="F862" s="3" t="s">
        <v>28</v>
      </c>
      <c r="G862" s="3" t="s">
        <v>166</v>
      </c>
      <c r="H862" s="3" t="s">
        <v>139</v>
      </c>
      <c r="I862" s="3" t="s">
        <v>167</v>
      </c>
      <c r="J862" s="3" t="s">
        <v>168</v>
      </c>
      <c r="K862" s="3" t="s">
        <v>33</v>
      </c>
      <c r="L862" s="3" t="s">
        <v>51</v>
      </c>
      <c r="M862" s="3" t="s">
        <v>169</v>
      </c>
      <c r="N862" s="3" t="s">
        <v>170</v>
      </c>
      <c r="O862" s="3" t="s">
        <v>37</v>
      </c>
      <c r="P862" s="3" t="s">
        <v>38</v>
      </c>
      <c r="Q862" s="3" t="s">
        <v>39</v>
      </c>
      <c r="R862" s="3" t="s">
        <v>40</v>
      </c>
      <c r="S862" s="55">
        <v>52212.9</v>
      </c>
      <c r="T862" s="55">
        <v>4233.4225999999999</v>
      </c>
      <c r="U862" s="55">
        <v>980</v>
      </c>
      <c r="V862" s="55">
        <v>47979.477400000003</v>
      </c>
      <c r="W862" s="3">
        <v>8</v>
      </c>
    </row>
    <row r="863" spans="1:23" x14ac:dyDescent="0.35">
      <c r="A863" s="3" t="s">
        <v>33</v>
      </c>
      <c r="B863" s="3" t="s">
        <v>466</v>
      </c>
      <c r="C863" s="3" t="s">
        <v>561</v>
      </c>
      <c r="D863" s="3" t="s">
        <v>165</v>
      </c>
      <c r="E863" s="3" t="s">
        <v>145</v>
      </c>
      <c r="F863" s="3" t="s">
        <v>28</v>
      </c>
      <c r="G863" s="3" t="s">
        <v>166</v>
      </c>
      <c r="H863" s="3" t="s">
        <v>139</v>
      </c>
      <c r="I863" s="3" t="s">
        <v>167</v>
      </c>
      <c r="J863" s="3" t="s">
        <v>168</v>
      </c>
      <c r="K863" s="3" t="s">
        <v>33</v>
      </c>
      <c r="L863" s="3" t="s">
        <v>51</v>
      </c>
      <c r="M863" s="3" t="s">
        <v>169</v>
      </c>
      <c r="N863" s="3" t="s">
        <v>170</v>
      </c>
      <c r="O863" s="3" t="s">
        <v>125</v>
      </c>
      <c r="P863" s="3" t="s">
        <v>126</v>
      </c>
      <c r="Q863" s="3" t="s">
        <v>39</v>
      </c>
      <c r="R863" s="3" t="s">
        <v>40</v>
      </c>
      <c r="S863" s="55">
        <v>406.8</v>
      </c>
      <c r="T863" s="55">
        <v>406.8</v>
      </c>
      <c r="U863" s="55">
        <v>0</v>
      </c>
      <c r="V863" s="55">
        <v>0</v>
      </c>
      <c r="W863" s="3">
        <v>100</v>
      </c>
    </row>
    <row r="864" spans="1:23" x14ac:dyDescent="0.35">
      <c r="A864" s="3" t="s">
        <v>33</v>
      </c>
      <c r="B864" s="3" t="s">
        <v>466</v>
      </c>
      <c r="C864" s="3" t="s">
        <v>171</v>
      </c>
      <c r="D864" s="3" t="s">
        <v>165</v>
      </c>
      <c r="E864" s="3" t="s">
        <v>145</v>
      </c>
      <c r="F864" s="3" t="s">
        <v>28</v>
      </c>
      <c r="G864" s="3" t="s">
        <v>166</v>
      </c>
      <c r="H864" s="3" t="s">
        <v>139</v>
      </c>
      <c r="I864" s="3" t="s">
        <v>167</v>
      </c>
      <c r="J864" s="3" t="s">
        <v>168</v>
      </c>
      <c r="K864" s="3" t="s">
        <v>33</v>
      </c>
      <c r="L864" s="3" t="s">
        <v>51</v>
      </c>
      <c r="M864" s="3" t="s">
        <v>172</v>
      </c>
      <c r="N864" s="3" t="s">
        <v>173</v>
      </c>
      <c r="O864" s="3" t="s">
        <v>37</v>
      </c>
      <c r="P864" s="3" t="s">
        <v>38</v>
      </c>
      <c r="Q864" s="3" t="s">
        <v>39</v>
      </c>
      <c r="R864" s="3" t="s">
        <v>40</v>
      </c>
      <c r="S864" s="55">
        <v>152084.6</v>
      </c>
      <c r="T864" s="55">
        <v>583</v>
      </c>
      <c r="U864" s="55">
        <v>0</v>
      </c>
      <c r="V864" s="55">
        <v>151501.6</v>
      </c>
      <c r="W864" s="3">
        <v>0</v>
      </c>
    </row>
    <row r="865" spans="1:23" x14ac:dyDescent="0.35">
      <c r="A865" s="3" t="s">
        <v>33</v>
      </c>
      <c r="B865" s="3" t="s">
        <v>466</v>
      </c>
      <c r="C865" s="3" t="s">
        <v>562</v>
      </c>
      <c r="D865" s="3" t="s">
        <v>165</v>
      </c>
      <c r="E865" s="3" t="s">
        <v>145</v>
      </c>
      <c r="F865" s="3" t="s">
        <v>28</v>
      </c>
      <c r="G865" s="3" t="s">
        <v>166</v>
      </c>
      <c r="H865" s="3" t="s">
        <v>139</v>
      </c>
      <c r="I865" s="3" t="s">
        <v>167</v>
      </c>
      <c r="J865" s="3" t="s">
        <v>168</v>
      </c>
      <c r="K865" s="3" t="s">
        <v>33</v>
      </c>
      <c r="L865" s="3" t="s">
        <v>51</v>
      </c>
      <c r="M865" s="3" t="s">
        <v>172</v>
      </c>
      <c r="N865" s="3" t="s">
        <v>173</v>
      </c>
      <c r="O865" s="3" t="s">
        <v>125</v>
      </c>
      <c r="P865" s="3" t="s">
        <v>126</v>
      </c>
      <c r="Q865" s="3" t="s">
        <v>39</v>
      </c>
      <c r="R865" s="3" t="s">
        <v>40</v>
      </c>
      <c r="S865" s="55">
        <v>2086.8000000000002</v>
      </c>
      <c r="T865" s="55">
        <v>2086.8000000000002</v>
      </c>
      <c r="U865" s="55">
        <v>0</v>
      </c>
      <c r="V865" s="55">
        <v>0</v>
      </c>
      <c r="W865" s="3">
        <v>100</v>
      </c>
    </row>
    <row r="866" spans="1:23" x14ac:dyDescent="0.35">
      <c r="A866" s="3" t="s">
        <v>33</v>
      </c>
      <c r="B866" s="3" t="s">
        <v>466</v>
      </c>
      <c r="C866" s="3" t="s">
        <v>174</v>
      </c>
      <c r="D866" s="3" t="s">
        <v>175</v>
      </c>
      <c r="E866" s="3" t="s">
        <v>145</v>
      </c>
      <c r="F866" s="3" t="s">
        <v>176</v>
      </c>
      <c r="G866" s="3" t="s">
        <v>177</v>
      </c>
      <c r="H866" s="3" t="s">
        <v>116</v>
      </c>
      <c r="I866" s="3" t="s">
        <v>148</v>
      </c>
      <c r="J866" s="3" t="s">
        <v>149</v>
      </c>
      <c r="K866" s="3" t="s">
        <v>33</v>
      </c>
      <c r="L866" s="3" t="s">
        <v>51</v>
      </c>
      <c r="M866" s="3" t="s">
        <v>178</v>
      </c>
      <c r="N866" s="3" t="s">
        <v>179</v>
      </c>
      <c r="O866" s="3" t="s">
        <v>96</v>
      </c>
      <c r="P866" s="3" t="s">
        <v>97</v>
      </c>
      <c r="Q866" s="3" t="s">
        <v>39</v>
      </c>
      <c r="R866" s="3" t="s">
        <v>40</v>
      </c>
      <c r="S866" s="55">
        <v>484074.8</v>
      </c>
      <c r="T866" s="55">
        <v>186637.71890000001</v>
      </c>
      <c r="U866" s="55">
        <v>33758.3986</v>
      </c>
      <c r="V866" s="55">
        <v>297437.08110000001</v>
      </c>
      <c r="W866" s="3">
        <v>39</v>
      </c>
    </row>
    <row r="867" spans="1:23" x14ac:dyDescent="0.35">
      <c r="A867" s="3" t="s">
        <v>33</v>
      </c>
      <c r="B867" s="3" t="s">
        <v>466</v>
      </c>
      <c r="C867" s="3" t="s">
        <v>180</v>
      </c>
      <c r="D867" s="3" t="s">
        <v>175</v>
      </c>
      <c r="E867" s="3" t="s">
        <v>145</v>
      </c>
      <c r="F867" s="3" t="s">
        <v>176</v>
      </c>
      <c r="G867" s="3" t="s">
        <v>177</v>
      </c>
      <c r="H867" s="3" t="s">
        <v>116</v>
      </c>
      <c r="I867" s="3" t="s">
        <v>148</v>
      </c>
      <c r="J867" s="3" t="s">
        <v>149</v>
      </c>
      <c r="K867" s="3" t="s">
        <v>33</v>
      </c>
      <c r="L867" s="3" t="s">
        <v>51</v>
      </c>
      <c r="M867" s="3" t="s">
        <v>178</v>
      </c>
      <c r="N867" s="3" t="s">
        <v>179</v>
      </c>
      <c r="O867" s="3" t="s">
        <v>99</v>
      </c>
      <c r="P867" s="3" t="s">
        <v>100</v>
      </c>
      <c r="Q867" s="3" t="s">
        <v>39</v>
      </c>
      <c r="R867" s="3" t="s">
        <v>40</v>
      </c>
      <c r="S867" s="55">
        <v>145129.20000000001</v>
      </c>
      <c r="T867" s="55">
        <v>58586.076000000001</v>
      </c>
      <c r="U867" s="55">
        <v>12781.3817</v>
      </c>
      <c r="V867" s="55">
        <v>86543.123999999996</v>
      </c>
      <c r="W867" s="3">
        <v>40</v>
      </c>
    </row>
    <row r="868" spans="1:23" x14ac:dyDescent="0.35">
      <c r="A868" s="3" t="s">
        <v>33</v>
      </c>
      <c r="B868" s="3" t="s">
        <v>466</v>
      </c>
      <c r="C868" s="3" t="s">
        <v>181</v>
      </c>
      <c r="D868" s="3" t="s">
        <v>175</v>
      </c>
      <c r="E868" s="3" t="s">
        <v>145</v>
      </c>
      <c r="F868" s="3" t="s">
        <v>176</v>
      </c>
      <c r="G868" s="3" t="s">
        <v>177</v>
      </c>
      <c r="H868" s="3" t="s">
        <v>116</v>
      </c>
      <c r="I868" s="3" t="s">
        <v>148</v>
      </c>
      <c r="J868" s="3" t="s">
        <v>149</v>
      </c>
      <c r="K868" s="3" t="s">
        <v>33</v>
      </c>
      <c r="L868" s="3" t="s">
        <v>51</v>
      </c>
      <c r="M868" s="3" t="s">
        <v>178</v>
      </c>
      <c r="N868" s="3" t="s">
        <v>179</v>
      </c>
      <c r="O868" s="3" t="s">
        <v>37</v>
      </c>
      <c r="P868" s="3" t="s">
        <v>38</v>
      </c>
      <c r="Q868" s="3" t="s">
        <v>39</v>
      </c>
      <c r="R868" s="3" t="s">
        <v>40</v>
      </c>
      <c r="S868" s="55">
        <v>106296.5</v>
      </c>
      <c r="T868" s="55">
        <v>26441.724900000001</v>
      </c>
      <c r="U868" s="55">
        <v>5635.1724999999997</v>
      </c>
      <c r="V868" s="55">
        <v>79854.775099999999</v>
      </c>
      <c r="W868" s="3">
        <v>25</v>
      </c>
    </row>
    <row r="869" spans="1:23" x14ac:dyDescent="0.35">
      <c r="A869" s="3" t="s">
        <v>33</v>
      </c>
      <c r="B869" s="3" t="s">
        <v>466</v>
      </c>
      <c r="C869" s="3" t="s">
        <v>182</v>
      </c>
      <c r="D869" s="3" t="s">
        <v>175</v>
      </c>
      <c r="E869" s="3" t="s">
        <v>145</v>
      </c>
      <c r="F869" s="3" t="s">
        <v>176</v>
      </c>
      <c r="G869" s="3" t="s">
        <v>177</v>
      </c>
      <c r="H869" s="3" t="s">
        <v>116</v>
      </c>
      <c r="I869" s="3" t="s">
        <v>148</v>
      </c>
      <c r="J869" s="3" t="s">
        <v>149</v>
      </c>
      <c r="K869" s="3" t="s">
        <v>33</v>
      </c>
      <c r="L869" s="3" t="s">
        <v>51</v>
      </c>
      <c r="M869" s="3" t="s">
        <v>178</v>
      </c>
      <c r="N869" s="3" t="s">
        <v>179</v>
      </c>
      <c r="O869" s="3" t="s">
        <v>42</v>
      </c>
      <c r="P869" s="3" t="s">
        <v>43</v>
      </c>
      <c r="Q869" s="3" t="s">
        <v>39</v>
      </c>
      <c r="R869" s="3" t="s">
        <v>40</v>
      </c>
      <c r="S869" s="55">
        <v>5728.8</v>
      </c>
      <c r="T869" s="55">
        <v>1123.4722999999999</v>
      </c>
      <c r="U869" s="55">
        <v>314.43430000000001</v>
      </c>
      <c r="V869" s="55">
        <v>4605.3276999999998</v>
      </c>
      <c r="W869" s="3">
        <v>20</v>
      </c>
    </row>
    <row r="870" spans="1:23" x14ac:dyDescent="0.35">
      <c r="A870" s="3" t="s">
        <v>33</v>
      </c>
      <c r="B870" s="3" t="s">
        <v>466</v>
      </c>
      <c r="C870" s="3" t="s">
        <v>486</v>
      </c>
      <c r="D870" s="3" t="s">
        <v>175</v>
      </c>
      <c r="E870" s="3" t="s">
        <v>145</v>
      </c>
      <c r="F870" s="3" t="s">
        <v>176</v>
      </c>
      <c r="G870" s="3" t="s">
        <v>177</v>
      </c>
      <c r="H870" s="3" t="s">
        <v>116</v>
      </c>
      <c r="I870" s="3" t="s">
        <v>148</v>
      </c>
      <c r="J870" s="3" t="s">
        <v>149</v>
      </c>
      <c r="K870" s="3" t="s">
        <v>33</v>
      </c>
      <c r="L870" s="3" t="s">
        <v>51</v>
      </c>
      <c r="M870" s="3" t="s">
        <v>178</v>
      </c>
      <c r="N870" s="3" t="s">
        <v>179</v>
      </c>
      <c r="O870" s="3" t="s">
        <v>91</v>
      </c>
      <c r="P870" s="3" t="s">
        <v>92</v>
      </c>
      <c r="Q870" s="3" t="s">
        <v>39</v>
      </c>
      <c r="R870" s="3" t="s">
        <v>40</v>
      </c>
      <c r="S870" s="55">
        <v>264.7</v>
      </c>
      <c r="T870" s="55">
        <v>260.87279999999998</v>
      </c>
      <c r="U870" s="55">
        <v>0</v>
      </c>
      <c r="V870" s="55">
        <v>3.8271999999999999</v>
      </c>
      <c r="W870" s="3">
        <v>99</v>
      </c>
    </row>
    <row r="871" spans="1:23" x14ac:dyDescent="0.35">
      <c r="A871" s="3" t="s">
        <v>33</v>
      </c>
      <c r="B871" s="3" t="s">
        <v>466</v>
      </c>
      <c r="C871" s="3" t="s">
        <v>183</v>
      </c>
      <c r="D871" s="3" t="s">
        <v>175</v>
      </c>
      <c r="E871" s="3" t="s">
        <v>145</v>
      </c>
      <c r="F871" s="3" t="s">
        <v>176</v>
      </c>
      <c r="G871" s="3" t="s">
        <v>177</v>
      </c>
      <c r="H871" s="3" t="s">
        <v>116</v>
      </c>
      <c r="I871" s="3" t="s">
        <v>148</v>
      </c>
      <c r="J871" s="3" t="s">
        <v>149</v>
      </c>
      <c r="K871" s="3" t="s">
        <v>33</v>
      </c>
      <c r="L871" s="3" t="s">
        <v>51</v>
      </c>
      <c r="M871" s="3" t="s">
        <v>178</v>
      </c>
      <c r="N871" s="3" t="s">
        <v>179</v>
      </c>
      <c r="O871" s="3" t="s">
        <v>122</v>
      </c>
      <c r="P871" s="3" t="s">
        <v>123</v>
      </c>
      <c r="Q871" s="3" t="s">
        <v>39</v>
      </c>
      <c r="R871" s="3" t="s">
        <v>40</v>
      </c>
      <c r="S871" s="55">
        <v>1454.5</v>
      </c>
      <c r="T871" s="55">
        <v>45.942</v>
      </c>
      <c r="U871" s="55">
        <v>0</v>
      </c>
      <c r="V871" s="55">
        <v>1408.558</v>
      </c>
      <c r="W871" s="3">
        <v>3</v>
      </c>
    </row>
    <row r="872" spans="1:23" x14ac:dyDescent="0.35">
      <c r="A872" s="3" t="s">
        <v>33</v>
      </c>
      <c r="B872" s="3" t="s">
        <v>466</v>
      </c>
      <c r="C872" s="3" t="s">
        <v>184</v>
      </c>
      <c r="D872" s="3" t="s">
        <v>175</v>
      </c>
      <c r="E872" s="3" t="s">
        <v>145</v>
      </c>
      <c r="F872" s="3" t="s">
        <v>176</v>
      </c>
      <c r="G872" s="3" t="s">
        <v>177</v>
      </c>
      <c r="H872" s="3" t="s">
        <v>116</v>
      </c>
      <c r="I872" s="3" t="s">
        <v>148</v>
      </c>
      <c r="J872" s="3" t="s">
        <v>149</v>
      </c>
      <c r="K872" s="3" t="s">
        <v>33</v>
      </c>
      <c r="L872" s="3" t="s">
        <v>51</v>
      </c>
      <c r="M872" s="3" t="s">
        <v>178</v>
      </c>
      <c r="N872" s="3" t="s">
        <v>179</v>
      </c>
      <c r="O872" s="3" t="s">
        <v>103</v>
      </c>
      <c r="P872" s="3" t="s">
        <v>104</v>
      </c>
      <c r="Q872" s="3" t="s">
        <v>39</v>
      </c>
      <c r="R872" s="3" t="s">
        <v>40</v>
      </c>
      <c r="S872" s="55">
        <v>675.8</v>
      </c>
      <c r="T872" s="55">
        <v>199.28100000000001</v>
      </c>
      <c r="U872" s="55">
        <v>0</v>
      </c>
      <c r="V872" s="55">
        <v>476.51900000000001</v>
      </c>
      <c r="W872" s="3">
        <v>29</v>
      </c>
    </row>
    <row r="873" spans="1:23" x14ac:dyDescent="0.35">
      <c r="A873" s="3" t="s">
        <v>33</v>
      </c>
      <c r="B873" s="3" t="s">
        <v>466</v>
      </c>
      <c r="C873" s="3" t="s">
        <v>473</v>
      </c>
      <c r="D873" s="3" t="s">
        <v>175</v>
      </c>
      <c r="E873" s="3" t="s">
        <v>145</v>
      </c>
      <c r="F873" s="3" t="s">
        <v>176</v>
      </c>
      <c r="G873" s="3" t="s">
        <v>177</v>
      </c>
      <c r="H873" s="3" t="s">
        <v>116</v>
      </c>
      <c r="I873" s="3" t="s">
        <v>148</v>
      </c>
      <c r="J873" s="3" t="s">
        <v>149</v>
      </c>
      <c r="K873" s="3" t="s">
        <v>33</v>
      </c>
      <c r="L873" s="3" t="s">
        <v>51</v>
      </c>
      <c r="M873" s="3" t="s">
        <v>474</v>
      </c>
      <c r="N873" s="3" t="s">
        <v>475</v>
      </c>
      <c r="O873" s="3" t="s">
        <v>37</v>
      </c>
      <c r="P873" s="3" t="s">
        <v>38</v>
      </c>
      <c r="Q873" s="3" t="s">
        <v>39</v>
      </c>
      <c r="R873" s="3" t="s">
        <v>40</v>
      </c>
      <c r="S873" s="55">
        <v>3157.5</v>
      </c>
      <c r="T873" s="55">
        <v>0</v>
      </c>
      <c r="U873" s="55">
        <v>0</v>
      </c>
      <c r="V873" s="55">
        <v>3157.5</v>
      </c>
      <c r="W873" s="3">
        <v>0</v>
      </c>
    </row>
    <row r="874" spans="1:23" x14ac:dyDescent="0.35">
      <c r="A874" s="3" t="s">
        <v>33</v>
      </c>
      <c r="B874" s="3" t="s">
        <v>466</v>
      </c>
      <c r="C874" s="3" t="s">
        <v>185</v>
      </c>
      <c r="D874" s="3" t="s">
        <v>186</v>
      </c>
      <c r="E874" s="3" t="s">
        <v>187</v>
      </c>
      <c r="F874" s="3" t="s">
        <v>146</v>
      </c>
      <c r="G874" s="3" t="s">
        <v>188</v>
      </c>
      <c r="H874" s="3" t="s">
        <v>189</v>
      </c>
      <c r="I874" s="3" t="s">
        <v>190</v>
      </c>
      <c r="J874" s="3" t="s">
        <v>191</v>
      </c>
      <c r="K874" s="3" t="s">
        <v>33</v>
      </c>
      <c r="L874" s="3" t="s">
        <v>51</v>
      </c>
      <c r="M874" s="3" t="s">
        <v>192</v>
      </c>
      <c r="N874" s="3" t="s">
        <v>193</v>
      </c>
      <c r="O874" s="3" t="s">
        <v>108</v>
      </c>
      <c r="P874" s="3" t="s">
        <v>109</v>
      </c>
      <c r="Q874" s="3" t="s">
        <v>39</v>
      </c>
      <c r="R874" s="3" t="s">
        <v>40</v>
      </c>
      <c r="S874" s="55">
        <v>4988386</v>
      </c>
      <c r="T874" s="55">
        <v>1899809.5105999999</v>
      </c>
      <c r="U874" s="55">
        <v>471309.2181</v>
      </c>
      <c r="V874" s="55">
        <v>3088576.4893999998</v>
      </c>
      <c r="W874" s="3">
        <v>38</v>
      </c>
    </row>
    <row r="875" spans="1:23" x14ac:dyDescent="0.35">
      <c r="A875" s="3" t="s">
        <v>33</v>
      </c>
      <c r="B875" s="3" t="s">
        <v>466</v>
      </c>
      <c r="C875" s="3" t="s">
        <v>508</v>
      </c>
      <c r="D875" s="3" t="s">
        <v>186</v>
      </c>
      <c r="E875" s="3" t="s">
        <v>187</v>
      </c>
      <c r="F875" s="3" t="s">
        <v>146</v>
      </c>
      <c r="G875" s="3" t="s">
        <v>188</v>
      </c>
      <c r="H875" s="3" t="s">
        <v>189</v>
      </c>
      <c r="I875" s="3" t="s">
        <v>190</v>
      </c>
      <c r="J875" s="3" t="s">
        <v>191</v>
      </c>
      <c r="K875" s="3" t="s">
        <v>33</v>
      </c>
      <c r="L875" s="3" t="s">
        <v>51</v>
      </c>
      <c r="M875" s="3" t="s">
        <v>227</v>
      </c>
      <c r="N875" s="3" t="s">
        <v>228</v>
      </c>
      <c r="O875" s="3" t="s">
        <v>197</v>
      </c>
      <c r="P875" s="3" t="s">
        <v>198</v>
      </c>
      <c r="Q875" s="3" t="s">
        <v>39</v>
      </c>
      <c r="R875" s="3" t="s">
        <v>40</v>
      </c>
      <c r="S875" s="55">
        <v>29473.1</v>
      </c>
      <c r="T875" s="55">
        <v>32.4</v>
      </c>
      <c r="U875" s="55">
        <v>32.4</v>
      </c>
      <c r="V875" s="55">
        <v>29440.7</v>
      </c>
      <c r="W875" s="3">
        <v>0</v>
      </c>
    </row>
    <row r="876" spans="1:23" x14ac:dyDescent="0.35">
      <c r="A876" s="3" t="s">
        <v>33</v>
      </c>
      <c r="B876" s="3" t="s">
        <v>466</v>
      </c>
      <c r="C876" s="3" t="s">
        <v>194</v>
      </c>
      <c r="D876" s="3" t="s">
        <v>186</v>
      </c>
      <c r="E876" s="3" t="s">
        <v>187</v>
      </c>
      <c r="F876" s="3" t="s">
        <v>146</v>
      </c>
      <c r="G876" s="3" t="s">
        <v>188</v>
      </c>
      <c r="H876" s="3" t="s">
        <v>189</v>
      </c>
      <c r="I876" s="3" t="s">
        <v>190</v>
      </c>
      <c r="J876" s="3" t="s">
        <v>191</v>
      </c>
      <c r="K876" s="3" t="s">
        <v>33</v>
      </c>
      <c r="L876" s="3" t="s">
        <v>51</v>
      </c>
      <c r="M876" s="3" t="s">
        <v>195</v>
      </c>
      <c r="N876" s="3" t="s">
        <v>509</v>
      </c>
      <c r="O876" s="3" t="s">
        <v>197</v>
      </c>
      <c r="P876" s="3" t="s">
        <v>198</v>
      </c>
      <c r="Q876" s="3" t="s">
        <v>39</v>
      </c>
      <c r="R876" s="3" t="s">
        <v>40</v>
      </c>
      <c r="S876" s="55">
        <v>34664.6</v>
      </c>
      <c r="T876" s="55">
        <v>10520.689899999999</v>
      </c>
      <c r="U876" s="55">
        <v>6180.357</v>
      </c>
      <c r="V876" s="55">
        <v>24143.910100000001</v>
      </c>
      <c r="W876" s="3">
        <v>30</v>
      </c>
    </row>
    <row r="877" spans="1:23" x14ac:dyDescent="0.35">
      <c r="A877" s="3" t="s">
        <v>33</v>
      </c>
      <c r="B877" s="3" t="s">
        <v>466</v>
      </c>
      <c r="C877" s="3" t="s">
        <v>510</v>
      </c>
      <c r="D877" s="3" t="s">
        <v>200</v>
      </c>
      <c r="E877" s="3" t="s">
        <v>187</v>
      </c>
      <c r="F877" s="3" t="s">
        <v>189</v>
      </c>
      <c r="G877" s="3" t="s">
        <v>201</v>
      </c>
      <c r="H877" s="3" t="s">
        <v>189</v>
      </c>
      <c r="I877" s="3" t="s">
        <v>190</v>
      </c>
      <c r="J877" s="3" t="s">
        <v>202</v>
      </c>
      <c r="K877" s="3" t="s">
        <v>23</v>
      </c>
      <c r="L877" s="3" t="s">
        <v>203</v>
      </c>
      <c r="M877" s="3" t="s">
        <v>511</v>
      </c>
      <c r="N877" s="3" t="s">
        <v>205</v>
      </c>
      <c r="O877" s="3" t="s">
        <v>197</v>
      </c>
      <c r="P877" s="3" t="s">
        <v>198</v>
      </c>
      <c r="Q877" s="3" t="s">
        <v>39</v>
      </c>
      <c r="R877" s="3" t="s">
        <v>40</v>
      </c>
      <c r="S877" s="55">
        <v>21148</v>
      </c>
      <c r="T877" s="55">
        <v>14098.5764</v>
      </c>
      <c r="U877" s="55">
        <v>7049.3941000000004</v>
      </c>
      <c r="V877" s="55">
        <v>7049.4236000000001</v>
      </c>
      <c r="W877" s="3">
        <v>67</v>
      </c>
    </row>
    <row r="878" spans="1:23" x14ac:dyDescent="0.35">
      <c r="A878" s="3" t="s">
        <v>33</v>
      </c>
      <c r="B878" s="3" t="s">
        <v>466</v>
      </c>
      <c r="C878" s="3" t="s">
        <v>512</v>
      </c>
      <c r="D878" s="3" t="s">
        <v>200</v>
      </c>
      <c r="E878" s="3" t="s">
        <v>187</v>
      </c>
      <c r="F878" s="3" t="s">
        <v>189</v>
      </c>
      <c r="G878" s="3" t="s">
        <v>201</v>
      </c>
      <c r="H878" s="3" t="s">
        <v>189</v>
      </c>
      <c r="I878" s="3" t="s">
        <v>190</v>
      </c>
      <c r="J878" s="3" t="s">
        <v>202</v>
      </c>
      <c r="K878" s="3" t="s">
        <v>23</v>
      </c>
      <c r="L878" s="3" t="s">
        <v>203</v>
      </c>
      <c r="M878" s="3" t="s">
        <v>513</v>
      </c>
      <c r="N878" s="3" t="s">
        <v>514</v>
      </c>
      <c r="O878" s="3" t="s">
        <v>197</v>
      </c>
      <c r="P878" s="3" t="s">
        <v>198</v>
      </c>
      <c r="Q878" s="3" t="s">
        <v>39</v>
      </c>
      <c r="R878" s="3" t="s">
        <v>40</v>
      </c>
      <c r="S878" s="55">
        <v>1977.2</v>
      </c>
      <c r="T878" s="55">
        <v>1977.1566</v>
      </c>
      <c r="U878" s="55">
        <v>0</v>
      </c>
      <c r="V878" s="55">
        <v>4.3400000000000001E-2</v>
      </c>
      <c r="W878" s="3">
        <v>100</v>
      </c>
    </row>
    <row r="879" spans="1:23" x14ac:dyDescent="0.35">
      <c r="A879" s="3" t="s">
        <v>33</v>
      </c>
      <c r="B879" s="3" t="s">
        <v>466</v>
      </c>
      <c r="C879" s="3" t="s">
        <v>209</v>
      </c>
      <c r="D879" s="3" t="s">
        <v>200</v>
      </c>
      <c r="E879" s="3" t="s">
        <v>187</v>
      </c>
      <c r="F879" s="3" t="s">
        <v>189</v>
      </c>
      <c r="G879" s="3" t="s">
        <v>201</v>
      </c>
      <c r="H879" s="3" t="s">
        <v>189</v>
      </c>
      <c r="I879" s="3" t="s">
        <v>190</v>
      </c>
      <c r="J879" s="3" t="s">
        <v>191</v>
      </c>
      <c r="K879" s="3" t="s">
        <v>33</v>
      </c>
      <c r="L879" s="3" t="s">
        <v>51</v>
      </c>
      <c r="M879" s="3" t="s">
        <v>210</v>
      </c>
      <c r="N879" s="3" t="s">
        <v>211</v>
      </c>
      <c r="O879" s="3" t="s">
        <v>108</v>
      </c>
      <c r="P879" s="3" t="s">
        <v>109</v>
      </c>
      <c r="Q879" s="3" t="s">
        <v>39</v>
      </c>
      <c r="R879" s="3" t="s">
        <v>40</v>
      </c>
      <c r="S879" s="55">
        <v>4853107.2</v>
      </c>
      <c r="T879" s="55">
        <v>1899989.0538999999</v>
      </c>
      <c r="U879" s="55">
        <v>409186.50219999999</v>
      </c>
      <c r="V879" s="55">
        <v>2953118.1461</v>
      </c>
      <c r="W879" s="3">
        <v>39</v>
      </c>
    </row>
    <row r="880" spans="1:23" x14ac:dyDescent="0.35">
      <c r="A880" s="3" t="s">
        <v>33</v>
      </c>
      <c r="B880" s="3" t="s">
        <v>466</v>
      </c>
      <c r="C880" s="3" t="s">
        <v>212</v>
      </c>
      <c r="D880" s="3" t="s">
        <v>200</v>
      </c>
      <c r="E880" s="3" t="s">
        <v>187</v>
      </c>
      <c r="F880" s="3" t="s">
        <v>189</v>
      </c>
      <c r="G880" s="3" t="s">
        <v>201</v>
      </c>
      <c r="H880" s="3" t="s">
        <v>189</v>
      </c>
      <c r="I880" s="3" t="s">
        <v>190</v>
      </c>
      <c r="J880" s="3" t="s">
        <v>191</v>
      </c>
      <c r="K880" s="3" t="s">
        <v>33</v>
      </c>
      <c r="L880" s="3" t="s">
        <v>51</v>
      </c>
      <c r="M880" s="3" t="s">
        <v>213</v>
      </c>
      <c r="N880" s="3" t="s">
        <v>214</v>
      </c>
      <c r="O880" s="3" t="s">
        <v>108</v>
      </c>
      <c r="P880" s="3" t="s">
        <v>109</v>
      </c>
      <c r="Q880" s="3" t="s">
        <v>39</v>
      </c>
      <c r="R880" s="3" t="s">
        <v>40</v>
      </c>
      <c r="S880" s="55">
        <v>168859</v>
      </c>
      <c r="T880" s="55">
        <v>57861.4084</v>
      </c>
      <c r="U880" s="55">
        <v>14128.759899999999</v>
      </c>
      <c r="V880" s="55">
        <v>110997.5916</v>
      </c>
      <c r="W880" s="3">
        <v>34</v>
      </c>
    </row>
    <row r="881" spans="1:23" x14ac:dyDescent="0.35">
      <c r="A881" s="3" t="s">
        <v>33</v>
      </c>
      <c r="B881" s="3" t="s">
        <v>466</v>
      </c>
      <c r="C881" s="3" t="s">
        <v>215</v>
      </c>
      <c r="D881" s="3" t="s">
        <v>200</v>
      </c>
      <c r="E881" s="3" t="s">
        <v>187</v>
      </c>
      <c r="F881" s="3" t="s">
        <v>189</v>
      </c>
      <c r="G881" s="3" t="s">
        <v>201</v>
      </c>
      <c r="H881" s="3" t="s">
        <v>189</v>
      </c>
      <c r="I881" s="3" t="s">
        <v>190</v>
      </c>
      <c r="J881" s="3" t="s">
        <v>191</v>
      </c>
      <c r="K881" s="3" t="s">
        <v>33</v>
      </c>
      <c r="L881" s="3" t="s">
        <v>51</v>
      </c>
      <c r="M881" s="3" t="s">
        <v>216</v>
      </c>
      <c r="N881" s="3" t="s">
        <v>217</v>
      </c>
      <c r="O881" s="3" t="s">
        <v>108</v>
      </c>
      <c r="P881" s="3" t="s">
        <v>109</v>
      </c>
      <c r="Q881" s="3" t="s">
        <v>39</v>
      </c>
      <c r="R881" s="3" t="s">
        <v>40</v>
      </c>
      <c r="S881" s="55">
        <v>81930.899999999994</v>
      </c>
      <c r="T881" s="55">
        <v>31378.369200000001</v>
      </c>
      <c r="U881" s="55">
        <v>5975.5650999999998</v>
      </c>
      <c r="V881" s="55">
        <v>50552.5308</v>
      </c>
      <c r="W881" s="3">
        <v>38</v>
      </c>
    </row>
    <row r="882" spans="1:23" x14ac:dyDescent="0.35">
      <c r="A882" s="3" t="s">
        <v>33</v>
      </c>
      <c r="B882" s="3" t="s">
        <v>466</v>
      </c>
      <c r="C882" s="3" t="s">
        <v>218</v>
      </c>
      <c r="D882" s="3" t="s">
        <v>200</v>
      </c>
      <c r="E882" s="3" t="s">
        <v>187</v>
      </c>
      <c r="F882" s="3" t="s">
        <v>189</v>
      </c>
      <c r="G882" s="3" t="s">
        <v>201</v>
      </c>
      <c r="H882" s="3" t="s">
        <v>189</v>
      </c>
      <c r="I882" s="3" t="s">
        <v>190</v>
      </c>
      <c r="J882" s="3" t="s">
        <v>191</v>
      </c>
      <c r="K882" s="3" t="s">
        <v>33</v>
      </c>
      <c r="L882" s="3" t="s">
        <v>51</v>
      </c>
      <c r="M882" s="3" t="s">
        <v>219</v>
      </c>
      <c r="N882" s="3" t="s">
        <v>220</v>
      </c>
      <c r="O882" s="3" t="s">
        <v>221</v>
      </c>
      <c r="P882" s="3" t="s">
        <v>222</v>
      </c>
      <c r="Q882" s="3" t="s">
        <v>39</v>
      </c>
      <c r="R882" s="3" t="s">
        <v>40</v>
      </c>
      <c r="S882" s="55">
        <v>1102.9000000000001</v>
      </c>
      <c r="T882" s="55">
        <v>0</v>
      </c>
      <c r="U882" s="55">
        <v>0</v>
      </c>
      <c r="V882" s="55">
        <v>1102.9000000000001</v>
      </c>
      <c r="W882" s="3">
        <v>0</v>
      </c>
    </row>
    <row r="883" spans="1:23" x14ac:dyDescent="0.35">
      <c r="A883" s="3" t="s">
        <v>33</v>
      </c>
      <c r="B883" s="3" t="s">
        <v>466</v>
      </c>
      <c r="C883" s="3" t="s">
        <v>223</v>
      </c>
      <c r="D883" s="3" t="s">
        <v>200</v>
      </c>
      <c r="E883" s="3" t="s">
        <v>187</v>
      </c>
      <c r="F883" s="3" t="s">
        <v>189</v>
      </c>
      <c r="G883" s="3" t="s">
        <v>201</v>
      </c>
      <c r="H883" s="3" t="s">
        <v>189</v>
      </c>
      <c r="I883" s="3" t="s">
        <v>190</v>
      </c>
      <c r="J883" s="3" t="s">
        <v>191</v>
      </c>
      <c r="K883" s="3" t="s">
        <v>33</v>
      </c>
      <c r="L883" s="3" t="s">
        <v>51</v>
      </c>
      <c r="M883" s="3" t="s">
        <v>224</v>
      </c>
      <c r="N883" s="3" t="s">
        <v>564</v>
      </c>
      <c r="O883" s="3" t="s">
        <v>197</v>
      </c>
      <c r="P883" s="3" t="s">
        <v>198</v>
      </c>
      <c r="Q883" s="3" t="s">
        <v>39</v>
      </c>
      <c r="R883" s="3" t="s">
        <v>40</v>
      </c>
      <c r="S883" s="55">
        <v>55795.7</v>
      </c>
      <c r="T883" s="55">
        <v>27712.725999999999</v>
      </c>
      <c r="U883" s="55">
        <v>27712.725999999999</v>
      </c>
      <c r="V883" s="55">
        <v>28082.973999999998</v>
      </c>
      <c r="W883" s="3">
        <v>50</v>
      </c>
    </row>
    <row r="884" spans="1:23" x14ac:dyDescent="0.35">
      <c r="A884" s="3" t="s">
        <v>33</v>
      </c>
      <c r="B884" s="3" t="s">
        <v>466</v>
      </c>
      <c r="C884" s="3" t="s">
        <v>432</v>
      </c>
      <c r="D884" s="3" t="s">
        <v>200</v>
      </c>
      <c r="E884" s="3" t="s">
        <v>187</v>
      </c>
      <c r="F884" s="3" t="s">
        <v>189</v>
      </c>
      <c r="G884" s="3" t="s">
        <v>201</v>
      </c>
      <c r="H884" s="3" t="s">
        <v>189</v>
      </c>
      <c r="I884" s="3" t="s">
        <v>190</v>
      </c>
      <c r="J884" s="3" t="s">
        <v>191</v>
      </c>
      <c r="K884" s="3" t="s">
        <v>33</v>
      </c>
      <c r="L884" s="3" t="s">
        <v>51</v>
      </c>
      <c r="M884" s="3" t="s">
        <v>427</v>
      </c>
      <c r="N884" s="3" t="s">
        <v>565</v>
      </c>
      <c r="O884" s="3" t="s">
        <v>197</v>
      </c>
      <c r="P884" s="3" t="s">
        <v>198</v>
      </c>
      <c r="Q884" s="3" t="s">
        <v>39</v>
      </c>
      <c r="R884" s="3" t="s">
        <v>40</v>
      </c>
      <c r="S884" s="55">
        <v>20000</v>
      </c>
      <c r="T884" s="55">
        <v>15758.100200000001</v>
      </c>
      <c r="U884" s="55">
        <v>15758.100200000001</v>
      </c>
      <c r="V884" s="55">
        <v>4241.8998000000001</v>
      </c>
      <c r="W884" s="3">
        <v>79</v>
      </c>
    </row>
    <row r="885" spans="1:23" x14ac:dyDescent="0.35">
      <c r="A885" s="3" t="s">
        <v>33</v>
      </c>
      <c r="B885" s="3" t="s">
        <v>466</v>
      </c>
      <c r="C885" s="3" t="s">
        <v>515</v>
      </c>
      <c r="D885" s="3" t="s">
        <v>200</v>
      </c>
      <c r="E885" s="3" t="s">
        <v>187</v>
      </c>
      <c r="F885" s="3" t="s">
        <v>189</v>
      </c>
      <c r="G885" s="3" t="s">
        <v>201</v>
      </c>
      <c r="H885" s="3" t="s">
        <v>189</v>
      </c>
      <c r="I885" s="3" t="s">
        <v>190</v>
      </c>
      <c r="J885" s="3" t="s">
        <v>191</v>
      </c>
      <c r="K885" s="3" t="s">
        <v>33</v>
      </c>
      <c r="L885" s="3" t="s">
        <v>51</v>
      </c>
      <c r="M885" s="3" t="s">
        <v>516</v>
      </c>
      <c r="N885" s="3" t="s">
        <v>517</v>
      </c>
      <c r="O885" s="3" t="s">
        <v>197</v>
      </c>
      <c r="P885" s="3" t="s">
        <v>198</v>
      </c>
      <c r="Q885" s="3" t="s">
        <v>39</v>
      </c>
      <c r="R885" s="3" t="s">
        <v>40</v>
      </c>
      <c r="S885" s="55">
        <v>8490.7000000000007</v>
      </c>
      <c r="T885" s="55">
        <v>0</v>
      </c>
      <c r="U885" s="55">
        <v>0</v>
      </c>
      <c r="V885" s="55">
        <v>8490.7000000000007</v>
      </c>
      <c r="W885" s="3">
        <v>0</v>
      </c>
    </row>
    <row r="886" spans="1:23" x14ac:dyDescent="0.35">
      <c r="A886" s="3" t="s">
        <v>33</v>
      </c>
      <c r="B886" s="3" t="s">
        <v>466</v>
      </c>
      <c r="C886" s="3" t="s">
        <v>226</v>
      </c>
      <c r="D886" s="3" t="s">
        <v>200</v>
      </c>
      <c r="E886" s="3" t="s">
        <v>187</v>
      </c>
      <c r="F886" s="3" t="s">
        <v>189</v>
      </c>
      <c r="G886" s="3" t="s">
        <v>201</v>
      </c>
      <c r="H886" s="3" t="s">
        <v>189</v>
      </c>
      <c r="I886" s="3" t="s">
        <v>190</v>
      </c>
      <c r="J886" s="3" t="s">
        <v>191</v>
      </c>
      <c r="K886" s="3" t="s">
        <v>33</v>
      </c>
      <c r="L886" s="3" t="s">
        <v>51</v>
      </c>
      <c r="M886" s="3" t="s">
        <v>227</v>
      </c>
      <c r="N886" s="3" t="s">
        <v>228</v>
      </c>
      <c r="O886" s="3" t="s">
        <v>197</v>
      </c>
      <c r="P886" s="3" t="s">
        <v>198</v>
      </c>
      <c r="Q886" s="3" t="s">
        <v>39</v>
      </c>
      <c r="R886" s="3" t="s">
        <v>40</v>
      </c>
      <c r="S886" s="55">
        <v>127820.2</v>
      </c>
      <c r="T886" s="55">
        <v>1479.2625</v>
      </c>
      <c r="U886" s="55">
        <v>1479.2625</v>
      </c>
      <c r="V886" s="55">
        <v>126340.9375</v>
      </c>
      <c r="W886" s="3">
        <v>1</v>
      </c>
    </row>
    <row r="887" spans="1:23" x14ac:dyDescent="0.35">
      <c r="A887" s="3" t="s">
        <v>33</v>
      </c>
      <c r="B887" s="3" t="s">
        <v>466</v>
      </c>
      <c r="C887" s="3" t="s">
        <v>229</v>
      </c>
      <c r="D887" s="3" t="s">
        <v>200</v>
      </c>
      <c r="E887" s="3" t="s">
        <v>187</v>
      </c>
      <c r="F887" s="3" t="s">
        <v>189</v>
      </c>
      <c r="G887" s="3" t="s">
        <v>201</v>
      </c>
      <c r="H887" s="3" t="s">
        <v>189</v>
      </c>
      <c r="I887" s="3" t="s">
        <v>190</v>
      </c>
      <c r="J887" s="3" t="s">
        <v>191</v>
      </c>
      <c r="K887" s="3" t="s">
        <v>33</v>
      </c>
      <c r="L887" s="3" t="s">
        <v>51</v>
      </c>
      <c r="M887" s="3" t="s">
        <v>195</v>
      </c>
      <c r="N887" s="3" t="s">
        <v>509</v>
      </c>
      <c r="O887" s="3" t="s">
        <v>197</v>
      </c>
      <c r="P887" s="3" t="s">
        <v>198</v>
      </c>
      <c r="Q887" s="3" t="s">
        <v>39</v>
      </c>
      <c r="R887" s="3" t="s">
        <v>40</v>
      </c>
      <c r="S887" s="55">
        <v>28422.3</v>
      </c>
      <c r="T887" s="55">
        <v>7329.9656999999997</v>
      </c>
      <c r="U887" s="55">
        <v>5266.4479000000001</v>
      </c>
      <c r="V887" s="55">
        <v>21092.334299999999</v>
      </c>
      <c r="W887" s="3">
        <v>26</v>
      </c>
    </row>
    <row r="888" spans="1:23" x14ac:dyDescent="0.35">
      <c r="A888" s="3" t="s">
        <v>33</v>
      </c>
      <c r="B888" s="3" t="s">
        <v>466</v>
      </c>
      <c r="C888" s="3" t="s">
        <v>433</v>
      </c>
      <c r="D888" s="3" t="s">
        <v>200</v>
      </c>
      <c r="E888" s="3" t="s">
        <v>187</v>
      </c>
      <c r="F888" s="3" t="s">
        <v>189</v>
      </c>
      <c r="G888" s="3" t="s">
        <v>201</v>
      </c>
      <c r="H888" s="3" t="s">
        <v>189</v>
      </c>
      <c r="I888" s="3" t="s">
        <v>190</v>
      </c>
      <c r="J888" s="3" t="s">
        <v>191</v>
      </c>
      <c r="K888" s="3" t="s">
        <v>33</v>
      </c>
      <c r="L888" s="3" t="s">
        <v>51</v>
      </c>
      <c r="M888" s="3" t="s">
        <v>434</v>
      </c>
      <c r="N888" s="3" t="s">
        <v>435</v>
      </c>
      <c r="O888" s="3" t="s">
        <v>197</v>
      </c>
      <c r="P888" s="3" t="s">
        <v>198</v>
      </c>
      <c r="Q888" s="3" t="s">
        <v>39</v>
      </c>
      <c r="R888" s="3" t="s">
        <v>40</v>
      </c>
      <c r="S888" s="55">
        <v>2923.6</v>
      </c>
      <c r="T888" s="55">
        <v>0</v>
      </c>
      <c r="U888" s="55">
        <v>0</v>
      </c>
      <c r="V888" s="55">
        <v>2923.6</v>
      </c>
      <c r="W888" s="3">
        <v>0</v>
      </c>
    </row>
    <row r="889" spans="1:23" x14ac:dyDescent="0.35">
      <c r="A889" s="3" t="s">
        <v>33</v>
      </c>
      <c r="B889" s="3" t="s">
        <v>466</v>
      </c>
      <c r="C889" s="3" t="s">
        <v>518</v>
      </c>
      <c r="D889" s="3" t="s">
        <v>200</v>
      </c>
      <c r="E889" s="3" t="s">
        <v>187</v>
      </c>
      <c r="F889" s="3" t="s">
        <v>189</v>
      </c>
      <c r="G889" s="3" t="s">
        <v>201</v>
      </c>
      <c r="H889" s="3" t="s">
        <v>189</v>
      </c>
      <c r="I889" s="3" t="s">
        <v>190</v>
      </c>
      <c r="J889" s="3" t="s">
        <v>191</v>
      </c>
      <c r="K889" s="3" t="s">
        <v>33</v>
      </c>
      <c r="L889" s="3" t="s">
        <v>51</v>
      </c>
      <c r="M889" s="3" t="s">
        <v>519</v>
      </c>
      <c r="N889" s="3" t="s">
        <v>208</v>
      </c>
      <c r="O889" s="3" t="s">
        <v>197</v>
      </c>
      <c r="P889" s="3" t="s">
        <v>198</v>
      </c>
      <c r="Q889" s="3" t="s">
        <v>39</v>
      </c>
      <c r="R889" s="3" t="s">
        <v>40</v>
      </c>
      <c r="S889" s="55">
        <v>104515.5</v>
      </c>
      <c r="T889" s="55">
        <v>40959.839999999997</v>
      </c>
      <c r="U889" s="55">
        <v>7500</v>
      </c>
      <c r="V889" s="55">
        <v>63555.66</v>
      </c>
      <c r="W889" s="3">
        <v>39</v>
      </c>
    </row>
    <row r="890" spans="1:23" x14ac:dyDescent="0.35">
      <c r="A890" s="3" t="s">
        <v>33</v>
      </c>
      <c r="B890" s="3" t="s">
        <v>466</v>
      </c>
      <c r="C890" s="3" t="s">
        <v>230</v>
      </c>
      <c r="D890" s="3" t="s">
        <v>200</v>
      </c>
      <c r="E890" s="3" t="s">
        <v>187</v>
      </c>
      <c r="F890" s="3" t="s">
        <v>189</v>
      </c>
      <c r="G890" s="3" t="s">
        <v>201</v>
      </c>
      <c r="H890" s="3" t="s">
        <v>28</v>
      </c>
      <c r="I890" s="3" t="s">
        <v>231</v>
      </c>
      <c r="J890" s="3" t="s">
        <v>232</v>
      </c>
      <c r="K890" s="3" t="s">
        <v>33</v>
      </c>
      <c r="L890" s="3" t="s">
        <v>51</v>
      </c>
      <c r="M890" s="3" t="s">
        <v>233</v>
      </c>
      <c r="N890" s="3" t="s">
        <v>234</v>
      </c>
      <c r="O890" s="3" t="s">
        <v>197</v>
      </c>
      <c r="P890" s="3" t="s">
        <v>198</v>
      </c>
      <c r="Q890" s="3" t="s">
        <v>39</v>
      </c>
      <c r="R890" s="3" t="s">
        <v>40</v>
      </c>
      <c r="S890" s="55">
        <v>261384</v>
      </c>
      <c r="T890" s="55">
        <v>141849.4909</v>
      </c>
      <c r="U890" s="55">
        <v>33067.813099999999</v>
      </c>
      <c r="V890" s="55">
        <v>119534.5091</v>
      </c>
      <c r="W890" s="3">
        <v>54</v>
      </c>
    </row>
    <row r="891" spans="1:23" x14ac:dyDescent="0.35">
      <c r="A891" s="3" t="s">
        <v>33</v>
      </c>
      <c r="B891" s="3" t="s">
        <v>466</v>
      </c>
      <c r="C891" s="3" t="s">
        <v>235</v>
      </c>
      <c r="D891" s="3" t="s">
        <v>200</v>
      </c>
      <c r="E891" s="3" t="s">
        <v>187</v>
      </c>
      <c r="F891" s="3" t="s">
        <v>189</v>
      </c>
      <c r="G891" s="3" t="s">
        <v>201</v>
      </c>
      <c r="H891" s="3" t="s">
        <v>28</v>
      </c>
      <c r="I891" s="3" t="s">
        <v>231</v>
      </c>
      <c r="J891" s="3" t="s">
        <v>232</v>
      </c>
      <c r="K891" s="3" t="s">
        <v>33</v>
      </c>
      <c r="L891" s="3" t="s">
        <v>51</v>
      </c>
      <c r="M891" s="3" t="s">
        <v>236</v>
      </c>
      <c r="N891" s="3" t="s">
        <v>237</v>
      </c>
      <c r="O891" s="3" t="s">
        <v>197</v>
      </c>
      <c r="P891" s="3" t="s">
        <v>198</v>
      </c>
      <c r="Q891" s="3" t="s">
        <v>39</v>
      </c>
      <c r="R891" s="3" t="s">
        <v>40</v>
      </c>
      <c r="S891" s="55">
        <v>179288</v>
      </c>
      <c r="T891" s="55">
        <v>88401.540699999998</v>
      </c>
      <c r="U891" s="55">
        <v>19230.769799999998</v>
      </c>
      <c r="V891" s="55">
        <v>90886.459300000002</v>
      </c>
      <c r="W891" s="3">
        <v>49</v>
      </c>
    </row>
    <row r="892" spans="1:23" x14ac:dyDescent="0.35">
      <c r="A892" s="3" t="s">
        <v>33</v>
      </c>
      <c r="B892" s="3" t="s">
        <v>466</v>
      </c>
      <c r="C892" s="3" t="s">
        <v>238</v>
      </c>
      <c r="D892" s="3" t="s">
        <v>239</v>
      </c>
      <c r="E892" s="3" t="s">
        <v>187</v>
      </c>
      <c r="F892" s="3" t="s">
        <v>28</v>
      </c>
      <c r="G892" s="3" t="s">
        <v>240</v>
      </c>
      <c r="H892" s="3" t="s">
        <v>189</v>
      </c>
      <c r="I892" s="3" t="s">
        <v>190</v>
      </c>
      <c r="J892" s="3" t="s">
        <v>191</v>
      </c>
      <c r="K892" s="3" t="s">
        <v>33</v>
      </c>
      <c r="L892" s="3" t="s">
        <v>51</v>
      </c>
      <c r="M892" s="3" t="s">
        <v>241</v>
      </c>
      <c r="N892" s="3" t="s">
        <v>242</v>
      </c>
      <c r="O892" s="3" t="s">
        <v>108</v>
      </c>
      <c r="P892" s="3" t="s">
        <v>109</v>
      </c>
      <c r="Q892" s="3" t="s">
        <v>39</v>
      </c>
      <c r="R892" s="3" t="s">
        <v>40</v>
      </c>
      <c r="S892" s="55">
        <v>253526.6</v>
      </c>
      <c r="T892" s="55">
        <v>100580.9093</v>
      </c>
      <c r="U892" s="55">
        <v>20316.524000000001</v>
      </c>
      <c r="V892" s="55">
        <v>152945.69070000001</v>
      </c>
      <c r="W892" s="3">
        <v>40</v>
      </c>
    </row>
    <row r="893" spans="1:23" x14ac:dyDescent="0.35">
      <c r="A893" s="3" t="s">
        <v>33</v>
      </c>
      <c r="B893" s="3" t="s">
        <v>466</v>
      </c>
      <c r="C893" s="3" t="s">
        <v>520</v>
      </c>
      <c r="D893" s="3" t="s">
        <v>239</v>
      </c>
      <c r="E893" s="3" t="s">
        <v>187</v>
      </c>
      <c r="F893" s="3" t="s">
        <v>28</v>
      </c>
      <c r="G893" s="3" t="s">
        <v>240</v>
      </c>
      <c r="H893" s="3" t="s">
        <v>189</v>
      </c>
      <c r="I893" s="3" t="s">
        <v>190</v>
      </c>
      <c r="J893" s="3" t="s">
        <v>191</v>
      </c>
      <c r="K893" s="3" t="s">
        <v>33</v>
      </c>
      <c r="L893" s="3" t="s">
        <v>51</v>
      </c>
      <c r="M893" s="3" t="s">
        <v>521</v>
      </c>
      <c r="N893" s="3" t="s">
        <v>522</v>
      </c>
      <c r="O893" s="3" t="s">
        <v>523</v>
      </c>
      <c r="P893" s="3" t="s">
        <v>524</v>
      </c>
      <c r="Q893" s="3" t="s">
        <v>39</v>
      </c>
      <c r="R893" s="3" t="s">
        <v>40</v>
      </c>
      <c r="S893" s="55">
        <v>100</v>
      </c>
      <c r="T893" s="55">
        <v>0</v>
      </c>
      <c r="U893" s="55">
        <v>0</v>
      </c>
      <c r="V893" s="55">
        <v>100</v>
      </c>
      <c r="W893" s="3">
        <v>0</v>
      </c>
    </row>
    <row r="894" spans="1:23" x14ac:dyDescent="0.35">
      <c r="A894" s="3" t="s">
        <v>33</v>
      </c>
      <c r="B894" s="3" t="s">
        <v>466</v>
      </c>
      <c r="C894" s="3" t="s">
        <v>525</v>
      </c>
      <c r="D894" s="3" t="s">
        <v>526</v>
      </c>
      <c r="E894" s="3" t="s">
        <v>187</v>
      </c>
      <c r="F894" s="3" t="s">
        <v>176</v>
      </c>
      <c r="G894" s="3" t="s">
        <v>527</v>
      </c>
      <c r="H894" s="3" t="s">
        <v>189</v>
      </c>
      <c r="I894" s="3" t="s">
        <v>190</v>
      </c>
      <c r="J894" s="3" t="s">
        <v>191</v>
      </c>
      <c r="K894" s="3" t="s">
        <v>33</v>
      </c>
      <c r="L894" s="3" t="s">
        <v>51</v>
      </c>
      <c r="M894" s="3" t="s">
        <v>528</v>
      </c>
      <c r="N894" s="3" t="s">
        <v>529</v>
      </c>
      <c r="O894" s="3" t="s">
        <v>197</v>
      </c>
      <c r="P894" s="3" t="s">
        <v>198</v>
      </c>
      <c r="Q894" s="3" t="s">
        <v>39</v>
      </c>
      <c r="R894" s="3" t="s">
        <v>40</v>
      </c>
      <c r="S894" s="55">
        <v>1003.3</v>
      </c>
      <c r="T894" s="55">
        <v>181.77279999999999</v>
      </c>
      <c r="U894" s="55">
        <v>181.77279999999999</v>
      </c>
      <c r="V894" s="55">
        <v>821.52719999999999</v>
      </c>
      <c r="W894" s="3">
        <v>18</v>
      </c>
    </row>
    <row r="895" spans="1:23" x14ac:dyDescent="0.35">
      <c r="A895" s="3" t="s">
        <v>33</v>
      </c>
      <c r="B895" s="3" t="s">
        <v>466</v>
      </c>
      <c r="C895" s="3" t="s">
        <v>243</v>
      </c>
      <c r="D895" s="3" t="s">
        <v>244</v>
      </c>
      <c r="E895" s="3" t="s">
        <v>187</v>
      </c>
      <c r="F895" s="3" t="s">
        <v>245</v>
      </c>
      <c r="G895" s="3" t="s">
        <v>246</v>
      </c>
      <c r="H895" s="3" t="s">
        <v>66</v>
      </c>
      <c r="I895" s="3" t="s">
        <v>67</v>
      </c>
      <c r="J895" s="3" t="s">
        <v>68</v>
      </c>
      <c r="K895" s="3" t="s">
        <v>33</v>
      </c>
      <c r="L895" s="3" t="s">
        <v>51</v>
      </c>
      <c r="M895" s="3" t="s">
        <v>247</v>
      </c>
      <c r="N895" s="3" t="s">
        <v>248</v>
      </c>
      <c r="O895" s="3" t="s">
        <v>108</v>
      </c>
      <c r="P895" s="3" t="s">
        <v>109</v>
      </c>
      <c r="Q895" s="3" t="s">
        <v>39</v>
      </c>
      <c r="R895" s="3" t="s">
        <v>40</v>
      </c>
      <c r="S895" s="55">
        <v>224582.9</v>
      </c>
      <c r="T895" s="55">
        <v>73077.6201</v>
      </c>
      <c r="U895" s="55">
        <v>21246.7768</v>
      </c>
      <c r="V895" s="55">
        <v>151505.27989999999</v>
      </c>
      <c r="W895" s="3">
        <v>33</v>
      </c>
    </row>
    <row r="896" spans="1:23" x14ac:dyDescent="0.35">
      <c r="A896" s="3" t="s">
        <v>33</v>
      </c>
      <c r="B896" s="3" t="s">
        <v>466</v>
      </c>
      <c r="C896" s="3" t="s">
        <v>249</v>
      </c>
      <c r="D896" s="3" t="s">
        <v>244</v>
      </c>
      <c r="E896" s="3" t="s">
        <v>187</v>
      </c>
      <c r="F896" s="3" t="s">
        <v>245</v>
      </c>
      <c r="G896" s="3" t="s">
        <v>246</v>
      </c>
      <c r="H896" s="3" t="s">
        <v>66</v>
      </c>
      <c r="I896" s="3" t="s">
        <v>67</v>
      </c>
      <c r="J896" s="3" t="s">
        <v>68</v>
      </c>
      <c r="K896" s="3" t="s">
        <v>33</v>
      </c>
      <c r="L896" s="3" t="s">
        <v>51</v>
      </c>
      <c r="M896" s="3" t="s">
        <v>250</v>
      </c>
      <c r="N896" s="3" t="s">
        <v>251</v>
      </c>
      <c r="O896" s="3" t="s">
        <v>197</v>
      </c>
      <c r="P896" s="3" t="s">
        <v>198</v>
      </c>
      <c r="Q896" s="3" t="s">
        <v>39</v>
      </c>
      <c r="R896" s="3" t="s">
        <v>40</v>
      </c>
      <c r="S896" s="55">
        <v>9320.5</v>
      </c>
      <c r="T896" s="55">
        <v>0</v>
      </c>
      <c r="U896" s="55">
        <v>0</v>
      </c>
      <c r="V896" s="55">
        <v>9320.5</v>
      </c>
      <c r="W896" s="3">
        <v>0</v>
      </c>
    </row>
    <row r="897" spans="1:23" x14ac:dyDescent="0.35">
      <c r="A897" s="3" t="s">
        <v>33</v>
      </c>
      <c r="B897" s="3" t="s">
        <v>466</v>
      </c>
      <c r="C897" s="3" t="s">
        <v>252</v>
      </c>
      <c r="D897" s="3" t="s">
        <v>244</v>
      </c>
      <c r="E897" s="3" t="s">
        <v>187</v>
      </c>
      <c r="F897" s="3" t="s">
        <v>245</v>
      </c>
      <c r="G897" s="3" t="s">
        <v>246</v>
      </c>
      <c r="H897" s="3" t="s">
        <v>66</v>
      </c>
      <c r="I897" s="3" t="s">
        <v>67</v>
      </c>
      <c r="J897" s="3" t="s">
        <v>68</v>
      </c>
      <c r="K897" s="3" t="s">
        <v>33</v>
      </c>
      <c r="L897" s="3" t="s">
        <v>51</v>
      </c>
      <c r="M897" s="3" t="s">
        <v>253</v>
      </c>
      <c r="N897" s="3" t="s">
        <v>254</v>
      </c>
      <c r="O897" s="3" t="s">
        <v>197</v>
      </c>
      <c r="P897" s="3" t="s">
        <v>198</v>
      </c>
      <c r="Q897" s="3" t="s">
        <v>39</v>
      </c>
      <c r="R897" s="3" t="s">
        <v>40</v>
      </c>
      <c r="S897" s="55">
        <v>1648.3</v>
      </c>
      <c r="T897" s="55">
        <v>0</v>
      </c>
      <c r="U897" s="55">
        <v>0</v>
      </c>
      <c r="V897" s="55">
        <v>1648.3</v>
      </c>
      <c r="W897" s="3">
        <v>0</v>
      </c>
    </row>
    <row r="898" spans="1:23" x14ac:dyDescent="0.35">
      <c r="A898" s="3" t="s">
        <v>33</v>
      </c>
      <c r="B898" s="3" t="s">
        <v>466</v>
      </c>
      <c r="C898" s="3" t="s">
        <v>255</v>
      </c>
      <c r="D898" s="3" t="s">
        <v>244</v>
      </c>
      <c r="E898" s="3" t="s">
        <v>187</v>
      </c>
      <c r="F898" s="3" t="s">
        <v>245</v>
      </c>
      <c r="G898" s="3" t="s">
        <v>246</v>
      </c>
      <c r="H898" s="3" t="s">
        <v>66</v>
      </c>
      <c r="I898" s="3" t="s">
        <v>67</v>
      </c>
      <c r="J898" s="3" t="s">
        <v>68</v>
      </c>
      <c r="K898" s="3" t="s">
        <v>33</v>
      </c>
      <c r="L898" s="3" t="s">
        <v>51</v>
      </c>
      <c r="M898" s="3" t="s">
        <v>256</v>
      </c>
      <c r="N898" s="3" t="s">
        <v>257</v>
      </c>
      <c r="O898" s="3" t="s">
        <v>197</v>
      </c>
      <c r="P898" s="3" t="s">
        <v>198</v>
      </c>
      <c r="Q898" s="3" t="s">
        <v>39</v>
      </c>
      <c r="R898" s="3" t="s">
        <v>40</v>
      </c>
      <c r="S898" s="55">
        <v>12658.4</v>
      </c>
      <c r="T898" s="55">
        <v>1943.5233000000001</v>
      </c>
      <c r="U898" s="55">
        <v>253.22319999999999</v>
      </c>
      <c r="V898" s="55">
        <v>10714.876700000001</v>
      </c>
      <c r="W898" s="3">
        <v>15</v>
      </c>
    </row>
    <row r="899" spans="1:23" x14ac:dyDescent="0.35">
      <c r="A899" s="3" t="s">
        <v>33</v>
      </c>
      <c r="B899" s="3" t="s">
        <v>466</v>
      </c>
      <c r="C899" s="3" t="s">
        <v>566</v>
      </c>
      <c r="D899" s="3" t="s">
        <v>259</v>
      </c>
      <c r="E899" s="3" t="s">
        <v>187</v>
      </c>
      <c r="F899" s="3" t="s">
        <v>116</v>
      </c>
      <c r="G899" s="3" t="s">
        <v>260</v>
      </c>
      <c r="H899" s="3" t="s">
        <v>189</v>
      </c>
      <c r="I899" s="3" t="s">
        <v>190</v>
      </c>
      <c r="J899" s="3" t="s">
        <v>202</v>
      </c>
      <c r="K899" s="3" t="s">
        <v>23</v>
      </c>
      <c r="L899" s="3" t="s">
        <v>203</v>
      </c>
      <c r="M899" s="3" t="s">
        <v>567</v>
      </c>
      <c r="N899" s="3" t="s">
        <v>568</v>
      </c>
      <c r="O899" s="3" t="s">
        <v>197</v>
      </c>
      <c r="P899" s="3" t="s">
        <v>198</v>
      </c>
      <c r="Q899" s="3" t="s">
        <v>39</v>
      </c>
      <c r="R899" s="3" t="s">
        <v>40</v>
      </c>
      <c r="S899" s="55">
        <v>13914.4</v>
      </c>
      <c r="T899" s="55">
        <v>13914.3143</v>
      </c>
      <c r="U899" s="55">
        <v>0</v>
      </c>
      <c r="V899" s="55">
        <v>8.5699999999999998E-2</v>
      </c>
      <c r="W899" s="3">
        <v>100</v>
      </c>
    </row>
    <row r="900" spans="1:23" x14ac:dyDescent="0.35">
      <c r="A900" s="3" t="s">
        <v>33</v>
      </c>
      <c r="B900" s="3" t="s">
        <v>466</v>
      </c>
      <c r="C900" s="3" t="s">
        <v>569</v>
      </c>
      <c r="D900" s="3" t="s">
        <v>259</v>
      </c>
      <c r="E900" s="3" t="s">
        <v>187</v>
      </c>
      <c r="F900" s="3" t="s">
        <v>116</v>
      </c>
      <c r="G900" s="3" t="s">
        <v>260</v>
      </c>
      <c r="H900" s="3" t="s">
        <v>189</v>
      </c>
      <c r="I900" s="3" t="s">
        <v>190</v>
      </c>
      <c r="J900" s="3" t="s">
        <v>202</v>
      </c>
      <c r="K900" s="3" t="s">
        <v>23</v>
      </c>
      <c r="L900" s="3" t="s">
        <v>203</v>
      </c>
      <c r="M900" s="3" t="s">
        <v>570</v>
      </c>
      <c r="N900" s="3" t="s">
        <v>568</v>
      </c>
      <c r="O900" s="3" t="s">
        <v>197</v>
      </c>
      <c r="P900" s="3" t="s">
        <v>198</v>
      </c>
      <c r="Q900" s="3" t="s">
        <v>39</v>
      </c>
      <c r="R900" s="3" t="s">
        <v>40</v>
      </c>
      <c r="S900" s="55">
        <v>19077.8</v>
      </c>
      <c r="T900" s="55">
        <v>1246.9731999999999</v>
      </c>
      <c r="U900" s="55">
        <v>868.70619999999997</v>
      </c>
      <c r="V900" s="55">
        <v>17830.826799999999</v>
      </c>
      <c r="W900" s="3">
        <v>7</v>
      </c>
    </row>
    <row r="901" spans="1:23" x14ac:dyDescent="0.35">
      <c r="A901" s="3" t="s">
        <v>33</v>
      </c>
      <c r="B901" s="3" t="s">
        <v>466</v>
      </c>
      <c r="C901" s="3" t="s">
        <v>263</v>
      </c>
      <c r="D901" s="3" t="s">
        <v>259</v>
      </c>
      <c r="E901" s="3" t="s">
        <v>187</v>
      </c>
      <c r="F901" s="3" t="s">
        <v>116</v>
      </c>
      <c r="G901" s="3" t="s">
        <v>260</v>
      </c>
      <c r="H901" s="3" t="s">
        <v>189</v>
      </c>
      <c r="I901" s="3" t="s">
        <v>190</v>
      </c>
      <c r="J901" s="3" t="s">
        <v>191</v>
      </c>
      <c r="K901" s="3" t="s">
        <v>33</v>
      </c>
      <c r="L901" s="3" t="s">
        <v>51</v>
      </c>
      <c r="M901" s="3" t="s">
        <v>264</v>
      </c>
      <c r="N901" s="3" t="s">
        <v>265</v>
      </c>
      <c r="O901" s="3" t="s">
        <v>197</v>
      </c>
      <c r="P901" s="3" t="s">
        <v>198</v>
      </c>
      <c r="Q901" s="3" t="s">
        <v>39</v>
      </c>
      <c r="R901" s="3" t="s">
        <v>40</v>
      </c>
      <c r="S901" s="55">
        <v>1642.6</v>
      </c>
      <c r="T901" s="55">
        <v>0</v>
      </c>
      <c r="U901" s="55">
        <v>0</v>
      </c>
      <c r="V901" s="55">
        <v>1642.6</v>
      </c>
      <c r="W901" s="3">
        <v>0</v>
      </c>
    </row>
    <row r="902" spans="1:23" x14ac:dyDescent="0.35">
      <c r="A902" s="3" t="s">
        <v>33</v>
      </c>
      <c r="B902" s="3" t="s">
        <v>466</v>
      </c>
      <c r="C902" s="3" t="s">
        <v>266</v>
      </c>
      <c r="D902" s="3" t="s">
        <v>259</v>
      </c>
      <c r="E902" s="3" t="s">
        <v>187</v>
      </c>
      <c r="F902" s="3" t="s">
        <v>116</v>
      </c>
      <c r="G902" s="3" t="s">
        <v>260</v>
      </c>
      <c r="H902" s="3" t="s">
        <v>189</v>
      </c>
      <c r="I902" s="3" t="s">
        <v>190</v>
      </c>
      <c r="J902" s="3" t="s">
        <v>191</v>
      </c>
      <c r="K902" s="3" t="s">
        <v>33</v>
      </c>
      <c r="L902" s="3" t="s">
        <v>51</v>
      </c>
      <c r="M902" s="3" t="s">
        <v>267</v>
      </c>
      <c r="N902" s="3" t="s">
        <v>268</v>
      </c>
      <c r="O902" s="3" t="s">
        <v>37</v>
      </c>
      <c r="P902" s="3" t="s">
        <v>38</v>
      </c>
      <c r="Q902" s="3" t="s">
        <v>39</v>
      </c>
      <c r="R902" s="3" t="s">
        <v>40</v>
      </c>
      <c r="S902" s="55">
        <v>92351.4</v>
      </c>
      <c r="T902" s="55">
        <v>2239.587</v>
      </c>
      <c r="U902" s="55">
        <v>0</v>
      </c>
      <c r="V902" s="55">
        <v>90111.812999999995</v>
      </c>
      <c r="W902" s="3">
        <v>2</v>
      </c>
    </row>
    <row r="903" spans="1:23" x14ac:dyDescent="0.35">
      <c r="A903" s="3" t="s">
        <v>33</v>
      </c>
      <c r="B903" s="3" t="s">
        <v>466</v>
      </c>
      <c r="C903" s="3" t="s">
        <v>269</v>
      </c>
      <c r="D903" s="3" t="s">
        <v>259</v>
      </c>
      <c r="E903" s="3" t="s">
        <v>187</v>
      </c>
      <c r="F903" s="3" t="s">
        <v>116</v>
      </c>
      <c r="G903" s="3" t="s">
        <v>260</v>
      </c>
      <c r="H903" s="3" t="s">
        <v>189</v>
      </c>
      <c r="I903" s="3" t="s">
        <v>190</v>
      </c>
      <c r="J903" s="3" t="s">
        <v>191</v>
      </c>
      <c r="K903" s="3" t="s">
        <v>33</v>
      </c>
      <c r="L903" s="3" t="s">
        <v>51</v>
      </c>
      <c r="M903" s="3" t="s">
        <v>267</v>
      </c>
      <c r="N903" s="3" t="s">
        <v>268</v>
      </c>
      <c r="O903" s="3" t="s">
        <v>197</v>
      </c>
      <c r="P903" s="3" t="s">
        <v>198</v>
      </c>
      <c r="Q903" s="3" t="s">
        <v>39</v>
      </c>
      <c r="R903" s="3" t="s">
        <v>40</v>
      </c>
      <c r="S903" s="55">
        <v>14681.8</v>
      </c>
      <c r="T903" s="55">
        <v>376.66750000000002</v>
      </c>
      <c r="U903" s="55">
        <v>80</v>
      </c>
      <c r="V903" s="55">
        <v>14305.1325</v>
      </c>
      <c r="W903" s="3">
        <v>3</v>
      </c>
    </row>
    <row r="904" spans="1:23" x14ac:dyDescent="0.35">
      <c r="A904" s="3" t="s">
        <v>33</v>
      </c>
      <c r="B904" s="3" t="s">
        <v>466</v>
      </c>
      <c r="C904" s="3" t="s">
        <v>270</v>
      </c>
      <c r="D904" s="3" t="s">
        <v>259</v>
      </c>
      <c r="E904" s="3" t="s">
        <v>187</v>
      </c>
      <c r="F904" s="3" t="s">
        <v>116</v>
      </c>
      <c r="G904" s="3" t="s">
        <v>260</v>
      </c>
      <c r="H904" s="3" t="s">
        <v>189</v>
      </c>
      <c r="I904" s="3" t="s">
        <v>190</v>
      </c>
      <c r="J904" s="3" t="s">
        <v>191</v>
      </c>
      <c r="K904" s="3" t="s">
        <v>33</v>
      </c>
      <c r="L904" s="3" t="s">
        <v>51</v>
      </c>
      <c r="M904" s="3" t="s">
        <v>271</v>
      </c>
      <c r="N904" s="3" t="s">
        <v>272</v>
      </c>
      <c r="O904" s="3" t="s">
        <v>108</v>
      </c>
      <c r="P904" s="3" t="s">
        <v>109</v>
      </c>
      <c r="Q904" s="3" t="s">
        <v>39</v>
      </c>
      <c r="R904" s="3" t="s">
        <v>40</v>
      </c>
      <c r="S904" s="55">
        <v>43320.4</v>
      </c>
      <c r="T904" s="55">
        <v>15423.4966</v>
      </c>
      <c r="U904" s="55">
        <v>3251.7208999999998</v>
      </c>
      <c r="V904" s="55">
        <v>27896.903399999999</v>
      </c>
      <c r="W904" s="3">
        <v>36</v>
      </c>
    </row>
    <row r="905" spans="1:23" x14ac:dyDescent="0.35">
      <c r="A905" s="3" t="s">
        <v>33</v>
      </c>
      <c r="B905" s="3" t="s">
        <v>466</v>
      </c>
      <c r="C905" s="3" t="s">
        <v>273</v>
      </c>
      <c r="D905" s="3" t="s">
        <v>259</v>
      </c>
      <c r="E905" s="3" t="s">
        <v>187</v>
      </c>
      <c r="F905" s="3" t="s">
        <v>116</v>
      </c>
      <c r="G905" s="3" t="s">
        <v>260</v>
      </c>
      <c r="H905" s="3" t="s">
        <v>189</v>
      </c>
      <c r="I905" s="3" t="s">
        <v>190</v>
      </c>
      <c r="J905" s="3" t="s">
        <v>191</v>
      </c>
      <c r="K905" s="3" t="s">
        <v>33</v>
      </c>
      <c r="L905" s="3" t="s">
        <v>51</v>
      </c>
      <c r="M905" s="3" t="s">
        <v>274</v>
      </c>
      <c r="N905" s="3" t="s">
        <v>275</v>
      </c>
      <c r="O905" s="3" t="s">
        <v>108</v>
      </c>
      <c r="P905" s="3" t="s">
        <v>109</v>
      </c>
      <c r="Q905" s="3" t="s">
        <v>39</v>
      </c>
      <c r="R905" s="3" t="s">
        <v>40</v>
      </c>
      <c r="S905" s="55">
        <v>59928.7</v>
      </c>
      <c r="T905" s="55">
        <v>23453.517400000001</v>
      </c>
      <c r="U905" s="55">
        <v>4550.0973999999997</v>
      </c>
      <c r="V905" s="55">
        <v>36475.1826</v>
      </c>
      <c r="W905" s="3">
        <v>39</v>
      </c>
    </row>
    <row r="906" spans="1:23" x14ac:dyDescent="0.35">
      <c r="A906" s="3" t="s">
        <v>33</v>
      </c>
      <c r="B906" s="3" t="s">
        <v>466</v>
      </c>
      <c r="C906" s="3" t="s">
        <v>530</v>
      </c>
      <c r="D906" s="3" t="s">
        <v>259</v>
      </c>
      <c r="E906" s="3" t="s">
        <v>187</v>
      </c>
      <c r="F906" s="3" t="s">
        <v>116</v>
      </c>
      <c r="G906" s="3" t="s">
        <v>260</v>
      </c>
      <c r="H906" s="3" t="s">
        <v>189</v>
      </c>
      <c r="I906" s="3" t="s">
        <v>190</v>
      </c>
      <c r="J906" s="3" t="s">
        <v>191</v>
      </c>
      <c r="K906" s="3" t="s">
        <v>33</v>
      </c>
      <c r="L906" s="3" t="s">
        <v>51</v>
      </c>
      <c r="M906" s="3" t="s">
        <v>531</v>
      </c>
      <c r="N906" s="3" t="s">
        <v>532</v>
      </c>
      <c r="O906" s="3" t="s">
        <v>197</v>
      </c>
      <c r="P906" s="3" t="s">
        <v>198</v>
      </c>
      <c r="Q906" s="3" t="s">
        <v>39</v>
      </c>
      <c r="R906" s="3" t="s">
        <v>40</v>
      </c>
      <c r="S906" s="55">
        <v>7028.9</v>
      </c>
      <c r="T906" s="55">
        <v>6696</v>
      </c>
      <c r="U906" s="55">
        <v>2366.4</v>
      </c>
      <c r="V906" s="55">
        <v>332.9</v>
      </c>
      <c r="W906" s="3">
        <v>95</v>
      </c>
    </row>
    <row r="907" spans="1:23" x14ac:dyDescent="0.35">
      <c r="A907" s="3" t="s">
        <v>33</v>
      </c>
      <c r="B907" s="3" t="s">
        <v>466</v>
      </c>
      <c r="C907" s="3" t="s">
        <v>460</v>
      </c>
      <c r="D907" s="3" t="s">
        <v>259</v>
      </c>
      <c r="E907" s="3" t="s">
        <v>187</v>
      </c>
      <c r="F907" s="3" t="s">
        <v>116</v>
      </c>
      <c r="G907" s="3" t="s">
        <v>260</v>
      </c>
      <c r="H907" s="3" t="s">
        <v>189</v>
      </c>
      <c r="I907" s="3" t="s">
        <v>190</v>
      </c>
      <c r="J907" s="3" t="s">
        <v>191</v>
      </c>
      <c r="K907" s="3" t="s">
        <v>33</v>
      </c>
      <c r="L907" s="3" t="s">
        <v>51</v>
      </c>
      <c r="M907" s="3" t="s">
        <v>461</v>
      </c>
      <c r="N907" s="3" t="s">
        <v>462</v>
      </c>
      <c r="O907" s="3" t="s">
        <v>197</v>
      </c>
      <c r="P907" s="3" t="s">
        <v>198</v>
      </c>
      <c r="Q907" s="3" t="s">
        <v>39</v>
      </c>
      <c r="R907" s="3" t="s">
        <v>40</v>
      </c>
      <c r="S907" s="55">
        <v>19787.3</v>
      </c>
      <c r="T907" s="55">
        <v>0</v>
      </c>
      <c r="U907" s="55">
        <v>0</v>
      </c>
      <c r="V907" s="55">
        <v>19787.3</v>
      </c>
      <c r="W907" s="3">
        <v>0</v>
      </c>
    </row>
    <row r="908" spans="1:23" x14ac:dyDescent="0.35">
      <c r="A908" s="3" t="s">
        <v>33</v>
      </c>
      <c r="B908" s="3" t="s">
        <v>466</v>
      </c>
      <c r="C908" s="3" t="s">
        <v>276</v>
      </c>
      <c r="D908" s="3" t="s">
        <v>259</v>
      </c>
      <c r="E908" s="3" t="s">
        <v>187</v>
      </c>
      <c r="F908" s="3" t="s">
        <v>116</v>
      </c>
      <c r="G908" s="3" t="s">
        <v>260</v>
      </c>
      <c r="H908" s="3" t="s">
        <v>189</v>
      </c>
      <c r="I908" s="3" t="s">
        <v>190</v>
      </c>
      <c r="J908" s="3" t="s">
        <v>191</v>
      </c>
      <c r="K908" s="3" t="s">
        <v>33</v>
      </c>
      <c r="L908" s="3" t="s">
        <v>51</v>
      </c>
      <c r="M908" s="3" t="s">
        <v>277</v>
      </c>
      <c r="N908" s="3" t="s">
        <v>533</v>
      </c>
      <c r="O908" s="3" t="s">
        <v>197</v>
      </c>
      <c r="P908" s="3" t="s">
        <v>198</v>
      </c>
      <c r="Q908" s="3" t="s">
        <v>39</v>
      </c>
      <c r="R908" s="3" t="s">
        <v>40</v>
      </c>
      <c r="S908" s="55">
        <v>44012.1</v>
      </c>
      <c r="T908" s="55">
        <v>0</v>
      </c>
      <c r="U908" s="55">
        <v>0</v>
      </c>
      <c r="V908" s="55">
        <v>44012.1</v>
      </c>
      <c r="W908" s="3">
        <v>0</v>
      </c>
    </row>
    <row r="909" spans="1:23" x14ac:dyDescent="0.35">
      <c r="A909" s="3" t="s">
        <v>33</v>
      </c>
      <c r="B909" s="3" t="s">
        <v>466</v>
      </c>
      <c r="C909" s="3" t="s">
        <v>282</v>
      </c>
      <c r="D909" s="3" t="s">
        <v>259</v>
      </c>
      <c r="E909" s="3" t="s">
        <v>187</v>
      </c>
      <c r="F909" s="3" t="s">
        <v>116</v>
      </c>
      <c r="G909" s="3" t="s">
        <v>260</v>
      </c>
      <c r="H909" s="3" t="s">
        <v>66</v>
      </c>
      <c r="I909" s="3" t="s">
        <v>67</v>
      </c>
      <c r="J909" s="3" t="s">
        <v>68</v>
      </c>
      <c r="K909" s="3" t="s">
        <v>33</v>
      </c>
      <c r="L909" s="3" t="s">
        <v>51</v>
      </c>
      <c r="M909" s="3" t="s">
        <v>283</v>
      </c>
      <c r="N909" s="3" t="s">
        <v>284</v>
      </c>
      <c r="O909" s="3" t="s">
        <v>197</v>
      </c>
      <c r="P909" s="3" t="s">
        <v>198</v>
      </c>
      <c r="Q909" s="3" t="s">
        <v>39</v>
      </c>
      <c r="R909" s="3" t="s">
        <v>40</v>
      </c>
      <c r="S909" s="55">
        <v>500</v>
      </c>
      <c r="T909" s="55">
        <v>285</v>
      </c>
      <c r="U909" s="55">
        <v>208.8</v>
      </c>
      <c r="V909" s="55">
        <v>215</v>
      </c>
      <c r="W909" s="3">
        <v>57</v>
      </c>
    </row>
    <row r="910" spans="1:23" x14ac:dyDescent="0.35">
      <c r="A910" s="3" t="s">
        <v>33</v>
      </c>
      <c r="B910" s="3" t="s">
        <v>466</v>
      </c>
      <c r="C910" s="3" t="s">
        <v>289</v>
      </c>
      <c r="D910" s="3" t="s">
        <v>290</v>
      </c>
      <c r="E910" s="3" t="s">
        <v>291</v>
      </c>
      <c r="F910" s="3" t="s">
        <v>146</v>
      </c>
      <c r="G910" s="3" t="s">
        <v>534</v>
      </c>
      <c r="H910" s="3" t="s">
        <v>293</v>
      </c>
      <c r="I910" s="3" t="s">
        <v>294</v>
      </c>
      <c r="J910" s="3" t="s">
        <v>295</v>
      </c>
      <c r="K910" s="3" t="s">
        <v>33</v>
      </c>
      <c r="L910" s="3" t="s">
        <v>51</v>
      </c>
      <c r="M910" s="3" t="s">
        <v>296</v>
      </c>
      <c r="N910" s="3" t="s">
        <v>535</v>
      </c>
      <c r="O910" s="3" t="s">
        <v>108</v>
      </c>
      <c r="P910" s="3" t="s">
        <v>109</v>
      </c>
      <c r="Q910" s="3" t="s">
        <v>39</v>
      </c>
      <c r="R910" s="3" t="s">
        <v>40</v>
      </c>
      <c r="S910" s="55">
        <v>232056</v>
      </c>
      <c r="T910" s="55">
        <v>100312.9869</v>
      </c>
      <c r="U910" s="55">
        <v>19138.1067</v>
      </c>
      <c r="V910" s="55">
        <v>131743.01310000001</v>
      </c>
      <c r="W910" s="3">
        <v>43</v>
      </c>
    </row>
    <row r="911" spans="1:23" x14ac:dyDescent="0.35">
      <c r="A911" s="3" t="s">
        <v>33</v>
      </c>
      <c r="B911" s="3" t="s">
        <v>466</v>
      </c>
      <c r="C911" s="3" t="s">
        <v>298</v>
      </c>
      <c r="D911" s="3" t="s">
        <v>290</v>
      </c>
      <c r="E911" s="3" t="s">
        <v>291</v>
      </c>
      <c r="F911" s="3" t="s">
        <v>146</v>
      </c>
      <c r="G911" s="3" t="s">
        <v>534</v>
      </c>
      <c r="H911" s="3" t="s">
        <v>293</v>
      </c>
      <c r="I911" s="3" t="s">
        <v>294</v>
      </c>
      <c r="J911" s="3" t="s">
        <v>295</v>
      </c>
      <c r="K911" s="3" t="s">
        <v>33</v>
      </c>
      <c r="L911" s="3" t="s">
        <v>51</v>
      </c>
      <c r="M911" s="3" t="s">
        <v>299</v>
      </c>
      <c r="N911" s="3" t="s">
        <v>536</v>
      </c>
      <c r="O911" s="3" t="s">
        <v>108</v>
      </c>
      <c r="P911" s="3" t="s">
        <v>109</v>
      </c>
      <c r="Q911" s="3" t="s">
        <v>39</v>
      </c>
      <c r="R911" s="3" t="s">
        <v>40</v>
      </c>
      <c r="S911" s="55">
        <v>86322.7</v>
      </c>
      <c r="T911" s="55">
        <v>30693.947400000001</v>
      </c>
      <c r="U911" s="55">
        <v>6461.4331000000002</v>
      </c>
      <c r="V911" s="55">
        <v>55628.7526</v>
      </c>
      <c r="W911" s="3">
        <v>36</v>
      </c>
    </row>
    <row r="912" spans="1:23" x14ac:dyDescent="0.35">
      <c r="A912" s="3" t="s">
        <v>33</v>
      </c>
      <c r="B912" s="3" t="s">
        <v>466</v>
      </c>
      <c r="C912" s="3" t="s">
        <v>301</v>
      </c>
      <c r="D912" s="3" t="s">
        <v>290</v>
      </c>
      <c r="E912" s="3" t="s">
        <v>291</v>
      </c>
      <c r="F912" s="3" t="s">
        <v>146</v>
      </c>
      <c r="G912" s="3" t="s">
        <v>534</v>
      </c>
      <c r="H912" s="3" t="s">
        <v>293</v>
      </c>
      <c r="I912" s="3" t="s">
        <v>294</v>
      </c>
      <c r="J912" s="3" t="s">
        <v>295</v>
      </c>
      <c r="K912" s="3" t="s">
        <v>33</v>
      </c>
      <c r="L912" s="3" t="s">
        <v>51</v>
      </c>
      <c r="M912" s="3" t="s">
        <v>302</v>
      </c>
      <c r="N912" s="3" t="s">
        <v>537</v>
      </c>
      <c r="O912" s="3" t="s">
        <v>108</v>
      </c>
      <c r="P912" s="3" t="s">
        <v>109</v>
      </c>
      <c r="Q912" s="3" t="s">
        <v>39</v>
      </c>
      <c r="R912" s="3" t="s">
        <v>40</v>
      </c>
      <c r="S912" s="55">
        <v>192328.9</v>
      </c>
      <c r="T912" s="55">
        <v>70963.418699999995</v>
      </c>
      <c r="U912" s="55">
        <v>13669.885</v>
      </c>
      <c r="V912" s="55">
        <v>121365.4813</v>
      </c>
      <c r="W912" s="3">
        <v>37</v>
      </c>
    </row>
    <row r="913" spans="1:23" x14ac:dyDescent="0.35">
      <c r="A913" s="3" t="s">
        <v>33</v>
      </c>
      <c r="B913" s="3" t="s">
        <v>466</v>
      </c>
      <c r="C913" s="3" t="s">
        <v>304</v>
      </c>
      <c r="D913" s="3" t="s">
        <v>290</v>
      </c>
      <c r="E913" s="3" t="s">
        <v>291</v>
      </c>
      <c r="F913" s="3" t="s">
        <v>146</v>
      </c>
      <c r="G913" s="3" t="s">
        <v>534</v>
      </c>
      <c r="H913" s="3" t="s">
        <v>293</v>
      </c>
      <c r="I913" s="3" t="s">
        <v>294</v>
      </c>
      <c r="J913" s="3" t="s">
        <v>295</v>
      </c>
      <c r="K913" s="3" t="s">
        <v>33</v>
      </c>
      <c r="L913" s="3" t="s">
        <v>51</v>
      </c>
      <c r="M913" s="3" t="s">
        <v>305</v>
      </c>
      <c r="N913" s="3" t="s">
        <v>538</v>
      </c>
      <c r="O913" s="3" t="s">
        <v>108</v>
      </c>
      <c r="P913" s="3" t="s">
        <v>109</v>
      </c>
      <c r="Q913" s="3" t="s">
        <v>39</v>
      </c>
      <c r="R913" s="3" t="s">
        <v>40</v>
      </c>
      <c r="S913" s="55">
        <v>73563</v>
      </c>
      <c r="T913" s="55">
        <v>26968.9683</v>
      </c>
      <c r="U913" s="55">
        <v>4523.5182000000004</v>
      </c>
      <c r="V913" s="55">
        <v>46594.0317</v>
      </c>
      <c r="W913" s="3">
        <v>37</v>
      </c>
    </row>
    <row r="914" spans="1:23" x14ac:dyDescent="0.35">
      <c r="A914" s="3" t="s">
        <v>33</v>
      </c>
      <c r="B914" s="3" t="s">
        <v>466</v>
      </c>
      <c r="C914" s="3" t="s">
        <v>307</v>
      </c>
      <c r="D914" s="3" t="s">
        <v>290</v>
      </c>
      <c r="E914" s="3" t="s">
        <v>291</v>
      </c>
      <c r="F914" s="3" t="s">
        <v>146</v>
      </c>
      <c r="G914" s="3" t="s">
        <v>534</v>
      </c>
      <c r="H914" s="3" t="s">
        <v>293</v>
      </c>
      <c r="I914" s="3" t="s">
        <v>294</v>
      </c>
      <c r="J914" s="3" t="s">
        <v>295</v>
      </c>
      <c r="K914" s="3" t="s">
        <v>33</v>
      </c>
      <c r="L914" s="3" t="s">
        <v>51</v>
      </c>
      <c r="M914" s="3" t="s">
        <v>308</v>
      </c>
      <c r="N914" s="3" t="s">
        <v>309</v>
      </c>
      <c r="O914" s="3" t="s">
        <v>37</v>
      </c>
      <c r="P914" s="3" t="s">
        <v>38</v>
      </c>
      <c r="Q914" s="3" t="s">
        <v>39</v>
      </c>
      <c r="R914" s="3" t="s">
        <v>40</v>
      </c>
      <c r="S914" s="55">
        <v>8508.2999999999993</v>
      </c>
      <c r="T914" s="55">
        <v>1460</v>
      </c>
      <c r="U914" s="55">
        <v>0</v>
      </c>
      <c r="V914" s="55">
        <v>7048.3</v>
      </c>
      <c r="W914" s="3">
        <v>17</v>
      </c>
    </row>
    <row r="915" spans="1:23" x14ac:dyDescent="0.35">
      <c r="A915" s="3" t="s">
        <v>33</v>
      </c>
      <c r="B915" s="3" t="s">
        <v>466</v>
      </c>
      <c r="C915" s="3" t="s">
        <v>436</v>
      </c>
      <c r="D915" s="3" t="s">
        <v>290</v>
      </c>
      <c r="E915" s="3" t="s">
        <v>291</v>
      </c>
      <c r="F915" s="3" t="s">
        <v>146</v>
      </c>
      <c r="G915" s="3" t="s">
        <v>534</v>
      </c>
      <c r="H915" s="3" t="s">
        <v>293</v>
      </c>
      <c r="I915" s="3" t="s">
        <v>294</v>
      </c>
      <c r="J915" s="3" t="s">
        <v>295</v>
      </c>
      <c r="K915" s="3" t="s">
        <v>33</v>
      </c>
      <c r="L915" s="3" t="s">
        <v>51</v>
      </c>
      <c r="M915" s="3" t="s">
        <v>308</v>
      </c>
      <c r="N915" s="3" t="s">
        <v>309</v>
      </c>
      <c r="O915" s="3" t="s">
        <v>197</v>
      </c>
      <c r="P915" s="3" t="s">
        <v>198</v>
      </c>
      <c r="Q915" s="3" t="s">
        <v>39</v>
      </c>
      <c r="R915" s="3" t="s">
        <v>40</v>
      </c>
      <c r="S915" s="55">
        <v>3002.4</v>
      </c>
      <c r="T915" s="55">
        <v>933.09</v>
      </c>
      <c r="U915" s="55">
        <v>172</v>
      </c>
      <c r="V915" s="55">
        <v>2069.31</v>
      </c>
      <c r="W915" s="3">
        <v>31</v>
      </c>
    </row>
    <row r="916" spans="1:23" x14ac:dyDescent="0.35">
      <c r="A916" s="3" t="s">
        <v>33</v>
      </c>
      <c r="B916" s="3" t="s">
        <v>466</v>
      </c>
      <c r="C916" s="3" t="s">
        <v>310</v>
      </c>
      <c r="D916" s="3" t="s">
        <v>290</v>
      </c>
      <c r="E916" s="3" t="s">
        <v>291</v>
      </c>
      <c r="F916" s="3" t="s">
        <v>146</v>
      </c>
      <c r="G916" s="3" t="s">
        <v>534</v>
      </c>
      <c r="H916" s="3" t="s">
        <v>293</v>
      </c>
      <c r="I916" s="3" t="s">
        <v>294</v>
      </c>
      <c r="J916" s="3" t="s">
        <v>295</v>
      </c>
      <c r="K916" s="3" t="s">
        <v>33</v>
      </c>
      <c r="L916" s="3" t="s">
        <v>51</v>
      </c>
      <c r="M916" s="3" t="s">
        <v>311</v>
      </c>
      <c r="N916" s="3" t="s">
        <v>312</v>
      </c>
      <c r="O916" s="3" t="s">
        <v>197</v>
      </c>
      <c r="P916" s="3" t="s">
        <v>198</v>
      </c>
      <c r="Q916" s="3" t="s">
        <v>39</v>
      </c>
      <c r="R916" s="3" t="s">
        <v>40</v>
      </c>
      <c r="S916" s="55">
        <v>40101.9</v>
      </c>
      <c r="T916" s="55">
        <v>10260.5952</v>
      </c>
      <c r="U916" s="55">
        <v>852.69740000000002</v>
      </c>
      <c r="V916" s="55">
        <v>29841.304800000002</v>
      </c>
      <c r="W916" s="3">
        <v>26</v>
      </c>
    </row>
    <row r="917" spans="1:23" x14ac:dyDescent="0.35">
      <c r="A917" s="3" t="s">
        <v>33</v>
      </c>
      <c r="B917" s="3" t="s">
        <v>466</v>
      </c>
      <c r="C917" s="3" t="s">
        <v>313</v>
      </c>
      <c r="D917" s="3" t="s">
        <v>290</v>
      </c>
      <c r="E917" s="3" t="s">
        <v>291</v>
      </c>
      <c r="F917" s="3" t="s">
        <v>146</v>
      </c>
      <c r="G917" s="3" t="s">
        <v>534</v>
      </c>
      <c r="H917" s="3" t="s">
        <v>293</v>
      </c>
      <c r="I917" s="3" t="s">
        <v>294</v>
      </c>
      <c r="J917" s="3" t="s">
        <v>295</v>
      </c>
      <c r="K917" s="3" t="s">
        <v>33</v>
      </c>
      <c r="L917" s="3" t="s">
        <v>51</v>
      </c>
      <c r="M917" s="3" t="s">
        <v>314</v>
      </c>
      <c r="N917" s="3" t="s">
        <v>315</v>
      </c>
      <c r="O917" s="3" t="s">
        <v>197</v>
      </c>
      <c r="P917" s="3" t="s">
        <v>198</v>
      </c>
      <c r="Q917" s="3" t="s">
        <v>39</v>
      </c>
      <c r="R917" s="3" t="s">
        <v>40</v>
      </c>
      <c r="S917" s="55">
        <v>712.6</v>
      </c>
      <c r="T917" s="55">
        <v>0</v>
      </c>
      <c r="U917" s="55">
        <v>0</v>
      </c>
      <c r="V917" s="55">
        <v>712.6</v>
      </c>
      <c r="W917" s="3">
        <v>0</v>
      </c>
    </row>
    <row r="918" spans="1:23" x14ac:dyDescent="0.35">
      <c r="A918" s="3" t="s">
        <v>33</v>
      </c>
      <c r="B918" s="3" t="s">
        <v>466</v>
      </c>
      <c r="C918" s="3" t="s">
        <v>539</v>
      </c>
      <c r="D918" s="3" t="s">
        <v>290</v>
      </c>
      <c r="E918" s="3" t="s">
        <v>291</v>
      </c>
      <c r="F918" s="3" t="s">
        <v>146</v>
      </c>
      <c r="G918" s="3" t="s">
        <v>534</v>
      </c>
      <c r="H918" s="3" t="s">
        <v>293</v>
      </c>
      <c r="I918" s="3" t="s">
        <v>294</v>
      </c>
      <c r="J918" s="3" t="s">
        <v>295</v>
      </c>
      <c r="K918" s="3" t="s">
        <v>33</v>
      </c>
      <c r="L918" s="3" t="s">
        <v>51</v>
      </c>
      <c r="M918" s="3" t="s">
        <v>540</v>
      </c>
      <c r="N918" s="3" t="s">
        <v>541</v>
      </c>
      <c r="O918" s="3" t="s">
        <v>197</v>
      </c>
      <c r="P918" s="3" t="s">
        <v>198</v>
      </c>
      <c r="Q918" s="3" t="s">
        <v>39</v>
      </c>
      <c r="R918" s="3" t="s">
        <v>40</v>
      </c>
      <c r="S918" s="55">
        <v>30745.7</v>
      </c>
      <c r="T918" s="55">
        <v>1098.9725000000001</v>
      </c>
      <c r="U918" s="55">
        <v>1098.9725000000001</v>
      </c>
      <c r="V918" s="55">
        <v>29646.727500000001</v>
      </c>
      <c r="W918" s="3">
        <v>4</v>
      </c>
    </row>
    <row r="919" spans="1:23" x14ac:dyDescent="0.35">
      <c r="A919" s="3" t="s">
        <v>33</v>
      </c>
      <c r="B919" s="3" t="s">
        <v>466</v>
      </c>
      <c r="C919" s="3" t="s">
        <v>322</v>
      </c>
      <c r="D919" s="3" t="s">
        <v>317</v>
      </c>
      <c r="E919" s="3" t="s">
        <v>291</v>
      </c>
      <c r="F919" s="3" t="s">
        <v>318</v>
      </c>
      <c r="G919" s="3" t="s">
        <v>319</v>
      </c>
      <c r="H919" s="3" t="s">
        <v>293</v>
      </c>
      <c r="I919" s="3" t="s">
        <v>294</v>
      </c>
      <c r="J919" s="3" t="s">
        <v>295</v>
      </c>
      <c r="K919" s="3" t="s">
        <v>33</v>
      </c>
      <c r="L919" s="3" t="s">
        <v>51</v>
      </c>
      <c r="M919" s="3" t="s">
        <v>323</v>
      </c>
      <c r="N919" s="3" t="s">
        <v>324</v>
      </c>
      <c r="O919" s="3" t="s">
        <v>197</v>
      </c>
      <c r="P919" s="3" t="s">
        <v>198</v>
      </c>
      <c r="Q919" s="3" t="s">
        <v>39</v>
      </c>
      <c r="R919" s="3" t="s">
        <v>40</v>
      </c>
      <c r="S919" s="55">
        <v>12448.4</v>
      </c>
      <c r="T919" s="55">
        <v>3061.3195999999998</v>
      </c>
      <c r="U919" s="55">
        <v>0</v>
      </c>
      <c r="V919" s="55">
        <v>9387.0804000000007</v>
      </c>
      <c r="W919" s="3">
        <v>25</v>
      </c>
    </row>
    <row r="920" spans="1:23" x14ac:dyDescent="0.35">
      <c r="A920" s="3" t="s">
        <v>33</v>
      </c>
      <c r="B920" s="3" t="s">
        <v>466</v>
      </c>
      <c r="C920" s="3" t="s">
        <v>325</v>
      </c>
      <c r="D920" s="3" t="s">
        <v>326</v>
      </c>
      <c r="E920" s="3" t="s">
        <v>327</v>
      </c>
      <c r="F920" s="3" t="s">
        <v>189</v>
      </c>
      <c r="G920" s="3" t="s">
        <v>328</v>
      </c>
      <c r="H920" s="3" t="s">
        <v>146</v>
      </c>
      <c r="I920" s="3" t="s">
        <v>329</v>
      </c>
      <c r="J920" s="3" t="s">
        <v>330</v>
      </c>
      <c r="K920" s="3" t="s">
        <v>33</v>
      </c>
      <c r="L920" s="3" t="s">
        <v>51</v>
      </c>
      <c r="M920" s="3" t="s">
        <v>331</v>
      </c>
      <c r="N920" s="3" t="s">
        <v>332</v>
      </c>
      <c r="O920" s="3" t="s">
        <v>108</v>
      </c>
      <c r="P920" s="3" t="s">
        <v>109</v>
      </c>
      <c r="Q920" s="3" t="s">
        <v>39</v>
      </c>
      <c r="R920" s="3" t="s">
        <v>40</v>
      </c>
      <c r="S920" s="55">
        <v>607335</v>
      </c>
      <c r="T920" s="55">
        <v>211794.55989999999</v>
      </c>
      <c r="U920" s="55">
        <v>49157.103600000002</v>
      </c>
      <c r="V920" s="55">
        <v>395540.44010000001</v>
      </c>
      <c r="W920" s="3">
        <v>35</v>
      </c>
    </row>
    <row r="921" spans="1:23" x14ac:dyDescent="0.35">
      <c r="A921" s="3" t="s">
        <v>33</v>
      </c>
      <c r="B921" s="3" t="s">
        <v>466</v>
      </c>
      <c r="C921" s="3" t="s">
        <v>333</v>
      </c>
      <c r="D921" s="3" t="s">
        <v>326</v>
      </c>
      <c r="E921" s="3" t="s">
        <v>327</v>
      </c>
      <c r="F921" s="3" t="s">
        <v>189</v>
      </c>
      <c r="G921" s="3" t="s">
        <v>328</v>
      </c>
      <c r="H921" s="3" t="s">
        <v>146</v>
      </c>
      <c r="I921" s="3" t="s">
        <v>329</v>
      </c>
      <c r="J921" s="3" t="s">
        <v>330</v>
      </c>
      <c r="K921" s="3" t="s">
        <v>33</v>
      </c>
      <c r="L921" s="3" t="s">
        <v>51</v>
      </c>
      <c r="M921" s="3" t="s">
        <v>331</v>
      </c>
      <c r="N921" s="3" t="s">
        <v>332</v>
      </c>
      <c r="O921" s="3" t="s">
        <v>334</v>
      </c>
      <c r="P921" s="3" t="s">
        <v>335</v>
      </c>
      <c r="Q921" s="3" t="s">
        <v>39</v>
      </c>
      <c r="R921" s="3" t="s">
        <v>40</v>
      </c>
      <c r="S921" s="55">
        <v>5154.6000000000004</v>
      </c>
      <c r="T921" s="55">
        <v>1776.7982</v>
      </c>
      <c r="U921" s="55">
        <v>675.08690000000001</v>
      </c>
      <c r="V921" s="55">
        <v>3377.8018000000002</v>
      </c>
      <c r="W921" s="3">
        <v>34</v>
      </c>
    </row>
    <row r="922" spans="1:23" x14ac:dyDescent="0.35">
      <c r="A922" s="3" t="s">
        <v>33</v>
      </c>
      <c r="B922" s="3" t="s">
        <v>466</v>
      </c>
      <c r="C922" s="3" t="s">
        <v>542</v>
      </c>
      <c r="D922" s="3" t="s">
        <v>337</v>
      </c>
      <c r="E922" s="3" t="s">
        <v>327</v>
      </c>
      <c r="F922" s="3" t="s">
        <v>116</v>
      </c>
      <c r="G922" s="3" t="s">
        <v>338</v>
      </c>
      <c r="H922" s="3" t="s">
        <v>146</v>
      </c>
      <c r="I922" s="3" t="s">
        <v>329</v>
      </c>
      <c r="J922" s="3" t="s">
        <v>339</v>
      </c>
      <c r="K922" s="3" t="s">
        <v>23</v>
      </c>
      <c r="L922" s="3" t="s">
        <v>203</v>
      </c>
      <c r="M922" s="3" t="s">
        <v>543</v>
      </c>
      <c r="N922" s="3" t="s">
        <v>341</v>
      </c>
      <c r="O922" s="3" t="s">
        <v>197</v>
      </c>
      <c r="P922" s="3" t="s">
        <v>198</v>
      </c>
      <c r="Q922" s="3" t="s">
        <v>39</v>
      </c>
      <c r="R922" s="3" t="s">
        <v>40</v>
      </c>
      <c r="S922" s="55">
        <v>79182.8</v>
      </c>
      <c r="T922" s="55">
        <v>68566.592399999994</v>
      </c>
      <c r="U922" s="55">
        <v>0</v>
      </c>
      <c r="V922" s="55">
        <v>10616.2076</v>
      </c>
      <c r="W922" s="3">
        <v>87</v>
      </c>
    </row>
    <row r="923" spans="1:23" x14ac:dyDescent="0.35">
      <c r="A923" s="3" t="s">
        <v>33</v>
      </c>
      <c r="B923" s="3" t="s">
        <v>466</v>
      </c>
      <c r="C923" s="3" t="s">
        <v>544</v>
      </c>
      <c r="D923" s="3" t="s">
        <v>337</v>
      </c>
      <c r="E923" s="3" t="s">
        <v>327</v>
      </c>
      <c r="F923" s="3" t="s">
        <v>116</v>
      </c>
      <c r="G923" s="3" t="s">
        <v>338</v>
      </c>
      <c r="H923" s="3" t="s">
        <v>146</v>
      </c>
      <c r="I923" s="3" t="s">
        <v>329</v>
      </c>
      <c r="J923" s="3" t="s">
        <v>339</v>
      </c>
      <c r="K923" s="3" t="s">
        <v>23</v>
      </c>
      <c r="L923" s="3" t="s">
        <v>203</v>
      </c>
      <c r="M923" s="3" t="s">
        <v>545</v>
      </c>
      <c r="N923" s="3" t="s">
        <v>359</v>
      </c>
      <c r="O923" s="3" t="s">
        <v>197</v>
      </c>
      <c r="P923" s="3" t="s">
        <v>198</v>
      </c>
      <c r="Q923" s="3" t="s">
        <v>39</v>
      </c>
      <c r="R923" s="3" t="s">
        <v>40</v>
      </c>
      <c r="S923" s="55">
        <v>50.1</v>
      </c>
      <c r="T923" s="55">
        <v>50.1</v>
      </c>
      <c r="U923" s="55">
        <v>0</v>
      </c>
      <c r="V923" s="55">
        <v>0</v>
      </c>
      <c r="W923" s="3">
        <v>100</v>
      </c>
    </row>
    <row r="924" spans="1:23" x14ac:dyDescent="0.35">
      <c r="A924" s="3" t="s">
        <v>33</v>
      </c>
      <c r="B924" s="3" t="s">
        <v>466</v>
      </c>
      <c r="C924" s="3" t="s">
        <v>437</v>
      </c>
      <c r="D924" s="3" t="s">
        <v>337</v>
      </c>
      <c r="E924" s="3" t="s">
        <v>327</v>
      </c>
      <c r="F924" s="3" t="s">
        <v>116</v>
      </c>
      <c r="G924" s="3" t="s">
        <v>338</v>
      </c>
      <c r="H924" s="3" t="s">
        <v>146</v>
      </c>
      <c r="I924" s="3" t="s">
        <v>329</v>
      </c>
      <c r="J924" s="3" t="s">
        <v>330</v>
      </c>
      <c r="K924" s="3" t="s">
        <v>33</v>
      </c>
      <c r="L924" s="3" t="s">
        <v>51</v>
      </c>
      <c r="M924" s="3" t="s">
        <v>438</v>
      </c>
      <c r="N924" s="3" t="s">
        <v>439</v>
      </c>
      <c r="O924" s="3" t="s">
        <v>197</v>
      </c>
      <c r="P924" s="3" t="s">
        <v>198</v>
      </c>
      <c r="Q924" s="3" t="s">
        <v>39</v>
      </c>
      <c r="R924" s="3" t="s">
        <v>40</v>
      </c>
      <c r="S924" s="55">
        <v>35585.699999999997</v>
      </c>
      <c r="T924" s="55">
        <v>13031.4553</v>
      </c>
      <c r="U924" s="55">
        <v>4763.1587</v>
      </c>
      <c r="V924" s="55">
        <v>22554.244699999999</v>
      </c>
      <c r="W924" s="3">
        <v>37</v>
      </c>
    </row>
    <row r="925" spans="1:23" x14ac:dyDescent="0.35">
      <c r="A925" s="3" t="s">
        <v>33</v>
      </c>
      <c r="B925" s="3" t="s">
        <v>466</v>
      </c>
      <c r="C925" s="3" t="s">
        <v>342</v>
      </c>
      <c r="D925" s="3" t="s">
        <v>337</v>
      </c>
      <c r="E925" s="3" t="s">
        <v>327</v>
      </c>
      <c r="F925" s="3" t="s">
        <v>116</v>
      </c>
      <c r="G925" s="3" t="s">
        <v>338</v>
      </c>
      <c r="H925" s="3" t="s">
        <v>146</v>
      </c>
      <c r="I925" s="3" t="s">
        <v>329</v>
      </c>
      <c r="J925" s="3" t="s">
        <v>330</v>
      </c>
      <c r="K925" s="3" t="s">
        <v>33</v>
      </c>
      <c r="L925" s="3" t="s">
        <v>51</v>
      </c>
      <c r="M925" s="3" t="s">
        <v>343</v>
      </c>
      <c r="N925" s="3" t="s">
        <v>344</v>
      </c>
      <c r="O925" s="3" t="s">
        <v>37</v>
      </c>
      <c r="P925" s="3" t="s">
        <v>38</v>
      </c>
      <c r="Q925" s="3" t="s">
        <v>39</v>
      </c>
      <c r="R925" s="3" t="s">
        <v>40</v>
      </c>
      <c r="S925" s="55">
        <v>46.1</v>
      </c>
      <c r="T925" s="55">
        <v>0</v>
      </c>
      <c r="U925" s="55">
        <v>0</v>
      </c>
      <c r="V925" s="55">
        <v>46.1</v>
      </c>
      <c r="W925" s="3">
        <v>0</v>
      </c>
    </row>
    <row r="926" spans="1:23" x14ac:dyDescent="0.35">
      <c r="A926" s="3" t="s">
        <v>33</v>
      </c>
      <c r="B926" s="3" t="s">
        <v>466</v>
      </c>
      <c r="C926" s="3" t="s">
        <v>345</v>
      </c>
      <c r="D926" s="3" t="s">
        <v>337</v>
      </c>
      <c r="E926" s="3" t="s">
        <v>327</v>
      </c>
      <c r="F926" s="3" t="s">
        <v>116</v>
      </c>
      <c r="G926" s="3" t="s">
        <v>338</v>
      </c>
      <c r="H926" s="3" t="s">
        <v>146</v>
      </c>
      <c r="I926" s="3" t="s">
        <v>329</v>
      </c>
      <c r="J926" s="3" t="s">
        <v>330</v>
      </c>
      <c r="K926" s="3" t="s">
        <v>33</v>
      </c>
      <c r="L926" s="3" t="s">
        <v>51</v>
      </c>
      <c r="M926" s="3" t="s">
        <v>346</v>
      </c>
      <c r="N926" s="3" t="s">
        <v>347</v>
      </c>
      <c r="O926" s="3" t="s">
        <v>197</v>
      </c>
      <c r="P926" s="3" t="s">
        <v>198</v>
      </c>
      <c r="Q926" s="3" t="s">
        <v>39</v>
      </c>
      <c r="R926" s="3" t="s">
        <v>40</v>
      </c>
      <c r="S926" s="55">
        <v>98282.8</v>
      </c>
      <c r="T926" s="55">
        <v>0</v>
      </c>
      <c r="U926" s="55">
        <v>0</v>
      </c>
      <c r="V926" s="55">
        <v>98282.8</v>
      </c>
      <c r="W926" s="3">
        <v>0</v>
      </c>
    </row>
    <row r="927" spans="1:23" x14ac:dyDescent="0.35">
      <c r="A927" s="3" t="s">
        <v>33</v>
      </c>
      <c r="B927" s="3" t="s">
        <v>466</v>
      </c>
      <c r="C927" s="3" t="s">
        <v>489</v>
      </c>
      <c r="D927" s="3" t="s">
        <v>337</v>
      </c>
      <c r="E927" s="3" t="s">
        <v>327</v>
      </c>
      <c r="F927" s="3" t="s">
        <v>116</v>
      </c>
      <c r="G927" s="3" t="s">
        <v>338</v>
      </c>
      <c r="H927" s="3" t="s">
        <v>146</v>
      </c>
      <c r="I927" s="3" t="s">
        <v>329</v>
      </c>
      <c r="J927" s="3" t="s">
        <v>330</v>
      </c>
      <c r="K927" s="3" t="s">
        <v>33</v>
      </c>
      <c r="L927" s="3" t="s">
        <v>51</v>
      </c>
      <c r="M927" s="3" t="s">
        <v>490</v>
      </c>
      <c r="N927" s="3" t="s">
        <v>491</v>
      </c>
      <c r="O927" s="3" t="s">
        <v>197</v>
      </c>
      <c r="P927" s="3" t="s">
        <v>198</v>
      </c>
      <c r="Q927" s="3" t="s">
        <v>39</v>
      </c>
      <c r="R927" s="3" t="s">
        <v>40</v>
      </c>
      <c r="S927" s="55">
        <v>14237.2</v>
      </c>
      <c r="T927" s="55">
        <v>0</v>
      </c>
      <c r="U927" s="55">
        <v>0</v>
      </c>
      <c r="V927" s="55">
        <v>14237.2</v>
      </c>
      <c r="W927" s="3">
        <v>0</v>
      </c>
    </row>
    <row r="928" spans="1:23" x14ac:dyDescent="0.35">
      <c r="A928" s="3" t="s">
        <v>33</v>
      </c>
      <c r="B928" s="3" t="s">
        <v>466</v>
      </c>
      <c r="C928" s="3" t="s">
        <v>348</v>
      </c>
      <c r="D928" s="3" t="s">
        <v>337</v>
      </c>
      <c r="E928" s="3" t="s">
        <v>327</v>
      </c>
      <c r="F928" s="3" t="s">
        <v>116</v>
      </c>
      <c r="G928" s="3" t="s">
        <v>338</v>
      </c>
      <c r="H928" s="3" t="s">
        <v>146</v>
      </c>
      <c r="I928" s="3" t="s">
        <v>329</v>
      </c>
      <c r="J928" s="3" t="s">
        <v>330</v>
      </c>
      <c r="K928" s="3" t="s">
        <v>33</v>
      </c>
      <c r="L928" s="3" t="s">
        <v>51</v>
      </c>
      <c r="M928" s="3" t="s">
        <v>349</v>
      </c>
      <c r="N928" s="3" t="s">
        <v>350</v>
      </c>
      <c r="O928" s="3" t="s">
        <v>197</v>
      </c>
      <c r="P928" s="3" t="s">
        <v>198</v>
      </c>
      <c r="Q928" s="3" t="s">
        <v>39</v>
      </c>
      <c r="R928" s="3" t="s">
        <v>40</v>
      </c>
      <c r="S928" s="55">
        <v>100</v>
      </c>
      <c r="T928" s="55">
        <v>0</v>
      </c>
      <c r="U928" s="55">
        <v>0</v>
      </c>
      <c r="V928" s="55">
        <v>100</v>
      </c>
      <c r="W928" s="3">
        <v>0</v>
      </c>
    </row>
    <row r="929" spans="1:23" x14ac:dyDescent="0.35">
      <c r="A929" s="3" t="s">
        <v>33</v>
      </c>
      <c r="B929" s="3" t="s">
        <v>466</v>
      </c>
      <c r="C929" s="3" t="s">
        <v>546</v>
      </c>
      <c r="D929" s="3" t="s">
        <v>337</v>
      </c>
      <c r="E929" s="3" t="s">
        <v>327</v>
      </c>
      <c r="F929" s="3" t="s">
        <v>116</v>
      </c>
      <c r="G929" s="3" t="s">
        <v>338</v>
      </c>
      <c r="H929" s="3" t="s">
        <v>146</v>
      </c>
      <c r="I929" s="3" t="s">
        <v>329</v>
      </c>
      <c r="J929" s="3" t="s">
        <v>330</v>
      </c>
      <c r="K929" s="3" t="s">
        <v>33</v>
      </c>
      <c r="L929" s="3" t="s">
        <v>51</v>
      </c>
      <c r="M929" s="3" t="s">
        <v>547</v>
      </c>
      <c r="N929" s="3" t="s">
        <v>548</v>
      </c>
      <c r="O929" s="3" t="s">
        <v>197</v>
      </c>
      <c r="P929" s="3" t="s">
        <v>198</v>
      </c>
      <c r="Q929" s="3" t="s">
        <v>39</v>
      </c>
      <c r="R929" s="3" t="s">
        <v>40</v>
      </c>
      <c r="S929" s="55">
        <v>15384.9</v>
      </c>
      <c r="T929" s="55">
        <v>0</v>
      </c>
      <c r="U929" s="55">
        <v>0</v>
      </c>
      <c r="V929" s="55">
        <v>15384.9</v>
      </c>
      <c r="W929" s="3">
        <v>0</v>
      </c>
    </row>
    <row r="930" spans="1:23" x14ac:dyDescent="0.35">
      <c r="A930" s="3" t="s">
        <v>33</v>
      </c>
      <c r="B930" s="3" t="s">
        <v>466</v>
      </c>
      <c r="C930" s="3" t="s">
        <v>455</v>
      </c>
      <c r="D930" s="3" t="s">
        <v>337</v>
      </c>
      <c r="E930" s="3" t="s">
        <v>327</v>
      </c>
      <c r="F930" s="3" t="s">
        <v>116</v>
      </c>
      <c r="G930" s="3" t="s">
        <v>338</v>
      </c>
      <c r="H930" s="3" t="s">
        <v>146</v>
      </c>
      <c r="I930" s="3" t="s">
        <v>329</v>
      </c>
      <c r="J930" s="3" t="s">
        <v>330</v>
      </c>
      <c r="K930" s="3" t="s">
        <v>33</v>
      </c>
      <c r="L930" s="3" t="s">
        <v>51</v>
      </c>
      <c r="M930" s="3" t="s">
        <v>456</v>
      </c>
      <c r="N930" s="3" t="s">
        <v>457</v>
      </c>
      <c r="O930" s="3" t="s">
        <v>197</v>
      </c>
      <c r="P930" s="3" t="s">
        <v>198</v>
      </c>
      <c r="Q930" s="3" t="s">
        <v>39</v>
      </c>
      <c r="R930" s="3" t="s">
        <v>40</v>
      </c>
      <c r="S930" s="55">
        <v>2903.1</v>
      </c>
      <c r="T930" s="55">
        <v>1445.8</v>
      </c>
      <c r="U930" s="55">
        <v>1445.8</v>
      </c>
      <c r="V930" s="55">
        <v>1457.3</v>
      </c>
      <c r="W930" s="3">
        <v>50</v>
      </c>
    </row>
    <row r="931" spans="1:23" x14ac:dyDescent="0.35">
      <c r="A931" s="3" t="s">
        <v>33</v>
      </c>
      <c r="B931" s="3" t="s">
        <v>466</v>
      </c>
      <c r="C931" s="3" t="s">
        <v>354</v>
      </c>
      <c r="D931" s="3" t="s">
        <v>337</v>
      </c>
      <c r="E931" s="3" t="s">
        <v>327</v>
      </c>
      <c r="F931" s="3" t="s">
        <v>116</v>
      </c>
      <c r="G931" s="3" t="s">
        <v>338</v>
      </c>
      <c r="H931" s="3" t="s">
        <v>146</v>
      </c>
      <c r="I931" s="3" t="s">
        <v>329</v>
      </c>
      <c r="J931" s="3" t="s">
        <v>330</v>
      </c>
      <c r="K931" s="3" t="s">
        <v>33</v>
      </c>
      <c r="L931" s="3" t="s">
        <v>51</v>
      </c>
      <c r="M931" s="3" t="s">
        <v>355</v>
      </c>
      <c r="N931" s="3" t="s">
        <v>356</v>
      </c>
      <c r="O931" s="3" t="s">
        <v>197</v>
      </c>
      <c r="P931" s="3" t="s">
        <v>198</v>
      </c>
      <c r="Q931" s="3" t="s">
        <v>39</v>
      </c>
      <c r="R931" s="3" t="s">
        <v>40</v>
      </c>
      <c r="S931" s="55">
        <v>34143.9</v>
      </c>
      <c r="T931" s="55">
        <v>12012.506600000001</v>
      </c>
      <c r="U931" s="55">
        <v>3086.7995000000001</v>
      </c>
      <c r="V931" s="55">
        <v>22131.393400000001</v>
      </c>
      <c r="W931" s="3">
        <v>35</v>
      </c>
    </row>
    <row r="932" spans="1:23" x14ac:dyDescent="0.35">
      <c r="A932" s="3" t="s">
        <v>33</v>
      </c>
      <c r="B932" s="3" t="s">
        <v>466</v>
      </c>
      <c r="C932" s="3" t="s">
        <v>463</v>
      </c>
      <c r="D932" s="3" t="s">
        <v>337</v>
      </c>
      <c r="E932" s="3" t="s">
        <v>327</v>
      </c>
      <c r="F932" s="3" t="s">
        <v>116</v>
      </c>
      <c r="G932" s="3" t="s">
        <v>338</v>
      </c>
      <c r="H932" s="3" t="s">
        <v>146</v>
      </c>
      <c r="I932" s="3" t="s">
        <v>329</v>
      </c>
      <c r="J932" s="3" t="s">
        <v>330</v>
      </c>
      <c r="K932" s="3" t="s">
        <v>33</v>
      </c>
      <c r="L932" s="3" t="s">
        <v>51</v>
      </c>
      <c r="M932" s="3" t="s">
        <v>464</v>
      </c>
      <c r="N932" s="3" t="s">
        <v>465</v>
      </c>
      <c r="O932" s="3" t="s">
        <v>197</v>
      </c>
      <c r="P932" s="3" t="s">
        <v>198</v>
      </c>
      <c r="Q932" s="3" t="s">
        <v>39</v>
      </c>
      <c r="R932" s="3" t="s">
        <v>40</v>
      </c>
      <c r="S932" s="55">
        <v>2395.8000000000002</v>
      </c>
      <c r="T932" s="55">
        <v>333.41399999999999</v>
      </c>
      <c r="U932" s="55">
        <v>333.41399999999999</v>
      </c>
      <c r="V932" s="55">
        <v>2062.386</v>
      </c>
      <c r="W932" s="3">
        <v>14</v>
      </c>
    </row>
    <row r="933" spans="1:23" x14ac:dyDescent="0.35">
      <c r="A933" s="3" t="s">
        <v>33</v>
      </c>
      <c r="B933" s="3" t="s">
        <v>466</v>
      </c>
      <c r="C933" s="3" t="s">
        <v>363</v>
      </c>
      <c r="D933" s="3" t="s">
        <v>364</v>
      </c>
      <c r="E933" s="3" t="s">
        <v>365</v>
      </c>
      <c r="F933" s="3" t="s">
        <v>189</v>
      </c>
      <c r="G933" s="3" t="s">
        <v>366</v>
      </c>
      <c r="H933" s="3" t="s">
        <v>28</v>
      </c>
      <c r="I933" s="3" t="s">
        <v>231</v>
      </c>
      <c r="J933" s="3" t="s">
        <v>232</v>
      </c>
      <c r="K933" s="3" t="s">
        <v>33</v>
      </c>
      <c r="L933" s="3" t="s">
        <v>51</v>
      </c>
      <c r="M933" s="3" t="s">
        <v>367</v>
      </c>
      <c r="N933" s="3" t="s">
        <v>368</v>
      </c>
      <c r="O933" s="3" t="s">
        <v>108</v>
      </c>
      <c r="P933" s="3" t="s">
        <v>109</v>
      </c>
      <c r="Q933" s="3" t="s">
        <v>39</v>
      </c>
      <c r="R933" s="3" t="s">
        <v>40</v>
      </c>
      <c r="S933" s="55">
        <v>181890.3</v>
      </c>
      <c r="T933" s="55">
        <v>75503.475300000006</v>
      </c>
      <c r="U933" s="55">
        <v>15915.9462</v>
      </c>
      <c r="V933" s="55">
        <v>106386.8247</v>
      </c>
      <c r="W933" s="3">
        <v>42</v>
      </c>
    </row>
    <row r="934" spans="1:23" x14ac:dyDescent="0.35">
      <c r="A934" s="3" t="s">
        <v>33</v>
      </c>
      <c r="B934" s="3" t="s">
        <v>466</v>
      </c>
      <c r="C934" s="3" t="s">
        <v>369</v>
      </c>
      <c r="D934" s="3" t="s">
        <v>364</v>
      </c>
      <c r="E934" s="3" t="s">
        <v>365</v>
      </c>
      <c r="F934" s="3" t="s">
        <v>189</v>
      </c>
      <c r="G934" s="3" t="s">
        <v>366</v>
      </c>
      <c r="H934" s="3" t="s">
        <v>28</v>
      </c>
      <c r="I934" s="3" t="s">
        <v>231</v>
      </c>
      <c r="J934" s="3" t="s">
        <v>232</v>
      </c>
      <c r="K934" s="3" t="s">
        <v>33</v>
      </c>
      <c r="L934" s="3" t="s">
        <v>51</v>
      </c>
      <c r="M934" s="3" t="s">
        <v>367</v>
      </c>
      <c r="N934" s="3" t="s">
        <v>368</v>
      </c>
      <c r="O934" s="3" t="s">
        <v>334</v>
      </c>
      <c r="P934" s="3" t="s">
        <v>335</v>
      </c>
      <c r="Q934" s="3" t="s">
        <v>39</v>
      </c>
      <c r="R934" s="3" t="s">
        <v>40</v>
      </c>
      <c r="S934" s="55">
        <v>18356.2</v>
      </c>
      <c r="T934" s="55">
        <v>5898.2358000000004</v>
      </c>
      <c r="U934" s="55">
        <v>946.47500000000002</v>
      </c>
      <c r="V934" s="55">
        <v>12457.9642</v>
      </c>
      <c r="W934" s="3">
        <v>32</v>
      </c>
    </row>
    <row r="935" spans="1:23" x14ac:dyDescent="0.35">
      <c r="A935" s="3" t="s">
        <v>33</v>
      </c>
      <c r="B935" s="3" t="s">
        <v>466</v>
      </c>
      <c r="C935" s="3" t="s">
        <v>373</v>
      </c>
      <c r="D935" s="3" t="s">
        <v>364</v>
      </c>
      <c r="E935" s="3" t="s">
        <v>365</v>
      </c>
      <c r="F935" s="3" t="s">
        <v>189</v>
      </c>
      <c r="G935" s="3" t="s">
        <v>366</v>
      </c>
      <c r="H935" s="3" t="s">
        <v>28</v>
      </c>
      <c r="I935" s="3" t="s">
        <v>231</v>
      </c>
      <c r="J935" s="3" t="s">
        <v>232</v>
      </c>
      <c r="K935" s="3" t="s">
        <v>33</v>
      </c>
      <c r="L935" s="3" t="s">
        <v>51</v>
      </c>
      <c r="M935" s="3" t="s">
        <v>371</v>
      </c>
      <c r="N935" s="3" t="s">
        <v>372</v>
      </c>
      <c r="O935" s="3" t="s">
        <v>334</v>
      </c>
      <c r="P935" s="3" t="s">
        <v>335</v>
      </c>
      <c r="Q935" s="3" t="s">
        <v>39</v>
      </c>
      <c r="R935" s="3" t="s">
        <v>40</v>
      </c>
      <c r="S935" s="55">
        <v>109296.5</v>
      </c>
      <c r="T935" s="55">
        <v>51095.823600000003</v>
      </c>
      <c r="U935" s="55">
        <v>7860.2830000000004</v>
      </c>
      <c r="V935" s="55">
        <v>58200.676399999997</v>
      </c>
      <c r="W935" s="3">
        <v>47</v>
      </c>
    </row>
    <row r="936" spans="1:23" x14ac:dyDescent="0.35">
      <c r="A936" s="3" t="s">
        <v>33</v>
      </c>
      <c r="B936" s="3" t="s">
        <v>466</v>
      </c>
      <c r="C936" s="3" t="s">
        <v>374</v>
      </c>
      <c r="D936" s="3" t="s">
        <v>364</v>
      </c>
      <c r="E936" s="3" t="s">
        <v>365</v>
      </c>
      <c r="F936" s="3" t="s">
        <v>189</v>
      </c>
      <c r="G936" s="3" t="s">
        <v>366</v>
      </c>
      <c r="H936" s="3" t="s">
        <v>28</v>
      </c>
      <c r="I936" s="3" t="s">
        <v>231</v>
      </c>
      <c r="J936" s="3" t="s">
        <v>232</v>
      </c>
      <c r="K936" s="3" t="s">
        <v>33</v>
      </c>
      <c r="L936" s="3" t="s">
        <v>51</v>
      </c>
      <c r="M936" s="3" t="s">
        <v>375</v>
      </c>
      <c r="N936" s="3" t="s">
        <v>376</v>
      </c>
      <c r="O936" s="3" t="s">
        <v>197</v>
      </c>
      <c r="P936" s="3" t="s">
        <v>198</v>
      </c>
      <c r="Q936" s="3" t="s">
        <v>39</v>
      </c>
      <c r="R936" s="3" t="s">
        <v>40</v>
      </c>
      <c r="S936" s="55">
        <v>10386</v>
      </c>
      <c r="T936" s="55">
        <v>0</v>
      </c>
      <c r="U936" s="55">
        <v>0</v>
      </c>
      <c r="V936" s="55">
        <v>10386</v>
      </c>
      <c r="W936" s="3">
        <v>0</v>
      </c>
    </row>
    <row r="937" spans="1:23" x14ac:dyDescent="0.35">
      <c r="A937" s="3" t="s">
        <v>33</v>
      </c>
      <c r="B937" s="3" t="s">
        <v>466</v>
      </c>
      <c r="C937" s="3" t="s">
        <v>377</v>
      </c>
      <c r="D937" s="3" t="s">
        <v>364</v>
      </c>
      <c r="E937" s="3" t="s">
        <v>365</v>
      </c>
      <c r="F937" s="3" t="s">
        <v>189</v>
      </c>
      <c r="G937" s="3" t="s">
        <v>366</v>
      </c>
      <c r="H937" s="3" t="s">
        <v>28</v>
      </c>
      <c r="I937" s="3" t="s">
        <v>231</v>
      </c>
      <c r="J937" s="3" t="s">
        <v>232</v>
      </c>
      <c r="K937" s="3" t="s">
        <v>33</v>
      </c>
      <c r="L937" s="3" t="s">
        <v>51</v>
      </c>
      <c r="M937" s="3" t="s">
        <v>378</v>
      </c>
      <c r="N937" s="3" t="s">
        <v>549</v>
      </c>
      <c r="O937" s="3" t="s">
        <v>108</v>
      </c>
      <c r="P937" s="3" t="s">
        <v>109</v>
      </c>
      <c r="Q937" s="3" t="s">
        <v>39</v>
      </c>
      <c r="R937" s="3" t="s">
        <v>40</v>
      </c>
      <c r="S937" s="55">
        <v>12844.7</v>
      </c>
      <c r="T937" s="55">
        <v>5282.7761</v>
      </c>
      <c r="U937" s="55">
        <v>1318.6018999999999</v>
      </c>
      <c r="V937" s="55">
        <v>7561.9238999999998</v>
      </c>
      <c r="W937" s="3">
        <v>41</v>
      </c>
    </row>
    <row r="938" spans="1:23" x14ac:dyDescent="0.35">
      <c r="A938" s="3" t="s">
        <v>33</v>
      </c>
      <c r="B938" s="3" t="s">
        <v>466</v>
      </c>
      <c r="C938" s="3" t="s">
        <v>380</v>
      </c>
      <c r="D938" s="3" t="s">
        <v>364</v>
      </c>
      <c r="E938" s="3" t="s">
        <v>365</v>
      </c>
      <c r="F938" s="3" t="s">
        <v>189</v>
      </c>
      <c r="G938" s="3" t="s">
        <v>366</v>
      </c>
      <c r="H938" s="3" t="s">
        <v>28</v>
      </c>
      <c r="I938" s="3" t="s">
        <v>231</v>
      </c>
      <c r="J938" s="3" t="s">
        <v>232</v>
      </c>
      <c r="K938" s="3" t="s">
        <v>33</v>
      </c>
      <c r="L938" s="3" t="s">
        <v>51</v>
      </c>
      <c r="M938" s="3" t="s">
        <v>378</v>
      </c>
      <c r="N938" s="3" t="s">
        <v>549</v>
      </c>
      <c r="O938" s="3" t="s">
        <v>334</v>
      </c>
      <c r="P938" s="3" t="s">
        <v>335</v>
      </c>
      <c r="Q938" s="3" t="s">
        <v>39</v>
      </c>
      <c r="R938" s="3" t="s">
        <v>40</v>
      </c>
      <c r="S938" s="55">
        <v>443478.3</v>
      </c>
      <c r="T938" s="55">
        <v>187976.16</v>
      </c>
      <c r="U938" s="55">
        <v>43850.040099999998</v>
      </c>
      <c r="V938" s="55">
        <v>255502.14</v>
      </c>
      <c r="W938" s="3">
        <v>42</v>
      </c>
    </row>
    <row r="939" spans="1:23" x14ac:dyDescent="0.35">
      <c r="A939" s="3" t="s">
        <v>33</v>
      </c>
      <c r="B939" s="3" t="s">
        <v>466</v>
      </c>
      <c r="C939" s="3" t="s">
        <v>384</v>
      </c>
      <c r="D939" s="3" t="s">
        <v>364</v>
      </c>
      <c r="E939" s="3" t="s">
        <v>365</v>
      </c>
      <c r="F939" s="3" t="s">
        <v>189</v>
      </c>
      <c r="G939" s="3" t="s">
        <v>366</v>
      </c>
      <c r="H939" s="3" t="s">
        <v>28</v>
      </c>
      <c r="I939" s="3" t="s">
        <v>231</v>
      </c>
      <c r="J939" s="3" t="s">
        <v>232</v>
      </c>
      <c r="K939" s="3" t="s">
        <v>33</v>
      </c>
      <c r="L939" s="3" t="s">
        <v>51</v>
      </c>
      <c r="M939" s="3" t="s">
        <v>382</v>
      </c>
      <c r="N939" s="3" t="s">
        <v>383</v>
      </c>
      <c r="O939" s="3" t="s">
        <v>334</v>
      </c>
      <c r="P939" s="3" t="s">
        <v>335</v>
      </c>
      <c r="Q939" s="3" t="s">
        <v>39</v>
      </c>
      <c r="R939" s="3" t="s">
        <v>40</v>
      </c>
      <c r="S939" s="55">
        <v>51058.7</v>
      </c>
      <c r="T939" s="55">
        <v>20571.9303</v>
      </c>
      <c r="U939" s="55">
        <v>3134.2379999999998</v>
      </c>
      <c r="V939" s="55">
        <v>30486.769700000001</v>
      </c>
      <c r="W939" s="3">
        <v>40</v>
      </c>
    </row>
    <row r="940" spans="1:23" x14ac:dyDescent="0.35">
      <c r="A940" s="3" t="s">
        <v>33</v>
      </c>
      <c r="B940" s="3" t="s">
        <v>466</v>
      </c>
      <c r="C940" s="3" t="s">
        <v>391</v>
      </c>
      <c r="D940" s="3" t="s">
        <v>392</v>
      </c>
      <c r="E940" s="3" t="s">
        <v>365</v>
      </c>
      <c r="F940" s="3" t="s">
        <v>28</v>
      </c>
      <c r="G940" s="3" t="s">
        <v>393</v>
      </c>
      <c r="H940" s="3" t="s">
        <v>28</v>
      </c>
      <c r="I940" s="3" t="s">
        <v>231</v>
      </c>
      <c r="J940" s="3" t="s">
        <v>232</v>
      </c>
      <c r="K940" s="3" t="s">
        <v>33</v>
      </c>
      <c r="L940" s="3" t="s">
        <v>51</v>
      </c>
      <c r="M940" s="3" t="s">
        <v>394</v>
      </c>
      <c r="N940" s="3" t="s">
        <v>395</v>
      </c>
      <c r="O940" s="3" t="s">
        <v>197</v>
      </c>
      <c r="P940" s="3" t="s">
        <v>198</v>
      </c>
      <c r="Q940" s="3" t="s">
        <v>39</v>
      </c>
      <c r="R940" s="3" t="s">
        <v>40</v>
      </c>
      <c r="S940" s="55">
        <v>48948.800000000003</v>
      </c>
      <c r="T940" s="55">
        <v>5757.4915000000001</v>
      </c>
      <c r="U940" s="55">
        <v>1608.5260000000001</v>
      </c>
      <c r="V940" s="55">
        <v>43191.308499999999</v>
      </c>
      <c r="W940" s="3">
        <v>12</v>
      </c>
    </row>
    <row r="941" spans="1:23" x14ac:dyDescent="0.35">
      <c r="A941" s="3" t="s">
        <v>33</v>
      </c>
      <c r="B941" s="3" t="s">
        <v>466</v>
      </c>
      <c r="C941" s="3" t="s">
        <v>550</v>
      </c>
      <c r="D941" s="3" t="s">
        <v>397</v>
      </c>
      <c r="E941" s="3" t="s">
        <v>365</v>
      </c>
      <c r="F941" s="3" t="s">
        <v>318</v>
      </c>
      <c r="G941" s="3" t="s">
        <v>398</v>
      </c>
      <c r="H941" s="3" t="s">
        <v>28</v>
      </c>
      <c r="I941" s="3" t="s">
        <v>231</v>
      </c>
      <c r="J941" s="3" t="s">
        <v>232</v>
      </c>
      <c r="K941" s="3" t="s">
        <v>33</v>
      </c>
      <c r="L941" s="3" t="s">
        <v>51</v>
      </c>
      <c r="M941" s="3" t="s">
        <v>551</v>
      </c>
      <c r="N941" s="3" t="s">
        <v>552</v>
      </c>
      <c r="O941" s="3" t="s">
        <v>108</v>
      </c>
      <c r="P941" s="3" t="s">
        <v>109</v>
      </c>
      <c r="Q941" s="3" t="s">
        <v>39</v>
      </c>
      <c r="R941" s="3" t="s">
        <v>40</v>
      </c>
      <c r="S941" s="55">
        <v>32359.3</v>
      </c>
      <c r="T941" s="55">
        <v>7537.4960000000001</v>
      </c>
      <c r="U941" s="55">
        <v>2203.9652999999998</v>
      </c>
      <c r="V941" s="55">
        <v>24821.804</v>
      </c>
      <c r="W941" s="3">
        <v>23</v>
      </c>
    </row>
    <row r="942" spans="1:23" x14ac:dyDescent="0.35">
      <c r="A942" s="3" t="s">
        <v>33</v>
      </c>
      <c r="B942" s="3" t="s">
        <v>466</v>
      </c>
      <c r="C942" s="3" t="s">
        <v>553</v>
      </c>
      <c r="D942" s="3" t="s">
        <v>404</v>
      </c>
      <c r="E942" s="3" t="s">
        <v>405</v>
      </c>
      <c r="F942" s="3" t="s">
        <v>146</v>
      </c>
      <c r="G942" s="3" t="s">
        <v>406</v>
      </c>
      <c r="H942" s="3" t="s">
        <v>318</v>
      </c>
      <c r="I942" s="3" t="s">
        <v>407</v>
      </c>
      <c r="J942" s="3" t="s">
        <v>554</v>
      </c>
      <c r="K942" s="3" t="s">
        <v>23</v>
      </c>
      <c r="L942" s="3" t="s">
        <v>203</v>
      </c>
      <c r="M942" s="3" t="s">
        <v>555</v>
      </c>
      <c r="N942" s="3" t="s">
        <v>442</v>
      </c>
      <c r="O942" s="3" t="s">
        <v>197</v>
      </c>
      <c r="P942" s="3" t="s">
        <v>198</v>
      </c>
      <c r="Q942" s="3" t="s">
        <v>39</v>
      </c>
      <c r="R942" s="3" t="s">
        <v>40</v>
      </c>
      <c r="S942" s="55">
        <v>9879.5</v>
      </c>
      <c r="T942" s="55">
        <v>12.15</v>
      </c>
      <c r="U942" s="55">
        <v>0</v>
      </c>
      <c r="V942" s="55">
        <v>9867.35</v>
      </c>
      <c r="W942" s="3">
        <v>0</v>
      </c>
    </row>
    <row r="943" spans="1:23" x14ac:dyDescent="0.35">
      <c r="A943" s="3" t="s">
        <v>33</v>
      </c>
      <c r="B943" s="3" t="s">
        <v>466</v>
      </c>
      <c r="C943" s="3" t="s">
        <v>403</v>
      </c>
      <c r="D943" s="3" t="s">
        <v>404</v>
      </c>
      <c r="E943" s="3" t="s">
        <v>405</v>
      </c>
      <c r="F943" s="3" t="s">
        <v>146</v>
      </c>
      <c r="G943" s="3" t="s">
        <v>406</v>
      </c>
      <c r="H943" s="3" t="s">
        <v>318</v>
      </c>
      <c r="I943" s="3" t="s">
        <v>407</v>
      </c>
      <c r="J943" s="3" t="s">
        <v>408</v>
      </c>
      <c r="K943" s="3" t="s">
        <v>33</v>
      </c>
      <c r="L943" s="3" t="s">
        <v>51</v>
      </c>
      <c r="M943" s="3" t="s">
        <v>409</v>
      </c>
      <c r="N943" s="3" t="s">
        <v>410</v>
      </c>
      <c r="O943" s="3" t="s">
        <v>108</v>
      </c>
      <c r="P943" s="3" t="s">
        <v>109</v>
      </c>
      <c r="Q943" s="3" t="s">
        <v>39</v>
      </c>
      <c r="R943" s="3" t="s">
        <v>40</v>
      </c>
      <c r="S943" s="55">
        <v>183125.7</v>
      </c>
      <c r="T943" s="55">
        <v>75332.771800000002</v>
      </c>
      <c r="U943" s="55">
        <v>14942.0707</v>
      </c>
      <c r="V943" s="55">
        <v>107792.92819999999</v>
      </c>
      <c r="W943" s="3">
        <v>41</v>
      </c>
    </row>
    <row r="944" spans="1:23" x14ac:dyDescent="0.35">
      <c r="A944" s="3" t="s">
        <v>33</v>
      </c>
      <c r="B944" s="3" t="s">
        <v>466</v>
      </c>
      <c r="C944" s="3" t="s">
        <v>556</v>
      </c>
      <c r="D944" s="3" t="s">
        <v>412</v>
      </c>
      <c r="E944" s="3" t="s">
        <v>405</v>
      </c>
      <c r="F944" s="3" t="s">
        <v>189</v>
      </c>
      <c r="G944" s="3" t="s">
        <v>413</v>
      </c>
      <c r="H944" s="3" t="s">
        <v>318</v>
      </c>
      <c r="I944" s="3" t="s">
        <v>407</v>
      </c>
      <c r="J944" s="3" t="s">
        <v>554</v>
      </c>
      <c r="K944" s="3" t="s">
        <v>23</v>
      </c>
      <c r="L944" s="3" t="s">
        <v>203</v>
      </c>
      <c r="M944" s="3" t="s">
        <v>557</v>
      </c>
      <c r="N944" s="3" t="s">
        <v>415</v>
      </c>
      <c r="O944" s="3" t="s">
        <v>197</v>
      </c>
      <c r="P944" s="3" t="s">
        <v>198</v>
      </c>
      <c r="Q944" s="3" t="s">
        <v>39</v>
      </c>
      <c r="R944" s="3" t="s">
        <v>40</v>
      </c>
      <c r="S944" s="55">
        <v>3545.6</v>
      </c>
      <c r="T944" s="55">
        <v>1035.0730000000001</v>
      </c>
      <c r="U944" s="55">
        <v>757.92939999999999</v>
      </c>
      <c r="V944" s="55">
        <v>2510.527</v>
      </c>
      <c r="W944" s="3">
        <v>29</v>
      </c>
    </row>
    <row r="945" spans="1:23" x14ac:dyDescent="0.35">
      <c r="A945" s="3" t="s">
        <v>33</v>
      </c>
      <c r="B945" s="3" t="s">
        <v>466</v>
      </c>
      <c r="C945" s="3" t="s">
        <v>416</v>
      </c>
      <c r="D945" s="3" t="s">
        <v>417</v>
      </c>
      <c r="E945" s="3" t="s">
        <v>405</v>
      </c>
      <c r="F945" s="3" t="s">
        <v>28</v>
      </c>
      <c r="G945" s="3" t="s">
        <v>418</v>
      </c>
      <c r="H945" s="3" t="s">
        <v>318</v>
      </c>
      <c r="I945" s="3" t="s">
        <v>407</v>
      </c>
      <c r="J945" s="3" t="s">
        <v>408</v>
      </c>
      <c r="K945" s="3" t="s">
        <v>33</v>
      </c>
      <c r="L945" s="3" t="s">
        <v>51</v>
      </c>
      <c r="M945" s="3" t="s">
        <v>419</v>
      </c>
      <c r="N945" s="3" t="s">
        <v>420</v>
      </c>
      <c r="O945" s="3" t="s">
        <v>108</v>
      </c>
      <c r="P945" s="3" t="s">
        <v>109</v>
      </c>
      <c r="Q945" s="3" t="s">
        <v>39</v>
      </c>
      <c r="R945" s="3" t="s">
        <v>40</v>
      </c>
      <c r="S945" s="55">
        <v>325200.09999999998</v>
      </c>
      <c r="T945" s="55">
        <v>119741.8561</v>
      </c>
      <c r="U945" s="55">
        <v>25234.016800000001</v>
      </c>
      <c r="V945" s="55">
        <v>205458.2439</v>
      </c>
      <c r="W945" s="3">
        <v>37</v>
      </c>
    </row>
    <row r="946" spans="1:23" x14ac:dyDescent="0.35">
      <c r="A946" s="3" t="s">
        <v>483</v>
      </c>
      <c r="B946" s="3" t="s">
        <v>484</v>
      </c>
      <c r="C946" s="3" t="s">
        <v>25</v>
      </c>
      <c r="D946" s="3" t="s">
        <v>26</v>
      </c>
      <c r="E946" s="3" t="s">
        <v>27</v>
      </c>
      <c r="F946" s="3" t="s">
        <v>28</v>
      </c>
      <c r="G946" s="3" t="s">
        <v>29</v>
      </c>
      <c r="H946" s="3" t="s">
        <v>30</v>
      </c>
      <c r="I946" s="3" t="s">
        <v>31</v>
      </c>
      <c r="J946" s="3" t="s">
        <v>32</v>
      </c>
      <c r="K946" s="3" t="s">
        <v>33</v>
      </c>
      <c r="L946" s="3" t="s">
        <v>51</v>
      </c>
      <c r="M946" s="3" t="s">
        <v>35</v>
      </c>
      <c r="N946" s="3" t="s">
        <v>36</v>
      </c>
      <c r="O946" s="3" t="s">
        <v>37</v>
      </c>
      <c r="P946" s="3" t="s">
        <v>38</v>
      </c>
      <c r="Q946" s="3" t="s">
        <v>39</v>
      </c>
      <c r="R946" s="3" t="s">
        <v>40</v>
      </c>
      <c r="S946" s="55">
        <v>3772.6</v>
      </c>
      <c r="T946" s="55">
        <v>39.302799999999998</v>
      </c>
      <c r="U946" s="55">
        <v>21.472200000000001</v>
      </c>
      <c r="V946" s="55">
        <v>3733.2972</v>
      </c>
      <c r="W946" s="3">
        <v>1</v>
      </c>
    </row>
    <row r="947" spans="1:23" x14ac:dyDescent="0.35">
      <c r="A947" s="3" t="s">
        <v>483</v>
      </c>
      <c r="B947" s="3" t="s">
        <v>484</v>
      </c>
      <c r="C947" s="3" t="s">
        <v>41</v>
      </c>
      <c r="D947" s="3" t="s">
        <v>26</v>
      </c>
      <c r="E947" s="3" t="s">
        <v>27</v>
      </c>
      <c r="F947" s="3" t="s">
        <v>28</v>
      </c>
      <c r="G947" s="3" t="s">
        <v>29</v>
      </c>
      <c r="H947" s="3" t="s">
        <v>30</v>
      </c>
      <c r="I947" s="3" t="s">
        <v>31</v>
      </c>
      <c r="J947" s="3" t="s">
        <v>32</v>
      </c>
      <c r="K947" s="3" t="s">
        <v>33</v>
      </c>
      <c r="L947" s="3" t="s">
        <v>51</v>
      </c>
      <c r="M947" s="3" t="s">
        <v>35</v>
      </c>
      <c r="N947" s="3" t="s">
        <v>36</v>
      </c>
      <c r="O947" s="3" t="s">
        <v>42</v>
      </c>
      <c r="P947" s="3" t="s">
        <v>43</v>
      </c>
      <c r="Q947" s="3" t="s">
        <v>39</v>
      </c>
      <c r="R947" s="3" t="s">
        <v>40</v>
      </c>
      <c r="S947" s="55">
        <v>8.3000000000000007</v>
      </c>
      <c r="T947" s="55">
        <v>0.18429999999999999</v>
      </c>
      <c r="U947" s="55">
        <v>0.18429999999999999</v>
      </c>
      <c r="V947" s="55">
        <v>8.1157000000000004</v>
      </c>
      <c r="W947" s="3">
        <v>2</v>
      </c>
    </row>
    <row r="948" spans="1:23" x14ac:dyDescent="0.35">
      <c r="A948" s="3" t="s">
        <v>483</v>
      </c>
      <c r="B948" s="3" t="s">
        <v>484</v>
      </c>
      <c r="C948" s="3" t="s">
        <v>44</v>
      </c>
      <c r="D948" s="3" t="s">
        <v>45</v>
      </c>
      <c r="E948" s="3" t="s">
        <v>27</v>
      </c>
      <c r="F948" s="3" t="s">
        <v>46</v>
      </c>
      <c r="G948" s="3" t="s">
        <v>47</v>
      </c>
      <c r="H948" s="3" t="s">
        <v>48</v>
      </c>
      <c r="I948" s="3" t="s">
        <v>49</v>
      </c>
      <c r="J948" s="3" t="s">
        <v>50</v>
      </c>
      <c r="K948" s="3" t="s">
        <v>33</v>
      </c>
      <c r="L948" s="3" t="s">
        <v>51</v>
      </c>
      <c r="M948" s="3" t="s">
        <v>52</v>
      </c>
      <c r="N948" s="3" t="s">
        <v>53</v>
      </c>
      <c r="O948" s="3" t="s">
        <v>54</v>
      </c>
      <c r="P948" s="3" t="s">
        <v>55</v>
      </c>
      <c r="Q948" s="3" t="s">
        <v>39</v>
      </c>
      <c r="R948" s="3" t="s">
        <v>40</v>
      </c>
      <c r="S948" s="55">
        <v>64.400000000000006</v>
      </c>
      <c r="T948" s="55">
        <v>0</v>
      </c>
      <c r="U948" s="55">
        <v>0</v>
      </c>
      <c r="V948" s="55">
        <v>64.400000000000006</v>
      </c>
      <c r="W948" s="3">
        <v>0</v>
      </c>
    </row>
    <row r="949" spans="1:23" x14ac:dyDescent="0.35">
      <c r="A949" s="3" t="s">
        <v>483</v>
      </c>
      <c r="B949" s="3" t="s">
        <v>484</v>
      </c>
      <c r="C949" s="3" t="s">
        <v>59</v>
      </c>
      <c r="D949" s="3" t="s">
        <v>45</v>
      </c>
      <c r="E949" s="3" t="s">
        <v>27</v>
      </c>
      <c r="F949" s="3" t="s">
        <v>46</v>
      </c>
      <c r="G949" s="3" t="s">
        <v>47</v>
      </c>
      <c r="H949" s="3" t="s">
        <v>60</v>
      </c>
      <c r="I949" s="3" t="s">
        <v>61</v>
      </c>
      <c r="J949" s="3" t="s">
        <v>62</v>
      </c>
      <c r="K949" s="3" t="s">
        <v>33</v>
      </c>
      <c r="L949" s="3" t="s">
        <v>51</v>
      </c>
      <c r="M949" s="3" t="s">
        <v>63</v>
      </c>
      <c r="N949" s="3" t="s">
        <v>64</v>
      </c>
      <c r="O949" s="3" t="s">
        <v>37</v>
      </c>
      <c r="P949" s="3" t="s">
        <v>38</v>
      </c>
      <c r="Q949" s="3" t="s">
        <v>39</v>
      </c>
      <c r="R949" s="3" t="s">
        <v>40</v>
      </c>
      <c r="S949" s="55">
        <v>208.2</v>
      </c>
      <c r="T949" s="55">
        <v>78.489999999999995</v>
      </c>
      <c r="U949" s="55">
        <v>0</v>
      </c>
      <c r="V949" s="55">
        <v>129.71</v>
      </c>
      <c r="W949" s="3">
        <v>38</v>
      </c>
    </row>
    <row r="950" spans="1:23" x14ac:dyDescent="0.35">
      <c r="A950" s="3" t="s">
        <v>483</v>
      </c>
      <c r="B950" s="3" t="s">
        <v>484</v>
      </c>
      <c r="C950" s="3" t="s">
        <v>65</v>
      </c>
      <c r="D950" s="3" t="s">
        <v>45</v>
      </c>
      <c r="E950" s="3" t="s">
        <v>27</v>
      </c>
      <c r="F950" s="3" t="s">
        <v>46</v>
      </c>
      <c r="G950" s="3" t="s">
        <v>47</v>
      </c>
      <c r="H950" s="3" t="s">
        <v>66</v>
      </c>
      <c r="I950" s="3" t="s">
        <v>67</v>
      </c>
      <c r="J950" s="3" t="s">
        <v>68</v>
      </c>
      <c r="K950" s="3" t="s">
        <v>33</v>
      </c>
      <c r="L950" s="3" t="s">
        <v>51</v>
      </c>
      <c r="M950" s="3" t="s">
        <v>69</v>
      </c>
      <c r="N950" s="3" t="s">
        <v>70</v>
      </c>
      <c r="O950" s="3" t="s">
        <v>37</v>
      </c>
      <c r="P950" s="3" t="s">
        <v>38</v>
      </c>
      <c r="Q950" s="3" t="s">
        <v>39</v>
      </c>
      <c r="R950" s="3" t="s">
        <v>40</v>
      </c>
      <c r="S950" s="55">
        <v>567.9</v>
      </c>
      <c r="T950" s="55">
        <v>154.7543</v>
      </c>
      <c r="U950" s="55">
        <v>154.7543</v>
      </c>
      <c r="V950" s="55">
        <v>413.14569999999998</v>
      </c>
      <c r="W950" s="3">
        <v>27</v>
      </c>
    </row>
    <row r="951" spans="1:23" x14ac:dyDescent="0.35">
      <c r="A951" s="3" t="s">
        <v>483</v>
      </c>
      <c r="B951" s="3" t="s">
        <v>484</v>
      </c>
      <c r="C951" s="3" t="s">
        <v>71</v>
      </c>
      <c r="D951" s="3" t="s">
        <v>45</v>
      </c>
      <c r="E951" s="3" t="s">
        <v>27</v>
      </c>
      <c r="F951" s="3" t="s">
        <v>46</v>
      </c>
      <c r="G951" s="3" t="s">
        <v>47</v>
      </c>
      <c r="H951" s="3" t="s">
        <v>30</v>
      </c>
      <c r="I951" s="3" t="s">
        <v>31</v>
      </c>
      <c r="J951" s="3" t="s">
        <v>32</v>
      </c>
      <c r="K951" s="3" t="s">
        <v>33</v>
      </c>
      <c r="L951" s="3" t="s">
        <v>51</v>
      </c>
      <c r="M951" s="3" t="s">
        <v>72</v>
      </c>
      <c r="N951" s="3" t="s">
        <v>73</v>
      </c>
      <c r="O951" s="3" t="s">
        <v>74</v>
      </c>
      <c r="P951" s="3" t="s">
        <v>75</v>
      </c>
      <c r="Q951" s="3" t="s">
        <v>39</v>
      </c>
      <c r="R951" s="3" t="s">
        <v>40</v>
      </c>
      <c r="S951" s="55">
        <v>246128.1</v>
      </c>
      <c r="T951" s="55">
        <v>125871.7782</v>
      </c>
      <c r="U951" s="55">
        <v>26631.173699999999</v>
      </c>
      <c r="V951" s="55">
        <v>120256.32180000001</v>
      </c>
      <c r="W951" s="3">
        <v>51</v>
      </c>
    </row>
    <row r="952" spans="1:23" x14ac:dyDescent="0.35">
      <c r="A952" s="3" t="s">
        <v>483</v>
      </c>
      <c r="B952" s="3" t="s">
        <v>484</v>
      </c>
      <c r="C952" s="3" t="s">
        <v>76</v>
      </c>
      <c r="D952" s="3" t="s">
        <v>45</v>
      </c>
      <c r="E952" s="3" t="s">
        <v>27</v>
      </c>
      <c r="F952" s="3" t="s">
        <v>46</v>
      </c>
      <c r="G952" s="3" t="s">
        <v>47</v>
      </c>
      <c r="H952" s="3" t="s">
        <v>30</v>
      </c>
      <c r="I952" s="3" t="s">
        <v>31</v>
      </c>
      <c r="J952" s="3" t="s">
        <v>32</v>
      </c>
      <c r="K952" s="3" t="s">
        <v>33</v>
      </c>
      <c r="L952" s="3" t="s">
        <v>51</v>
      </c>
      <c r="M952" s="3" t="s">
        <v>72</v>
      </c>
      <c r="N952" s="3" t="s">
        <v>73</v>
      </c>
      <c r="O952" s="3" t="s">
        <v>77</v>
      </c>
      <c r="P952" s="3" t="s">
        <v>78</v>
      </c>
      <c r="Q952" s="3" t="s">
        <v>39</v>
      </c>
      <c r="R952" s="3" t="s">
        <v>40</v>
      </c>
      <c r="S952" s="55">
        <v>140.5</v>
      </c>
      <c r="T952" s="55">
        <v>46.386000000000003</v>
      </c>
      <c r="U952" s="55">
        <v>0</v>
      </c>
      <c r="V952" s="55">
        <v>94.114000000000004</v>
      </c>
      <c r="W952" s="3">
        <v>33</v>
      </c>
    </row>
    <row r="953" spans="1:23" x14ac:dyDescent="0.35">
      <c r="A953" s="3" t="s">
        <v>483</v>
      </c>
      <c r="B953" s="3" t="s">
        <v>484</v>
      </c>
      <c r="C953" s="3" t="s">
        <v>79</v>
      </c>
      <c r="D953" s="3" t="s">
        <v>45</v>
      </c>
      <c r="E953" s="3" t="s">
        <v>27</v>
      </c>
      <c r="F953" s="3" t="s">
        <v>46</v>
      </c>
      <c r="G953" s="3" t="s">
        <v>47</v>
      </c>
      <c r="H953" s="3" t="s">
        <v>30</v>
      </c>
      <c r="I953" s="3" t="s">
        <v>31</v>
      </c>
      <c r="J953" s="3" t="s">
        <v>32</v>
      </c>
      <c r="K953" s="3" t="s">
        <v>33</v>
      </c>
      <c r="L953" s="3" t="s">
        <v>51</v>
      </c>
      <c r="M953" s="3" t="s">
        <v>72</v>
      </c>
      <c r="N953" s="3" t="s">
        <v>73</v>
      </c>
      <c r="O953" s="3" t="s">
        <v>80</v>
      </c>
      <c r="P953" s="3" t="s">
        <v>81</v>
      </c>
      <c r="Q953" s="3" t="s">
        <v>39</v>
      </c>
      <c r="R953" s="3" t="s">
        <v>40</v>
      </c>
      <c r="S953" s="55">
        <v>73726.399999999994</v>
      </c>
      <c r="T953" s="55">
        <v>37239.395700000001</v>
      </c>
      <c r="U953" s="55">
        <v>6190.2052000000003</v>
      </c>
      <c r="V953" s="55">
        <v>36487.004300000001</v>
      </c>
      <c r="W953" s="3">
        <v>51</v>
      </c>
    </row>
    <row r="954" spans="1:23" x14ac:dyDescent="0.35">
      <c r="A954" s="3" t="s">
        <v>483</v>
      </c>
      <c r="B954" s="3" t="s">
        <v>484</v>
      </c>
      <c r="C954" s="3" t="s">
        <v>82</v>
      </c>
      <c r="D954" s="3" t="s">
        <v>45</v>
      </c>
      <c r="E954" s="3" t="s">
        <v>27</v>
      </c>
      <c r="F954" s="3" t="s">
        <v>46</v>
      </c>
      <c r="G954" s="3" t="s">
        <v>47</v>
      </c>
      <c r="H954" s="3" t="s">
        <v>30</v>
      </c>
      <c r="I954" s="3" t="s">
        <v>31</v>
      </c>
      <c r="J954" s="3" t="s">
        <v>32</v>
      </c>
      <c r="K954" s="3" t="s">
        <v>33</v>
      </c>
      <c r="L954" s="3" t="s">
        <v>51</v>
      </c>
      <c r="M954" s="3" t="s">
        <v>72</v>
      </c>
      <c r="N954" s="3" t="s">
        <v>73</v>
      </c>
      <c r="O954" s="3" t="s">
        <v>83</v>
      </c>
      <c r="P954" s="3" t="s">
        <v>84</v>
      </c>
      <c r="Q954" s="3" t="s">
        <v>39</v>
      </c>
      <c r="R954" s="3" t="s">
        <v>40</v>
      </c>
      <c r="S954" s="55">
        <v>300</v>
      </c>
      <c r="T954" s="55">
        <v>87.728899999999996</v>
      </c>
      <c r="U954" s="55">
        <v>44.344200000000001</v>
      </c>
      <c r="V954" s="55">
        <v>212.27109999999999</v>
      </c>
      <c r="W954" s="3">
        <v>29</v>
      </c>
    </row>
    <row r="955" spans="1:23" x14ac:dyDescent="0.35">
      <c r="A955" s="3" t="s">
        <v>483</v>
      </c>
      <c r="B955" s="3" t="s">
        <v>484</v>
      </c>
      <c r="C955" s="3" t="s">
        <v>85</v>
      </c>
      <c r="D955" s="3" t="s">
        <v>45</v>
      </c>
      <c r="E955" s="3" t="s">
        <v>27</v>
      </c>
      <c r="F955" s="3" t="s">
        <v>46</v>
      </c>
      <c r="G955" s="3" t="s">
        <v>47</v>
      </c>
      <c r="H955" s="3" t="s">
        <v>30</v>
      </c>
      <c r="I955" s="3" t="s">
        <v>31</v>
      </c>
      <c r="J955" s="3" t="s">
        <v>32</v>
      </c>
      <c r="K955" s="3" t="s">
        <v>33</v>
      </c>
      <c r="L955" s="3" t="s">
        <v>51</v>
      </c>
      <c r="M955" s="3" t="s">
        <v>72</v>
      </c>
      <c r="N955" s="3" t="s">
        <v>73</v>
      </c>
      <c r="O955" s="3" t="s">
        <v>86</v>
      </c>
      <c r="P955" s="3" t="s">
        <v>87</v>
      </c>
      <c r="Q955" s="3" t="s">
        <v>39</v>
      </c>
      <c r="R955" s="3" t="s">
        <v>40</v>
      </c>
      <c r="S955" s="55">
        <v>15051.1</v>
      </c>
      <c r="T955" s="55">
        <v>0</v>
      </c>
      <c r="U955" s="55">
        <v>0</v>
      </c>
      <c r="V955" s="55">
        <v>15051.1</v>
      </c>
      <c r="W955" s="3">
        <v>0</v>
      </c>
    </row>
    <row r="956" spans="1:23" x14ac:dyDescent="0.35">
      <c r="A956" s="3" t="s">
        <v>483</v>
      </c>
      <c r="B956" s="3" t="s">
        <v>484</v>
      </c>
      <c r="C956" s="3" t="s">
        <v>88</v>
      </c>
      <c r="D956" s="3" t="s">
        <v>45</v>
      </c>
      <c r="E956" s="3" t="s">
        <v>27</v>
      </c>
      <c r="F956" s="3" t="s">
        <v>46</v>
      </c>
      <c r="G956" s="3" t="s">
        <v>47</v>
      </c>
      <c r="H956" s="3" t="s">
        <v>30</v>
      </c>
      <c r="I956" s="3" t="s">
        <v>31</v>
      </c>
      <c r="J956" s="3" t="s">
        <v>32</v>
      </c>
      <c r="K956" s="3" t="s">
        <v>33</v>
      </c>
      <c r="L956" s="3" t="s">
        <v>51</v>
      </c>
      <c r="M956" s="3" t="s">
        <v>72</v>
      </c>
      <c r="N956" s="3" t="s">
        <v>73</v>
      </c>
      <c r="O956" s="3" t="s">
        <v>37</v>
      </c>
      <c r="P956" s="3" t="s">
        <v>38</v>
      </c>
      <c r="Q956" s="3" t="s">
        <v>39</v>
      </c>
      <c r="R956" s="3" t="s">
        <v>40</v>
      </c>
      <c r="S956" s="55">
        <v>96234.5</v>
      </c>
      <c r="T956" s="55">
        <v>16848.429100000001</v>
      </c>
      <c r="U956" s="55">
        <v>8499.4197999999997</v>
      </c>
      <c r="V956" s="55">
        <v>79386.070900000006</v>
      </c>
      <c r="W956" s="3">
        <v>18</v>
      </c>
    </row>
    <row r="957" spans="1:23" x14ac:dyDescent="0.35">
      <c r="A957" s="3" t="s">
        <v>483</v>
      </c>
      <c r="B957" s="3" t="s">
        <v>484</v>
      </c>
      <c r="C957" s="3" t="s">
        <v>89</v>
      </c>
      <c r="D957" s="3" t="s">
        <v>45</v>
      </c>
      <c r="E957" s="3" t="s">
        <v>27</v>
      </c>
      <c r="F957" s="3" t="s">
        <v>46</v>
      </c>
      <c r="G957" s="3" t="s">
        <v>47</v>
      </c>
      <c r="H957" s="3" t="s">
        <v>30</v>
      </c>
      <c r="I957" s="3" t="s">
        <v>31</v>
      </c>
      <c r="J957" s="3" t="s">
        <v>32</v>
      </c>
      <c r="K957" s="3" t="s">
        <v>33</v>
      </c>
      <c r="L957" s="3" t="s">
        <v>51</v>
      </c>
      <c r="M957" s="3" t="s">
        <v>72</v>
      </c>
      <c r="N957" s="3" t="s">
        <v>73</v>
      </c>
      <c r="O957" s="3" t="s">
        <v>42</v>
      </c>
      <c r="P957" s="3" t="s">
        <v>43</v>
      </c>
      <c r="Q957" s="3" t="s">
        <v>39</v>
      </c>
      <c r="R957" s="3" t="s">
        <v>40</v>
      </c>
      <c r="S957" s="55">
        <v>16160.9</v>
      </c>
      <c r="T957" s="55">
        <v>9511.9698000000008</v>
      </c>
      <c r="U957" s="55">
        <v>755.21900000000005</v>
      </c>
      <c r="V957" s="55">
        <v>6648.9301999999998</v>
      </c>
      <c r="W957" s="3">
        <v>59</v>
      </c>
    </row>
    <row r="958" spans="1:23" x14ac:dyDescent="0.35">
      <c r="A958" s="3" t="s">
        <v>483</v>
      </c>
      <c r="B958" s="3" t="s">
        <v>484</v>
      </c>
      <c r="C958" s="3" t="s">
        <v>90</v>
      </c>
      <c r="D958" s="3" t="s">
        <v>45</v>
      </c>
      <c r="E958" s="3" t="s">
        <v>27</v>
      </c>
      <c r="F958" s="3" t="s">
        <v>46</v>
      </c>
      <c r="G958" s="3" t="s">
        <v>47</v>
      </c>
      <c r="H958" s="3" t="s">
        <v>30</v>
      </c>
      <c r="I958" s="3" t="s">
        <v>31</v>
      </c>
      <c r="J958" s="3" t="s">
        <v>32</v>
      </c>
      <c r="K958" s="3" t="s">
        <v>33</v>
      </c>
      <c r="L958" s="3" t="s">
        <v>51</v>
      </c>
      <c r="M958" s="3" t="s">
        <v>72</v>
      </c>
      <c r="N958" s="3" t="s">
        <v>73</v>
      </c>
      <c r="O958" s="3" t="s">
        <v>91</v>
      </c>
      <c r="P958" s="3" t="s">
        <v>92</v>
      </c>
      <c r="Q958" s="3" t="s">
        <v>39</v>
      </c>
      <c r="R958" s="3" t="s">
        <v>40</v>
      </c>
      <c r="S958" s="55">
        <v>214.8</v>
      </c>
      <c r="T958" s="55">
        <v>214.71510000000001</v>
      </c>
      <c r="U958" s="55">
        <v>0</v>
      </c>
      <c r="V958" s="55">
        <v>8.4900000000000003E-2</v>
      </c>
      <c r="W958" s="3">
        <v>100</v>
      </c>
    </row>
    <row r="959" spans="1:23" x14ac:dyDescent="0.35">
      <c r="A959" s="3" t="s">
        <v>483</v>
      </c>
      <c r="B959" s="3" t="s">
        <v>484</v>
      </c>
      <c r="C959" s="3" t="s">
        <v>559</v>
      </c>
      <c r="D959" s="3" t="s">
        <v>45</v>
      </c>
      <c r="E959" s="3" t="s">
        <v>27</v>
      </c>
      <c r="F959" s="3" t="s">
        <v>46</v>
      </c>
      <c r="G959" s="3" t="s">
        <v>47</v>
      </c>
      <c r="H959" s="3" t="s">
        <v>30</v>
      </c>
      <c r="I959" s="3" t="s">
        <v>31</v>
      </c>
      <c r="J959" s="3" t="s">
        <v>32</v>
      </c>
      <c r="K959" s="3" t="s">
        <v>33</v>
      </c>
      <c r="L959" s="3" t="s">
        <v>51</v>
      </c>
      <c r="M959" s="3" t="s">
        <v>72</v>
      </c>
      <c r="N959" s="3" t="s">
        <v>73</v>
      </c>
      <c r="O959" s="3" t="s">
        <v>125</v>
      </c>
      <c r="P959" s="3" t="s">
        <v>126</v>
      </c>
      <c r="Q959" s="3" t="s">
        <v>39</v>
      </c>
      <c r="R959" s="3" t="s">
        <v>40</v>
      </c>
      <c r="S959" s="55">
        <v>179.8</v>
      </c>
      <c r="T959" s="55">
        <v>179.71199999999999</v>
      </c>
      <c r="U959" s="55">
        <v>0</v>
      </c>
      <c r="V959" s="55">
        <v>8.7999999999999995E-2</v>
      </c>
      <c r="W959" s="3">
        <v>100</v>
      </c>
    </row>
    <row r="960" spans="1:23" x14ac:dyDescent="0.35">
      <c r="A960" s="3" t="s">
        <v>483</v>
      </c>
      <c r="B960" s="3" t="s">
        <v>484</v>
      </c>
      <c r="C960" s="3" t="s">
        <v>93</v>
      </c>
      <c r="D960" s="3" t="s">
        <v>45</v>
      </c>
      <c r="E960" s="3" t="s">
        <v>27</v>
      </c>
      <c r="F960" s="3" t="s">
        <v>46</v>
      </c>
      <c r="G960" s="3" t="s">
        <v>47</v>
      </c>
      <c r="H960" s="3" t="s">
        <v>30</v>
      </c>
      <c r="I960" s="3" t="s">
        <v>31</v>
      </c>
      <c r="J960" s="3" t="s">
        <v>32</v>
      </c>
      <c r="K960" s="3" t="s">
        <v>33</v>
      </c>
      <c r="L960" s="3" t="s">
        <v>51</v>
      </c>
      <c r="M960" s="3" t="s">
        <v>94</v>
      </c>
      <c r="N960" s="3" t="s">
        <v>95</v>
      </c>
      <c r="O960" s="3" t="s">
        <v>96</v>
      </c>
      <c r="P960" s="3" t="s">
        <v>97</v>
      </c>
      <c r="Q960" s="3" t="s">
        <v>39</v>
      </c>
      <c r="R960" s="3" t="s">
        <v>40</v>
      </c>
      <c r="S960" s="55">
        <v>181743.4</v>
      </c>
      <c r="T960" s="55">
        <v>86194.136499999993</v>
      </c>
      <c r="U960" s="55">
        <v>15218.4185</v>
      </c>
      <c r="V960" s="55">
        <v>95549.263500000001</v>
      </c>
      <c r="W960" s="3">
        <v>47</v>
      </c>
    </row>
    <row r="961" spans="1:23" x14ac:dyDescent="0.35">
      <c r="A961" s="3" t="s">
        <v>483</v>
      </c>
      <c r="B961" s="3" t="s">
        <v>484</v>
      </c>
      <c r="C961" s="3" t="s">
        <v>98</v>
      </c>
      <c r="D961" s="3" t="s">
        <v>45</v>
      </c>
      <c r="E961" s="3" t="s">
        <v>27</v>
      </c>
      <c r="F961" s="3" t="s">
        <v>46</v>
      </c>
      <c r="G961" s="3" t="s">
        <v>47</v>
      </c>
      <c r="H961" s="3" t="s">
        <v>30</v>
      </c>
      <c r="I961" s="3" t="s">
        <v>31</v>
      </c>
      <c r="J961" s="3" t="s">
        <v>32</v>
      </c>
      <c r="K961" s="3" t="s">
        <v>33</v>
      </c>
      <c r="L961" s="3" t="s">
        <v>51</v>
      </c>
      <c r="M961" s="3" t="s">
        <v>94</v>
      </c>
      <c r="N961" s="3" t="s">
        <v>95</v>
      </c>
      <c r="O961" s="3" t="s">
        <v>99</v>
      </c>
      <c r="P961" s="3" t="s">
        <v>100</v>
      </c>
      <c r="Q961" s="3" t="s">
        <v>39</v>
      </c>
      <c r="R961" s="3" t="s">
        <v>40</v>
      </c>
      <c r="S961" s="55">
        <v>54698.400000000001</v>
      </c>
      <c r="T961" s="55">
        <v>23888.412700000001</v>
      </c>
      <c r="U961" s="55">
        <v>3848.6089999999999</v>
      </c>
      <c r="V961" s="55">
        <v>30809.987300000001</v>
      </c>
      <c r="W961" s="3">
        <v>44</v>
      </c>
    </row>
    <row r="962" spans="1:23" x14ac:dyDescent="0.35">
      <c r="A962" s="3" t="s">
        <v>483</v>
      </c>
      <c r="B962" s="3" t="s">
        <v>484</v>
      </c>
      <c r="C962" s="3" t="s">
        <v>101</v>
      </c>
      <c r="D962" s="3" t="s">
        <v>45</v>
      </c>
      <c r="E962" s="3" t="s">
        <v>27</v>
      </c>
      <c r="F962" s="3" t="s">
        <v>46</v>
      </c>
      <c r="G962" s="3" t="s">
        <v>47</v>
      </c>
      <c r="H962" s="3" t="s">
        <v>30</v>
      </c>
      <c r="I962" s="3" t="s">
        <v>31</v>
      </c>
      <c r="J962" s="3" t="s">
        <v>32</v>
      </c>
      <c r="K962" s="3" t="s">
        <v>33</v>
      </c>
      <c r="L962" s="3" t="s">
        <v>51</v>
      </c>
      <c r="M962" s="3" t="s">
        <v>94</v>
      </c>
      <c r="N962" s="3" t="s">
        <v>95</v>
      </c>
      <c r="O962" s="3" t="s">
        <v>37</v>
      </c>
      <c r="P962" s="3" t="s">
        <v>38</v>
      </c>
      <c r="Q962" s="3" t="s">
        <v>39</v>
      </c>
      <c r="R962" s="3" t="s">
        <v>40</v>
      </c>
      <c r="S962" s="55">
        <v>2625.5</v>
      </c>
      <c r="T962" s="55">
        <v>2113.6610000000001</v>
      </c>
      <c r="U962" s="55">
        <v>679.47249999999997</v>
      </c>
      <c r="V962" s="55">
        <v>511.839</v>
      </c>
      <c r="W962" s="3">
        <v>81</v>
      </c>
    </row>
    <row r="963" spans="1:23" x14ac:dyDescent="0.35">
      <c r="A963" s="3" t="s">
        <v>483</v>
      </c>
      <c r="B963" s="3" t="s">
        <v>484</v>
      </c>
      <c r="C963" s="3" t="s">
        <v>467</v>
      </c>
      <c r="D963" s="3" t="s">
        <v>45</v>
      </c>
      <c r="E963" s="3" t="s">
        <v>27</v>
      </c>
      <c r="F963" s="3" t="s">
        <v>46</v>
      </c>
      <c r="G963" s="3" t="s">
        <v>47</v>
      </c>
      <c r="H963" s="3" t="s">
        <v>30</v>
      </c>
      <c r="I963" s="3" t="s">
        <v>31</v>
      </c>
      <c r="J963" s="3" t="s">
        <v>32</v>
      </c>
      <c r="K963" s="3" t="s">
        <v>33</v>
      </c>
      <c r="L963" s="3" t="s">
        <v>51</v>
      </c>
      <c r="M963" s="3" t="s">
        <v>94</v>
      </c>
      <c r="N963" s="3" t="s">
        <v>95</v>
      </c>
      <c r="O963" s="3" t="s">
        <v>468</v>
      </c>
      <c r="P963" s="3" t="s">
        <v>469</v>
      </c>
      <c r="Q963" s="3" t="s">
        <v>39</v>
      </c>
      <c r="R963" s="3" t="s">
        <v>40</v>
      </c>
      <c r="S963" s="55">
        <v>2</v>
      </c>
      <c r="T963" s="55">
        <v>1.9904999999999999</v>
      </c>
      <c r="U963" s="55">
        <v>0</v>
      </c>
      <c r="V963" s="55">
        <v>9.4999999999999998E-3</v>
      </c>
      <c r="W963" s="3">
        <v>100</v>
      </c>
    </row>
    <row r="964" spans="1:23" x14ac:dyDescent="0.35">
      <c r="A964" s="3" t="s">
        <v>483</v>
      </c>
      <c r="B964" s="3" t="s">
        <v>484</v>
      </c>
      <c r="C964" s="3" t="s">
        <v>102</v>
      </c>
      <c r="D964" s="3" t="s">
        <v>45</v>
      </c>
      <c r="E964" s="3" t="s">
        <v>27</v>
      </c>
      <c r="F964" s="3" t="s">
        <v>46</v>
      </c>
      <c r="G964" s="3" t="s">
        <v>47</v>
      </c>
      <c r="H964" s="3" t="s">
        <v>30</v>
      </c>
      <c r="I964" s="3" t="s">
        <v>31</v>
      </c>
      <c r="J964" s="3" t="s">
        <v>32</v>
      </c>
      <c r="K964" s="3" t="s">
        <v>33</v>
      </c>
      <c r="L964" s="3" t="s">
        <v>51</v>
      </c>
      <c r="M964" s="3" t="s">
        <v>94</v>
      </c>
      <c r="N964" s="3" t="s">
        <v>95</v>
      </c>
      <c r="O964" s="3" t="s">
        <v>103</v>
      </c>
      <c r="P964" s="3" t="s">
        <v>104</v>
      </c>
      <c r="Q964" s="3" t="s">
        <v>39</v>
      </c>
      <c r="R964" s="3" t="s">
        <v>40</v>
      </c>
      <c r="S964" s="55">
        <v>3.7</v>
      </c>
      <c r="T964" s="55">
        <v>1.3929</v>
      </c>
      <c r="U964" s="55">
        <v>0</v>
      </c>
      <c r="V964" s="55">
        <v>2.3071000000000002</v>
      </c>
      <c r="W964" s="3">
        <v>38</v>
      </c>
    </row>
    <row r="965" spans="1:23" x14ac:dyDescent="0.35">
      <c r="A965" s="3" t="s">
        <v>483</v>
      </c>
      <c r="B965" s="3" t="s">
        <v>484</v>
      </c>
      <c r="C965" s="3" t="s">
        <v>105</v>
      </c>
      <c r="D965" s="3" t="s">
        <v>45</v>
      </c>
      <c r="E965" s="3" t="s">
        <v>27</v>
      </c>
      <c r="F965" s="3" t="s">
        <v>46</v>
      </c>
      <c r="G965" s="3" t="s">
        <v>47</v>
      </c>
      <c r="H965" s="3" t="s">
        <v>30</v>
      </c>
      <c r="I965" s="3" t="s">
        <v>31</v>
      </c>
      <c r="J965" s="3" t="s">
        <v>32</v>
      </c>
      <c r="K965" s="3" t="s">
        <v>33</v>
      </c>
      <c r="L965" s="3" t="s">
        <v>51</v>
      </c>
      <c r="M965" s="3" t="s">
        <v>106</v>
      </c>
      <c r="N965" s="3" t="s">
        <v>107</v>
      </c>
      <c r="O965" s="3" t="s">
        <v>108</v>
      </c>
      <c r="P965" s="3" t="s">
        <v>109</v>
      </c>
      <c r="Q965" s="3" t="s">
        <v>39</v>
      </c>
      <c r="R965" s="3" t="s">
        <v>40</v>
      </c>
      <c r="S965" s="55">
        <v>70925.600000000006</v>
      </c>
      <c r="T965" s="55">
        <v>32981.5573</v>
      </c>
      <c r="U965" s="55">
        <v>6270</v>
      </c>
      <c r="V965" s="55">
        <v>37944.042699999998</v>
      </c>
      <c r="W965" s="3">
        <v>47</v>
      </c>
    </row>
    <row r="966" spans="1:23" x14ac:dyDescent="0.35">
      <c r="A966" s="3" t="s">
        <v>483</v>
      </c>
      <c r="B966" s="3" t="s">
        <v>484</v>
      </c>
      <c r="C966" s="3" t="s">
        <v>110</v>
      </c>
      <c r="D966" s="3" t="s">
        <v>45</v>
      </c>
      <c r="E966" s="3" t="s">
        <v>27</v>
      </c>
      <c r="F966" s="3" t="s">
        <v>46</v>
      </c>
      <c r="G966" s="3" t="s">
        <v>47</v>
      </c>
      <c r="H966" s="3" t="s">
        <v>30</v>
      </c>
      <c r="I966" s="3" t="s">
        <v>31</v>
      </c>
      <c r="J966" s="3" t="s">
        <v>32</v>
      </c>
      <c r="K966" s="3" t="s">
        <v>33</v>
      </c>
      <c r="L966" s="3" t="s">
        <v>51</v>
      </c>
      <c r="M966" s="3" t="s">
        <v>111</v>
      </c>
      <c r="N966" s="3" t="s">
        <v>112</v>
      </c>
      <c r="O966" s="3" t="s">
        <v>37</v>
      </c>
      <c r="P966" s="3" t="s">
        <v>38</v>
      </c>
      <c r="Q966" s="3" t="s">
        <v>39</v>
      </c>
      <c r="R966" s="3" t="s">
        <v>40</v>
      </c>
      <c r="S966" s="55">
        <v>5536.5</v>
      </c>
      <c r="T966" s="55">
        <v>2052.4924999999998</v>
      </c>
      <c r="U966" s="55">
        <v>369.5813</v>
      </c>
      <c r="V966" s="55">
        <v>3484.0075000000002</v>
      </c>
      <c r="W966" s="3">
        <v>37</v>
      </c>
    </row>
    <row r="967" spans="1:23" x14ac:dyDescent="0.35">
      <c r="A967" s="3" t="s">
        <v>483</v>
      </c>
      <c r="B967" s="3" t="s">
        <v>484</v>
      </c>
      <c r="C967" s="3" t="s">
        <v>113</v>
      </c>
      <c r="D967" s="3" t="s">
        <v>114</v>
      </c>
      <c r="E967" s="3" t="s">
        <v>115</v>
      </c>
      <c r="F967" s="3" t="s">
        <v>116</v>
      </c>
      <c r="G967" s="3" t="s">
        <v>117</v>
      </c>
      <c r="H967" s="3" t="s">
        <v>48</v>
      </c>
      <c r="I967" s="3" t="s">
        <v>49</v>
      </c>
      <c r="J967" s="3" t="s">
        <v>50</v>
      </c>
      <c r="K967" s="3" t="s">
        <v>33</v>
      </c>
      <c r="L967" s="3" t="s">
        <v>51</v>
      </c>
      <c r="M967" s="3" t="s">
        <v>118</v>
      </c>
      <c r="N967" s="3" t="s">
        <v>119</v>
      </c>
      <c r="O967" s="3" t="s">
        <v>37</v>
      </c>
      <c r="P967" s="3" t="s">
        <v>38</v>
      </c>
      <c r="Q967" s="3" t="s">
        <v>39</v>
      </c>
      <c r="R967" s="3" t="s">
        <v>40</v>
      </c>
      <c r="S967" s="55">
        <v>4082.8</v>
      </c>
      <c r="T967" s="55">
        <v>1256.6955</v>
      </c>
      <c r="U967" s="55">
        <v>0</v>
      </c>
      <c r="V967" s="55">
        <v>2826.1044999999999</v>
      </c>
      <c r="W967" s="3">
        <v>31</v>
      </c>
    </row>
    <row r="968" spans="1:23" x14ac:dyDescent="0.35">
      <c r="A968" s="3" t="s">
        <v>483</v>
      </c>
      <c r="B968" s="3" t="s">
        <v>484</v>
      </c>
      <c r="C968" s="3" t="s">
        <v>120</v>
      </c>
      <c r="D968" s="3" t="s">
        <v>114</v>
      </c>
      <c r="E968" s="3" t="s">
        <v>115</v>
      </c>
      <c r="F968" s="3" t="s">
        <v>116</v>
      </c>
      <c r="G968" s="3" t="s">
        <v>117</v>
      </c>
      <c r="H968" s="3" t="s">
        <v>48</v>
      </c>
      <c r="I968" s="3" t="s">
        <v>49</v>
      </c>
      <c r="J968" s="3" t="s">
        <v>50</v>
      </c>
      <c r="K968" s="3" t="s">
        <v>33</v>
      </c>
      <c r="L968" s="3" t="s">
        <v>51</v>
      </c>
      <c r="M968" s="3" t="s">
        <v>118</v>
      </c>
      <c r="N968" s="3" t="s">
        <v>119</v>
      </c>
      <c r="O968" s="3" t="s">
        <v>42</v>
      </c>
      <c r="P968" s="3" t="s">
        <v>43</v>
      </c>
      <c r="Q968" s="3" t="s">
        <v>39</v>
      </c>
      <c r="R968" s="3" t="s">
        <v>40</v>
      </c>
      <c r="S968" s="55">
        <v>8518.1</v>
      </c>
      <c r="T968" s="55">
        <v>264.81889999999999</v>
      </c>
      <c r="U968" s="55">
        <v>0</v>
      </c>
      <c r="V968" s="55">
        <v>8253.2811000000002</v>
      </c>
      <c r="W968" s="3">
        <v>3</v>
      </c>
    </row>
    <row r="969" spans="1:23" x14ac:dyDescent="0.35">
      <c r="A969" s="3" t="s">
        <v>483</v>
      </c>
      <c r="B969" s="3" t="s">
        <v>484</v>
      </c>
      <c r="C969" s="3" t="s">
        <v>121</v>
      </c>
      <c r="D969" s="3" t="s">
        <v>114</v>
      </c>
      <c r="E969" s="3" t="s">
        <v>115</v>
      </c>
      <c r="F969" s="3" t="s">
        <v>116</v>
      </c>
      <c r="G969" s="3" t="s">
        <v>117</v>
      </c>
      <c r="H969" s="3" t="s">
        <v>48</v>
      </c>
      <c r="I969" s="3" t="s">
        <v>49</v>
      </c>
      <c r="J969" s="3" t="s">
        <v>50</v>
      </c>
      <c r="K969" s="3" t="s">
        <v>33</v>
      </c>
      <c r="L969" s="3" t="s">
        <v>51</v>
      </c>
      <c r="M969" s="3" t="s">
        <v>118</v>
      </c>
      <c r="N969" s="3" t="s">
        <v>119</v>
      </c>
      <c r="O969" s="3" t="s">
        <v>122</v>
      </c>
      <c r="P969" s="3" t="s">
        <v>123</v>
      </c>
      <c r="Q969" s="3" t="s">
        <v>39</v>
      </c>
      <c r="R969" s="3" t="s">
        <v>40</v>
      </c>
      <c r="S969" s="55">
        <v>5312.2</v>
      </c>
      <c r="T969" s="55">
        <v>2714.5491999999999</v>
      </c>
      <c r="U969" s="55">
        <v>0</v>
      </c>
      <c r="V969" s="55">
        <v>2597.6507999999999</v>
      </c>
      <c r="W969" s="3">
        <v>51</v>
      </c>
    </row>
    <row r="970" spans="1:23" x14ac:dyDescent="0.35">
      <c r="A970" s="3" t="s">
        <v>483</v>
      </c>
      <c r="B970" s="3" t="s">
        <v>484</v>
      </c>
      <c r="C970" s="3" t="s">
        <v>124</v>
      </c>
      <c r="D970" s="3" t="s">
        <v>114</v>
      </c>
      <c r="E970" s="3" t="s">
        <v>115</v>
      </c>
      <c r="F970" s="3" t="s">
        <v>116</v>
      </c>
      <c r="G970" s="3" t="s">
        <v>117</v>
      </c>
      <c r="H970" s="3" t="s">
        <v>48</v>
      </c>
      <c r="I970" s="3" t="s">
        <v>49</v>
      </c>
      <c r="J970" s="3" t="s">
        <v>50</v>
      </c>
      <c r="K970" s="3" t="s">
        <v>33</v>
      </c>
      <c r="L970" s="3" t="s">
        <v>51</v>
      </c>
      <c r="M970" s="3" t="s">
        <v>118</v>
      </c>
      <c r="N970" s="3" t="s">
        <v>119</v>
      </c>
      <c r="O970" s="3" t="s">
        <v>125</v>
      </c>
      <c r="P970" s="3" t="s">
        <v>126</v>
      </c>
      <c r="Q970" s="3" t="s">
        <v>39</v>
      </c>
      <c r="R970" s="3" t="s">
        <v>40</v>
      </c>
      <c r="S970" s="55">
        <v>1748.2</v>
      </c>
      <c r="T970" s="55">
        <v>1092.9703</v>
      </c>
      <c r="U970" s="55">
        <v>241.8329</v>
      </c>
      <c r="V970" s="55">
        <v>655.22969999999998</v>
      </c>
      <c r="W970" s="3">
        <v>63</v>
      </c>
    </row>
    <row r="971" spans="1:23" x14ac:dyDescent="0.35">
      <c r="A971" s="3" t="s">
        <v>483</v>
      </c>
      <c r="B971" s="3" t="s">
        <v>484</v>
      </c>
      <c r="C971" s="3" t="s">
        <v>130</v>
      </c>
      <c r="D971" s="3" t="s">
        <v>131</v>
      </c>
      <c r="E971" s="3" t="s">
        <v>115</v>
      </c>
      <c r="F971" s="3" t="s">
        <v>132</v>
      </c>
      <c r="G971" s="3" t="s">
        <v>133</v>
      </c>
      <c r="H971" s="3" t="s">
        <v>48</v>
      </c>
      <c r="I971" s="3" t="s">
        <v>49</v>
      </c>
      <c r="J971" s="3" t="s">
        <v>50</v>
      </c>
      <c r="K971" s="3" t="s">
        <v>33</v>
      </c>
      <c r="L971" s="3" t="s">
        <v>51</v>
      </c>
      <c r="M971" s="3" t="s">
        <v>134</v>
      </c>
      <c r="N971" s="3" t="s">
        <v>135</v>
      </c>
      <c r="O971" s="3" t="s">
        <v>37</v>
      </c>
      <c r="P971" s="3" t="s">
        <v>38</v>
      </c>
      <c r="Q971" s="3" t="s">
        <v>39</v>
      </c>
      <c r="R971" s="3" t="s">
        <v>40</v>
      </c>
      <c r="S971" s="55">
        <v>22.1</v>
      </c>
      <c r="T971" s="55">
        <v>0</v>
      </c>
      <c r="U971" s="55">
        <v>0</v>
      </c>
      <c r="V971" s="55">
        <v>22.1</v>
      </c>
      <c r="W971" s="3">
        <v>0</v>
      </c>
    </row>
    <row r="972" spans="1:23" x14ac:dyDescent="0.35">
      <c r="A972" s="3" t="s">
        <v>483</v>
      </c>
      <c r="B972" s="3" t="s">
        <v>484</v>
      </c>
      <c r="C972" s="3" t="s">
        <v>448</v>
      </c>
      <c r="D972" s="3" t="s">
        <v>137</v>
      </c>
      <c r="E972" s="3" t="s">
        <v>138</v>
      </c>
      <c r="F972" s="3" t="s">
        <v>139</v>
      </c>
      <c r="G972" s="3" t="s">
        <v>140</v>
      </c>
      <c r="H972" s="3" t="s">
        <v>48</v>
      </c>
      <c r="I972" s="3" t="s">
        <v>49</v>
      </c>
      <c r="J972" s="3" t="s">
        <v>50</v>
      </c>
      <c r="K972" s="3" t="s">
        <v>33</v>
      </c>
      <c r="L972" s="3" t="s">
        <v>51</v>
      </c>
      <c r="M972" s="3" t="s">
        <v>446</v>
      </c>
      <c r="N972" s="3" t="s">
        <v>447</v>
      </c>
      <c r="O972" s="3" t="s">
        <v>197</v>
      </c>
      <c r="P972" s="3" t="s">
        <v>198</v>
      </c>
      <c r="Q972" s="3" t="s">
        <v>39</v>
      </c>
      <c r="R972" s="3" t="s">
        <v>40</v>
      </c>
      <c r="S972" s="55">
        <v>32862.199999999997</v>
      </c>
      <c r="T972" s="55">
        <v>0</v>
      </c>
      <c r="U972" s="55">
        <v>0</v>
      </c>
      <c r="V972" s="55">
        <v>32862.199999999997</v>
      </c>
      <c r="W972" s="3">
        <v>0</v>
      </c>
    </row>
    <row r="973" spans="1:23" x14ac:dyDescent="0.35">
      <c r="A973" s="3" t="s">
        <v>483</v>
      </c>
      <c r="B973" s="3" t="s">
        <v>484</v>
      </c>
      <c r="C973" s="3" t="s">
        <v>136</v>
      </c>
      <c r="D973" s="3" t="s">
        <v>137</v>
      </c>
      <c r="E973" s="3" t="s">
        <v>138</v>
      </c>
      <c r="F973" s="3" t="s">
        <v>139</v>
      </c>
      <c r="G973" s="3" t="s">
        <v>140</v>
      </c>
      <c r="H973" s="3" t="s">
        <v>30</v>
      </c>
      <c r="I973" s="3" t="s">
        <v>31</v>
      </c>
      <c r="J973" s="3" t="s">
        <v>32</v>
      </c>
      <c r="K973" s="3" t="s">
        <v>33</v>
      </c>
      <c r="L973" s="3" t="s">
        <v>51</v>
      </c>
      <c r="M973" s="3" t="s">
        <v>141</v>
      </c>
      <c r="N973" s="3" t="s">
        <v>142</v>
      </c>
      <c r="O973" s="3" t="s">
        <v>83</v>
      </c>
      <c r="P973" s="3" t="s">
        <v>84</v>
      </c>
      <c r="Q973" s="3" t="s">
        <v>39</v>
      </c>
      <c r="R973" s="3" t="s">
        <v>40</v>
      </c>
      <c r="S973" s="55">
        <v>5402.8</v>
      </c>
      <c r="T973" s="55">
        <v>2515.7139999999999</v>
      </c>
      <c r="U973" s="55">
        <v>143.2413</v>
      </c>
      <c r="V973" s="55">
        <v>2887.0859999999998</v>
      </c>
      <c r="W973" s="3">
        <v>47</v>
      </c>
    </row>
    <row r="974" spans="1:23" x14ac:dyDescent="0.35">
      <c r="A974" s="3" t="s">
        <v>483</v>
      </c>
      <c r="B974" s="3" t="s">
        <v>484</v>
      </c>
      <c r="C974" s="3" t="s">
        <v>143</v>
      </c>
      <c r="D974" s="3" t="s">
        <v>144</v>
      </c>
      <c r="E974" s="3" t="s">
        <v>145</v>
      </c>
      <c r="F974" s="3" t="s">
        <v>146</v>
      </c>
      <c r="G974" s="3" t="s">
        <v>147</v>
      </c>
      <c r="H974" s="3" t="s">
        <v>116</v>
      </c>
      <c r="I974" s="3" t="s">
        <v>148</v>
      </c>
      <c r="J974" s="3" t="s">
        <v>149</v>
      </c>
      <c r="K974" s="3" t="s">
        <v>33</v>
      </c>
      <c r="L974" s="3" t="s">
        <v>51</v>
      </c>
      <c r="M974" s="3" t="s">
        <v>150</v>
      </c>
      <c r="N974" s="3" t="s">
        <v>151</v>
      </c>
      <c r="O974" s="3" t="s">
        <v>37</v>
      </c>
      <c r="P974" s="3" t="s">
        <v>38</v>
      </c>
      <c r="Q974" s="3" t="s">
        <v>39</v>
      </c>
      <c r="R974" s="3" t="s">
        <v>40</v>
      </c>
      <c r="S974" s="55">
        <v>5247.5</v>
      </c>
      <c r="T974" s="55">
        <v>2897.8584000000001</v>
      </c>
      <c r="U974" s="55">
        <v>1016.4219000000001</v>
      </c>
      <c r="V974" s="55">
        <v>2349.6415999999999</v>
      </c>
      <c r="W974" s="3">
        <v>55</v>
      </c>
    </row>
    <row r="975" spans="1:23" x14ac:dyDescent="0.35">
      <c r="A975" s="3" t="s">
        <v>483</v>
      </c>
      <c r="B975" s="3" t="s">
        <v>484</v>
      </c>
      <c r="C975" s="3" t="s">
        <v>152</v>
      </c>
      <c r="D975" s="3" t="s">
        <v>144</v>
      </c>
      <c r="E975" s="3" t="s">
        <v>145</v>
      </c>
      <c r="F975" s="3" t="s">
        <v>146</v>
      </c>
      <c r="G975" s="3" t="s">
        <v>147</v>
      </c>
      <c r="H975" s="3" t="s">
        <v>116</v>
      </c>
      <c r="I975" s="3" t="s">
        <v>148</v>
      </c>
      <c r="J975" s="3" t="s">
        <v>149</v>
      </c>
      <c r="K975" s="3" t="s">
        <v>33</v>
      </c>
      <c r="L975" s="3" t="s">
        <v>51</v>
      </c>
      <c r="M975" s="3" t="s">
        <v>153</v>
      </c>
      <c r="N975" s="3" t="s">
        <v>154</v>
      </c>
      <c r="O975" s="3" t="s">
        <v>37</v>
      </c>
      <c r="P975" s="3" t="s">
        <v>38</v>
      </c>
      <c r="Q975" s="3" t="s">
        <v>39</v>
      </c>
      <c r="R975" s="3" t="s">
        <v>40</v>
      </c>
      <c r="S975" s="55">
        <v>58395.199999999997</v>
      </c>
      <c r="T975" s="55">
        <v>88.846699999999998</v>
      </c>
      <c r="U975" s="55">
        <v>88.846699999999998</v>
      </c>
      <c r="V975" s="55">
        <v>58306.353300000002</v>
      </c>
      <c r="W975" s="3">
        <v>0</v>
      </c>
    </row>
    <row r="976" spans="1:23" x14ac:dyDescent="0.35">
      <c r="A976" s="3" t="s">
        <v>483</v>
      </c>
      <c r="B976" s="3" t="s">
        <v>484</v>
      </c>
      <c r="C976" s="3" t="s">
        <v>155</v>
      </c>
      <c r="D976" s="3" t="s">
        <v>144</v>
      </c>
      <c r="E976" s="3" t="s">
        <v>145</v>
      </c>
      <c r="F976" s="3" t="s">
        <v>146</v>
      </c>
      <c r="G976" s="3" t="s">
        <v>147</v>
      </c>
      <c r="H976" s="3" t="s">
        <v>116</v>
      </c>
      <c r="I976" s="3" t="s">
        <v>148</v>
      </c>
      <c r="J976" s="3" t="s">
        <v>149</v>
      </c>
      <c r="K976" s="3" t="s">
        <v>33</v>
      </c>
      <c r="L976" s="3" t="s">
        <v>51</v>
      </c>
      <c r="M976" s="3" t="s">
        <v>156</v>
      </c>
      <c r="N976" s="3" t="s">
        <v>157</v>
      </c>
      <c r="O976" s="3" t="s">
        <v>37</v>
      </c>
      <c r="P976" s="3" t="s">
        <v>38</v>
      </c>
      <c r="Q976" s="3" t="s">
        <v>39</v>
      </c>
      <c r="R976" s="3" t="s">
        <v>40</v>
      </c>
      <c r="S976" s="55">
        <v>2291.9</v>
      </c>
      <c r="T976" s="55">
        <v>311.8879</v>
      </c>
      <c r="U976" s="55">
        <v>15.1234</v>
      </c>
      <c r="V976" s="55">
        <v>1980.0120999999999</v>
      </c>
      <c r="W976" s="3">
        <v>14</v>
      </c>
    </row>
    <row r="977" spans="1:23" x14ac:dyDescent="0.35">
      <c r="A977" s="3" t="s">
        <v>483</v>
      </c>
      <c r="B977" s="3" t="s">
        <v>484</v>
      </c>
      <c r="C977" s="3" t="s">
        <v>158</v>
      </c>
      <c r="D977" s="3" t="s">
        <v>144</v>
      </c>
      <c r="E977" s="3" t="s">
        <v>145</v>
      </c>
      <c r="F977" s="3" t="s">
        <v>146</v>
      </c>
      <c r="G977" s="3" t="s">
        <v>147</v>
      </c>
      <c r="H977" s="3" t="s">
        <v>116</v>
      </c>
      <c r="I977" s="3" t="s">
        <v>148</v>
      </c>
      <c r="J977" s="3" t="s">
        <v>149</v>
      </c>
      <c r="K977" s="3" t="s">
        <v>33</v>
      </c>
      <c r="L977" s="3" t="s">
        <v>51</v>
      </c>
      <c r="M977" s="3" t="s">
        <v>156</v>
      </c>
      <c r="N977" s="3" t="s">
        <v>157</v>
      </c>
      <c r="O977" s="3" t="s">
        <v>125</v>
      </c>
      <c r="P977" s="3" t="s">
        <v>126</v>
      </c>
      <c r="Q977" s="3" t="s">
        <v>39</v>
      </c>
      <c r="R977" s="3" t="s">
        <v>40</v>
      </c>
      <c r="S977" s="55">
        <v>105638.8</v>
      </c>
      <c r="T977" s="55">
        <v>42803.031900000002</v>
      </c>
      <c r="U977" s="55">
        <v>4789.9790999999996</v>
      </c>
      <c r="V977" s="55">
        <v>62835.768100000001</v>
      </c>
      <c r="W977" s="3">
        <v>41</v>
      </c>
    </row>
    <row r="978" spans="1:23" x14ac:dyDescent="0.35">
      <c r="A978" s="3" t="s">
        <v>483</v>
      </c>
      <c r="B978" s="3" t="s">
        <v>484</v>
      </c>
      <c r="C978" s="3" t="s">
        <v>159</v>
      </c>
      <c r="D978" s="3" t="s">
        <v>144</v>
      </c>
      <c r="E978" s="3" t="s">
        <v>145</v>
      </c>
      <c r="F978" s="3" t="s">
        <v>146</v>
      </c>
      <c r="G978" s="3" t="s">
        <v>147</v>
      </c>
      <c r="H978" s="3" t="s">
        <v>116</v>
      </c>
      <c r="I978" s="3" t="s">
        <v>148</v>
      </c>
      <c r="J978" s="3" t="s">
        <v>149</v>
      </c>
      <c r="K978" s="3" t="s">
        <v>33</v>
      </c>
      <c r="L978" s="3" t="s">
        <v>51</v>
      </c>
      <c r="M978" s="3" t="s">
        <v>160</v>
      </c>
      <c r="N978" s="3" t="s">
        <v>161</v>
      </c>
      <c r="O978" s="3" t="s">
        <v>37</v>
      </c>
      <c r="P978" s="3" t="s">
        <v>38</v>
      </c>
      <c r="Q978" s="3" t="s">
        <v>39</v>
      </c>
      <c r="R978" s="3" t="s">
        <v>40</v>
      </c>
      <c r="S978" s="55">
        <v>16844.5</v>
      </c>
      <c r="T978" s="55">
        <v>6420.3040000000001</v>
      </c>
      <c r="U978" s="55">
        <v>750.58969999999999</v>
      </c>
      <c r="V978" s="55">
        <v>10424.196</v>
      </c>
      <c r="W978" s="3">
        <v>38</v>
      </c>
    </row>
    <row r="979" spans="1:23" x14ac:dyDescent="0.35">
      <c r="A979" s="3" t="s">
        <v>483</v>
      </c>
      <c r="B979" s="3" t="s">
        <v>484</v>
      </c>
      <c r="C979" s="3" t="s">
        <v>162</v>
      </c>
      <c r="D979" s="3" t="s">
        <v>144</v>
      </c>
      <c r="E979" s="3" t="s">
        <v>145</v>
      </c>
      <c r="F979" s="3" t="s">
        <v>146</v>
      </c>
      <c r="G979" s="3" t="s">
        <v>147</v>
      </c>
      <c r="H979" s="3" t="s">
        <v>116</v>
      </c>
      <c r="I979" s="3" t="s">
        <v>148</v>
      </c>
      <c r="J979" s="3" t="s">
        <v>149</v>
      </c>
      <c r="K979" s="3" t="s">
        <v>33</v>
      </c>
      <c r="L979" s="3" t="s">
        <v>51</v>
      </c>
      <c r="M979" s="3" t="s">
        <v>160</v>
      </c>
      <c r="N979" s="3" t="s">
        <v>161</v>
      </c>
      <c r="O979" s="3" t="s">
        <v>42</v>
      </c>
      <c r="P979" s="3" t="s">
        <v>43</v>
      </c>
      <c r="Q979" s="3" t="s">
        <v>39</v>
      </c>
      <c r="R979" s="3" t="s">
        <v>40</v>
      </c>
      <c r="S979" s="55">
        <v>6321.4</v>
      </c>
      <c r="T979" s="55">
        <v>0</v>
      </c>
      <c r="U979" s="55">
        <v>0</v>
      </c>
      <c r="V979" s="55">
        <v>6321.4</v>
      </c>
      <c r="W979" s="3">
        <v>0</v>
      </c>
    </row>
    <row r="980" spans="1:23" x14ac:dyDescent="0.35">
      <c r="A980" s="3" t="s">
        <v>483</v>
      </c>
      <c r="B980" s="3" t="s">
        <v>484</v>
      </c>
      <c r="C980" s="3" t="s">
        <v>163</v>
      </c>
      <c r="D980" s="3" t="s">
        <v>144</v>
      </c>
      <c r="E980" s="3" t="s">
        <v>145</v>
      </c>
      <c r="F980" s="3" t="s">
        <v>146</v>
      </c>
      <c r="G980" s="3" t="s">
        <v>147</v>
      </c>
      <c r="H980" s="3" t="s">
        <v>116</v>
      </c>
      <c r="I980" s="3" t="s">
        <v>148</v>
      </c>
      <c r="J980" s="3" t="s">
        <v>149</v>
      </c>
      <c r="K980" s="3" t="s">
        <v>33</v>
      </c>
      <c r="L980" s="3" t="s">
        <v>51</v>
      </c>
      <c r="M980" s="3" t="s">
        <v>160</v>
      </c>
      <c r="N980" s="3" t="s">
        <v>161</v>
      </c>
      <c r="O980" s="3" t="s">
        <v>125</v>
      </c>
      <c r="P980" s="3" t="s">
        <v>126</v>
      </c>
      <c r="Q980" s="3" t="s">
        <v>39</v>
      </c>
      <c r="R980" s="3" t="s">
        <v>40</v>
      </c>
      <c r="S980" s="55">
        <v>4785.7</v>
      </c>
      <c r="T980" s="55">
        <v>2248.6954000000001</v>
      </c>
      <c r="U980" s="55">
        <v>380.5308</v>
      </c>
      <c r="V980" s="55">
        <v>2537.0046000000002</v>
      </c>
      <c r="W980" s="3">
        <v>47</v>
      </c>
    </row>
    <row r="981" spans="1:23" x14ac:dyDescent="0.35">
      <c r="A981" s="3" t="s">
        <v>483</v>
      </c>
      <c r="B981" s="3" t="s">
        <v>484</v>
      </c>
      <c r="C981" s="3" t="s">
        <v>423</v>
      </c>
      <c r="D981" s="3" t="s">
        <v>165</v>
      </c>
      <c r="E981" s="3" t="s">
        <v>145</v>
      </c>
      <c r="F981" s="3" t="s">
        <v>28</v>
      </c>
      <c r="G981" s="3" t="s">
        <v>166</v>
      </c>
      <c r="H981" s="3" t="s">
        <v>139</v>
      </c>
      <c r="I981" s="3" t="s">
        <v>167</v>
      </c>
      <c r="J981" s="3" t="s">
        <v>168</v>
      </c>
      <c r="K981" s="3" t="s">
        <v>33</v>
      </c>
      <c r="L981" s="3" t="s">
        <v>51</v>
      </c>
      <c r="M981" s="3" t="s">
        <v>424</v>
      </c>
      <c r="N981" s="3" t="s">
        <v>507</v>
      </c>
      <c r="O981" s="3" t="s">
        <v>37</v>
      </c>
      <c r="P981" s="3" t="s">
        <v>38</v>
      </c>
      <c r="Q981" s="3" t="s">
        <v>39</v>
      </c>
      <c r="R981" s="3" t="s">
        <v>40</v>
      </c>
      <c r="S981" s="55">
        <v>1249.3</v>
      </c>
      <c r="T981" s="55">
        <v>0</v>
      </c>
      <c r="U981" s="55">
        <v>0</v>
      </c>
      <c r="V981" s="55">
        <v>1249.3</v>
      </c>
      <c r="W981" s="3">
        <v>0</v>
      </c>
    </row>
    <row r="982" spans="1:23" x14ac:dyDescent="0.35">
      <c r="A982" s="3" t="s">
        <v>483</v>
      </c>
      <c r="B982" s="3" t="s">
        <v>484</v>
      </c>
      <c r="C982" s="3" t="s">
        <v>560</v>
      </c>
      <c r="D982" s="3" t="s">
        <v>165</v>
      </c>
      <c r="E982" s="3" t="s">
        <v>145</v>
      </c>
      <c r="F982" s="3" t="s">
        <v>28</v>
      </c>
      <c r="G982" s="3" t="s">
        <v>166</v>
      </c>
      <c r="H982" s="3" t="s">
        <v>139</v>
      </c>
      <c r="I982" s="3" t="s">
        <v>167</v>
      </c>
      <c r="J982" s="3" t="s">
        <v>168</v>
      </c>
      <c r="K982" s="3" t="s">
        <v>33</v>
      </c>
      <c r="L982" s="3" t="s">
        <v>51</v>
      </c>
      <c r="M982" s="3" t="s">
        <v>424</v>
      </c>
      <c r="N982" s="3" t="s">
        <v>507</v>
      </c>
      <c r="O982" s="3" t="s">
        <v>125</v>
      </c>
      <c r="P982" s="3" t="s">
        <v>126</v>
      </c>
      <c r="Q982" s="3" t="s">
        <v>39</v>
      </c>
      <c r="R982" s="3" t="s">
        <v>40</v>
      </c>
      <c r="S982" s="55">
        <v>250.7</v>
      </c>
      <c r="T982" s="55">
        <v>250.65</v>
      </c>
      <c r="U982" s="55">
        <v>0</v>
      </c>
      <c r="V982" s="55">
        <v>0.05</v>
      </c>
      <c r="W982" s="3">
        <v>100</v>
      </c>
    </row>
    <row r="983" spans="1:23" x14ac:dyDescent="0.35">
      <c r="A983" s="3" t="s">
        <v>483</v>
      </c>
      <c r="B983" s="3" t="s">
        <v>484</v>
      </c>
      <c r="C983" s="3" t="s">
        <v>164</v>
      </c>
      <c r="D983" s="3" t="s">
        <v>165</v>
      </c>
      <c r="E983" s="3" t="s">
        <v>145</v>
      </c>
      <c r="F983" s="3" t="s">
        <v>28</v>
      </c>
      <c r="G983" s="3" t="s">
        <v>166</v>
      </c>
      <c r="H983" s="3" t="s">
        <v>139</v>
      </c>
      <c r="I983" s="3" t="s">
        <v>167</v>
      </c>
      <c r="J983" s="3" t="s">
        <v>168</v>
      </c>
      <c r="K983" s="3" t="s">
        <v>33</v>
      </c>
      <c r="L983" s="3" t="s">
        <v>51</v>
      </c>
      <c r="M983" s="3" t="s">
        <v>169</v>
      </c>
      <c r="N983" s="3" t="s">
        <v>170</v>
      </c>
      <c r="O983" s="3" t="s">
        <v>37</v>
      </c>
      <c r="P983" s="3" t="s">
        <v>38</v>
      </c>
      <c r="Q983" s="3" t="s">
        <v>39</v>
      </c>
      <c r="R983" s="3" t="s">
        <v>40</v>
      </c>
      <c r="S983" s="55">
        <v>52212.9</v>
      </c>
      <c r="T983" s="55">
        <v>5126.2525999999998</v>
      </c>
      <c r="U983" s="55">
        <v>892.83</v>
      </c>
      <c r="V983" s="55">
        <v>47086.647400000002</v>
      </c>
      <c r="W983" s="3">
        <v>10</v>
      </c>
    </row>
    <row r="984" spans="1:23" x14ac:dyDescent="0.35">
      <c r="A984" s="3" t="s">
        <v>483</v>
      </c>
      <c r="B984" s="3" t="s">
        <v>484</v>
      </c>
      <c r="C984" s="3" t="s">
        <v>561</v>
      </c>
      <c r="D984" s="3" t="s">
        <v>165</v>
      </c>
      <c r="E984" s="3" t="s">
        <v>145</v>
      </c>
      <c r="F984" s="3" t="s">
        <v>28</v>
      </c>
      <c r="G984" s="3" t="s">
        <v>166</v>
      </c>
      <c r="H984" s="3" t="s">
        <v>139</v>
      </c>
      <c r="I984" s="3" t="s">
        <v>167</v>
      </c>
      <c r="J984" s="3" t="s">
        <v>168</v>
      </c>
      <c r="K984" s="3" t="s">
        <v>33</v>
      </c>
      <c r="L984" s="3" t="s">
        <v>51</v>
      </c>
      <c r="M984" s="3" t="s">
        <v>169</v>
      </c>
      <c r="N984" s="3" t="s">
        <v>170</v>
      </c>
      <c r="O984" s="3" t="s">
        <v>125</v>
      </c>
      <c r="P984" s="3" t="s">
        <v>126</v>
      </c>
      <c r="Q984" s="3" t="s">
        <v>39</v>
      </c>
      <c r="R984" s="3" t="s">
        <v>40</v>
      </c>
      <c r="S984" s="55">
        <v>406.8</v>
      </c>
      <c r="T984" s="55">
        <v>406.8</v>
      </c>
      <c r="U984" s="55">
        <v>0</v>
      </c>
      <c r="V984" s="55">
        <v>0</v>
      </c>
      <c r="W984" s="3">
        <v>100</v>
      </c>
    </row>
    <row r="985" spans="1:23" x14ac:dyDescent="0.35">
      <c r="A985" s="3" t="s">
        <v>483</v>
      </c>
      <c r="B985" s="3" t="s">
        <v>484</v>
      </c>
      <c r="C985" s="3" t="s">
        <v>171</v>
      </c>
      <c r="D985" s="3" t="s">
        <v>165</v>
      </c>
      <c r="E985" s="3" t="s">
        <v>145</v>
      </c>
      <c r="F985" s="3" t="s">
        <v>28</v>
      </c>
      <c r="G985" s="3" t="s">
        <v>166</v>
      </c>
      <c r="H985" s="3" t="s">
        <v>139</v>
      </c>
      <c r="I985" s="3" t="s">
        <v>167</v>
      </c>
      <c r="J985" s="3" t="s">
        <v>168</v>
      </c>
      <c r="K985" s="3" t="s">
        <v>33</v>
      </c>
      <c r="L985" s="3" t="s">
        <v>51</v>
      </c>
      <c r="M985" s="3" t="s">
        <v>172</v>
      </c>
      <c r="N985" s="3" t="s">
        <v>173</v>
      </c>
      <c r="O985" s="3" t="s">
        <v>37</v>
      </c>
      <c r="P985" s="3" t="s">
        <v>38</v>
      </c>
      <c r="Q985" s="3" t="s">
        <v>39</v>
      </c>
      <c r="R985" s="3" t="s">
        <v>40</v>
      </c>
      <c r="S985" s="55">
        <v>152084.6</v>
      </c>
      <c r="T985" s="55">
        <v>583</v>
      </c>
      <c r="U985" s="55">
        <v>0</v>
      </c>
      <c r="V985" s="55">
        <v>151501.6</v>
      </c>
      <c r="W985" s="3">
        <v>0</v>
      </c>
    </row>
    <row r="986" spans="1:23" x14ac:dyDescent="0.35">
      <c r="A986" s="3" t="s">
        <v>483</v>
      </c>
      <c r="B986" s="3" t="s">
        <v>484</v>
      </c>
      <c r="C986" s="3" t="s">
        <v>562</v>
      </c>
      <c r="D986" s="3" t="s">
        <v>165</v>
      </c>
      <c r="E986" s="3" t="s">
        <v>145</v>
      </c>
      <c r="F986" s="3" t="s">
        <v>28</v>
      </c>
      <c r="G986" s="3" t="s">
        <v>166</v>
      </c>
      <c r="H986" s="3" t="s">
        <v>139</v>
      </c>
      <c r="I986" s="3" t="s">
        <v>167</v>
      </c>
      <c r="J986" s="3" t="s">
        <v>168</v>
      </c>
      <c r="K986" s="3" t="s">
        <v>33</v>
      </c>
      <c r="L986" s="3" t="s">
        <v>51</v>
      </c>
      <c r="M986" s="3" t="s">
        <v>172</v>
      </c>
      <c r="N986" s="3" t="s">
        <v>173</v>
      </c>
      <c r="O986" s="3" t="s">
        <v>125</v>
      </c>
      <c r="P986" s="3" t="s">
        <v>126</v>
      </c>
      <c r="Q986" s="3" t="s">
        <v>39</v>
      </c>
      <c r="R986" s="3" t="s">
        <v>40</v>
      </c>
      <c r="S986" s="55">
        <v>2086.8000000000002</v>
      </c>
      <c r="T986" s="55">
        <v>2086.8000000000002</v>
      </c>
      <c r="U986" s="55">
        <v>0</v>
      </c>
      <c r="V986" s="55">
        <v>0</v>
      </c>
      <c r="W986" s="3">
        <v>100</v>
      </c>
    </row>
    <row r="987" spans="1:23" x14ac:dyDescent="0.35">
      <c r="A987" s="3" t="s">
        <v>483</v>
      </c>
      <c r="B987" s="3" t="s">
        <v>484</v>
      </c>
      <c r="C987" s="3" t="s">
        <v>174</v>
      </c>
      <c r="D987" s="3" t="s">
        <v>175</v>
      </c>
      <c r="E987" s="3" t="s">
        <v>145</v>
      </c>
      <c r="F987" s="3" t="s">
        <v>176</v>
      </c>
      <c r="G987" s="3" t="s">
        <v>177</v>
      </c>
      <c r="H987" s="3" t="s">
        <v>116</v>
      </c>
      <c r="I987" s="3" t="s">
        <v>148</v>
      </c>
      <c r="J987" s="3" t="s">
        <v>149</v>
      </c>
      <c r="K987" s="3" t="s">
        <v>33</v>
      </c>
      <c r="L987" s="3" t="s">
        <v>51</v>
      </c>
      <c r="M987" s="3" t="s">
        <v>178</v>
      </c>
      <c r="N987" s="3" t="s">
        <v>179</v>
      </c>
      <c r="O987" s="3" t="s">
        <v>96</v>
      </c>
      <c r="P987" s="3" t="s">
        <v>97</v>
      </c>
      <c r="Q987" s="3" t="s">
        <v>39</v>
      </c>
      <c r="R987" s="3" t="s">
        <v>40</v>
      </c>
      <c r="S987" s="55">
        <v>484074.8</v>
      </c>
      <c r="T987" s="55">
        <v>223228.6202</v>
      </c>
      <c r="U987" s="55">
        <v>36590.901299999998</v>
      </c>
      <c r="V987" s="55">
        <v>260846.17980000001</v>
      </c>
      <c r="W987" s="3">
        <v>46</v>
      </c>
    </row>
    <row r="988" spans="1:23" x14ac:dyDescent="0.35">
      <c r="A988" s="3" t="s">
        <v>483</v>
      </c>
      <c r="B988" s="3" t="s">
        <v>484</v>
      </c>
      <c r="C988" s="3" t="s">
        <v>180</v>
      </c>
      <c r="D988" s="3" t="s">
        <v>175</v>
      </c>
      <c r="E988" s="3" t="s">
        <v>145</v>
      </c>
      <c r="F988" s="3" t="s">
        <v>176</v>
      </c>
      <c r="G988" s="3" t="s">
        <v>177</v>
      </c>
      <c r="H988" s="3" t="s">
        <v>116</v>
      </c>
      <c r="I988" s="3" t="s">
        <v>148</v>
      </c>
      <c r="J988" s="3" t="s">
        <v>149</v>
      </c>
      <c r="K988" s="3" t="s">
        <v>33</v>
      </c>
      <c r="L988" s="3" t="s">
        <v>51</v>
      </c>
      <c r="M988" s="3" t="s">
        <v>178</v>
      </c>
      <c r="N988" s="3" t="s">
        <v>179</v>
      </c>
      <c r="O988" s="3" t="s">
        <v>99</v>
      </c>
      <c r="P988" s="3" t="s">
        <v>100</v>
      </c>
      <c r="Q988" s="3" t="s">
        <v>39</v>
      </c>
      <c r="R988" s="3" t="s">
        <v>40</v>
      </c>
      <c r="S988" s="55">
        <v>145129.20000000001</v>
      </c>
      <c r="T988" s="55">
        <v>66672.668399999995</v>
      </c>
      <c r="U988" s="55">
        <v>8086.5924000000005</v>
      </c>
      <c r="V988" s="55">
        <v>78456.531600000002</v>
      </c>
      <c r="W988" s="3">
        <v>46</v>
      </c>
    </row>
    <row r="989" spans="1:23" x14ac:dyDescent="0.35">
      <c r="A989" s="3" t="s">
        <v>483</v>
      </c>
      <c r="B989" s="3" t="s">
        <v>484</v>
      </c>
      <c r="C989" s="3" t="s">
        <v>181</v>
      </c>
      <c r="D989" s="3" t="s">
        <v>175</v>
      </c>
      <c r="E989" s="3" t="s">
        <v>145</v>
      </c>
      <c r="F989" s="3" t="s">
        <v>176</v>
      </c>
      <c r="G989" s="3" t="s">
        <v>177</v>
      </c>
      <c r="H989" s="3" t="s">
        <v>116</v>
      </c>
      <c r="I989" s="3" t="s">
        <v>148</v>
      </c>
      <c r="J989" s="3" t="s">
        <v>149</v>
      </c>
      <c r="K989" s="3" t="s">
        <v>33</v>
      </c>
      <c r="L989" s="3" t="s">
        <v>51</v>
      </c>
      <c r="M989" s="3" t="s">
        <v>178</v>
      </c>
      <c r="N989" s="3" t="s">
        <v>179</v>
      </c>
      <c r="O989" s="3" t="s">
        <v>37</v>
      </c>
      <c r="P989" s="3" t="s">
        <v>38</v>
      </c>
      <c r="Q989" s="3" t="s">
        <v>39</v>
      </c>
      <c r="R989" s="3" t="s">
        <v>40</v>
      </c>
      <c r="S989" s="55">
        <v>106091.5</v>
      </c>
      <c r="T989" s="55">
        <v>34235.614300000001</v>
      </c>
      <c r="U989" s="55">
        <v>7793.8894</v>
      </c>
      <c r="V989" s="55">
        <v>71855.885699999999</v>
      </c>
      <c r="W989" s="3">
        <v>32</v>
      </c>
    </row>
    <row r="990" spans="1:23" x14ac:dyDescent="0.35">
      <c r="A990" s="3" t="s">
        <v>483</v>
      </c>
      <c r="B990" s="3" t="s">
        <v>484</v>
      </c>
      <c r="C990" s="3" t="s">
        <v>182</v>
      </c>
      <c r="D990" s="3" t="s">
        <v>175</v>
      </c>
      <c r="E990" s="3" t="s">
        <v>145</v>
      </c>
      <c r="F990" s="3" t="s">
        <v>176</v>
      </c>
      <c r="G990" s="3" t="s">
        <v>177</v>
      </c>
      <c r="H990" s="3" t="s">
        <v>116</v>
      </c>
      <c r="I990" s="3" t="s">
        <v>148</v>
      </c>
      <c r="J990" s="3" t="s">
        <v>149</v>
      </c>
      <c r="K990" s="3" t="s">
        <v>33</v>
      </c>
      <c r="L990" s="3" t="s">
        <v>51</v>
      </c>
      <c r="M990" s="3" t="s">
        <v>178</v>
      </c>
      <c r="N990" s="3" t="s">
        <v>179</v>
      </c>
      <c r="O990" s="3" t="s">
        <v>42</v>
      </c>
      <c r="P990" s="3" t="s">
        <v>43</v>
      </c>
      <c r="Q990" s="3" t="s">
        <v>39</v>
      </c>
      <c r="R990" s="3" t="s">
        <v>40</v>
      </c>
      <c r="S990" s="55">
        <v>5728.8</v>
      </c>
      <c r="T990" s="55">
        <v>1419.5082</v>
      </c>
      <c r="U990" s="55">
        <v>296.03590000000003</v>
      </c>
      <c r="V990" s="55">
        <v>4309.2918</v>
      </c>
      <c r="W990" s="3">
        <v>25</v>
      </c>
    </row>
    <row r="991" spans="1:23" x14ac:dyDescent="0.35">
      <c r="A991" s="3" t="s">
        <v>483</v>
      </c>
      <c r="B991" s="3" t="s">
        <v>484</v>
      </c>
      <c r="C991" s="3" t="s">
        <v>486</v>
      </c>
      <c r="D991" s="3" t="s">
        <v>175</v>
      </c>
      <c r="E991" s="3" t="s">
        <v>145</v>
      </c>
      <c r="F991" s="3" t="s">
        <v>176</v>
      </c>
      <c r="G991" s="3" t="s">
        <v>177</v>
      </c>
      <c r="H991" s="3" t="s">
        <v>116</v>
      </c>
      <c r="I991" s="3" t="s">
        <v>148</v>
      </c>
      <c r="J991" s="3" t="s">
        <v>149</v>
      </c>
      <c r="K991" s="3" t="s">
        <v>33</v>
      </c>
      <c r="L991" s="3" t="s">
        <v>51</v>
      </c>
      <c r="M991" s="3" t="s">
        <v>178</v>
      </c>
      <c r="N991" s="3" t="s">
        <v>179</v>
      </c>
      <c r="O991" s="3" t="s">
        <v>91</v>
      </c>
      <c r="P991" s="3" t="s">
        <v>92</v>
      </c>
      <c r="Q991" s="3" t="s">
        <v>39</v>
      </c>
      <c r="R991" s="3" t="s">
        <v>40</v>
      </c>
      <c r="S991" s="55">
        <v>284.7</v>
      </c>
      <c r="T991" s="55">
        <v>280.87279999999998</v>
      </c>
      <c r="U991" s="55">
        <v>20</v>
      </c>
      <c r="V991" s="55">
        <v>3.8271999999999999</v>
      </c>
      <c r="W991" s="3">
        <v>99</v>
      </c>
    </row>
    <row r="992" spans="1:23" x14ac:dyDescent="0.35">
      <c r="A992" s="3" t="s">
        <v>483</v>
      </c>
      <c r="B992" s="3" t="s">
        <v>484</v>
      </c>
      <c r="C992" s="3" t="s">
        <v>183</v>
      </c>
      <c r="D992" s="3" t="s">
        <v>175</v>
      </c>
      <c r="E992" s="3" t="s">
        <v>145</v>
      </c>
      <c r="F992" s="3" t="s">
        <v>176</v>
      </c>
      <c r="G992" s="3" t="s">
        <v>177</v>
      </c>
      <c r="H992" s="3" t="s">
        <v>116</v>
      </c>
      <c r="I992" s="3" t="s">
        <v>148</v>
      </c>
      <c r="J992" s="3" t="s">
        <v>149</v>
      </c>
      <c r="K992" s="3" t="s">
        <v>33</v>
      </c>
      <c r="L992" s="3" t="s">
        <v>51</v>
      </c>
      <c r="M992" s="3" t="s">
        <v>178</v>
      </c>
      <c r="N992" s="3" t="s">
        <v>179</v>
      </c>
      <c r="O992" s="3" t="s">
        <v>122</v>
      </c>
      <c r="P992" s="3" t="s">
        <v>123</v>
      </c>
      <c r="Q992" s="3" t="s">
        <v>39</v>
      </c>
      <c r="R992" s="3" t="s">
        <v>40</v>
      </c>
      <c r="S992" s="55">
        <v>1454.5</v>
      </c>
      <c r="T992" s="55">
        <v>45.942</v>
      </c>
      <c r="U992" s="55">
        <v>0</v>
      </c>
      <c r="V992" s="55">
        <v>1408.558</v>
      </c>
      <c r="W992" s="3">
        <v>3</v>
      </c>
    </row>
    <row r="993" spans="1:23" x14ac:dyDescent="0.35">
      <c r="A993" s="3" t="s">
        <v>483</v>
      </c>
      <c r="B993" s="3" t="s">
        <v>484</v>
      </c>
      <c r="C993" s="3" t="s">
        <v>184</v>
      </c>
      <c r="D993" s="3" t="s">
        <v>175</v>
      </c>
      <c r="E993" s="3" t="s">
        <v>145</v>
      </c>
      <c r="F993" s="3" t="s">
        <v>176</v>
      </c>
      <c r="G993" s="3" t="s">
        <v>177</v>
      </c>
      <c r="H993" s="3" t="s">
        <v>116</v>
      </c>
      <c r="I993" s="3" t="s">
        <v>148</v>
      </c>
      <c r="J993" s="3" t="s">
        <v>149</v>
      </c>
      <c r="K993" s="3" t="s">
        <v>33</v>
      </c>
      <c r="L993" s="3" t="s">
        <v>51</v>
      </c>
      <c r="M993" s="3" t="s">
        <v>178</v>
      </c>
      <c r="N993" s="3" t="s">
        <v>179</v>
      </c>
      <c r="O993" s="3" t="s">
        <v>103</v>
      </c>
      <c r="P993" s="3" t="s">
        <v>104</v>
      </c>
      <c r="Q993" s="3" t="s">
        <v>39</v>
      </c>
      <c r="R993" s="3" t="s">
        <v>40</v>
      </c>
      <c r="S993" s="55">
        <v>675.8</v>
      </c>
      <c r="T993" s="55">
        <v>248.1147</v>
      </c>
      <c r="U993" s="55">
        <v>48.8337</v>
      </c>
      <c r="V993" s="55">
        <v>427.68529999999998</v>
      </c>
      <c r="W993" s="3">
        <v>37</v>
      </c>
    </row>
    <row r="994" spans="1:23" x14ac:dyDescent="0.35">
      <c r="A994" s="3" t="s">
        <v>483</v>
      </c>
      <c r="B994" s="3" t="s">
        <v>484</v>
      </c>
      <c r="C994" s="3" t="s">
        <v>563</v>
      </c>
      <c r="D994" s="3" t="s">
        <v>175</v>
      </c>
      <c r="E994" s="3" t="s">
        <v>145</v>
      </c>
      <c r="F994" s="3" t="s">
        <v>176</v>
      </c>
      <c r="G994" s="3" t="s">
        <v>177</v>
      </c>
      <c r="H994" s="3" t="s">
        <v>116</v>
      </c>
      <c r="I994" s="3" t="s">
        <v>148</v>
      </c>
      <c r="J994" s="3" t="s">
        <v>149</v>
      </c>
      <c r="K994" s="3" t="s">
        <v>33</v>
      </c>
      <c r="L994" s="3" t="s">
        <v>51</v>
      </c>
      <c r="M994" s="3" t="s">
        <v>178</v>
      </c>
      <c r="N994" s="3" t="s">
        <v>179</v>
      </c>
      <c r="O994" s="3" t="s">
        <v>125</v>
      </c>
      <c r="P994" s="3" t="s">
        <v>126</v>
      </c>
      <c r="Q994" s="3" t="s">
        <v>39</v>
      </c>
      <c r="R994" s="3" t="s">
        <v>40</v>
      </c>
      <c r="S994" s="55">
        <v>185</v>
      </c>
      <c r="T994" s="55">
        <v>185</v>
      </c>
      <c r="U994" s="55">
        <v>185</v>
      </c>
      <c r="V994" s="55">
        <v>0</v>
      </c>
      <c r="W994" s="3">
        <v>100</v>
      </c>
    </row>
    <row r="995" spans="1:23" x14ac:dyDescent="0.35">
      <c r="A995" s="3" t="s">
        <v>483</v>
      </c>
      <c r="B995" s="3" t="s">
        <v>484</v>
      </c>
      <c r="C995" s="3" t="s">
        <v>473</v>
      </c>
      <c r="D995" s="3" t="s">
        <v>175</v>
      </c>
      <c r="E995" s="3" t="s">
        <v>145</v>
      </c>
      <c r="F995" s="3" t="s">
        <v>176</v>
      </c>
      <c r="G995" s="3" t="s">
        <v>177</v>
      </c>
      <c r="H995" s="3" t="s">
        <v>116</v>
      </c>
      <c r="I995" s="3" t="s">
        <v>148</v>
      </c>
      <c r="J995" s="3" t="s">
        <v>149</v>
      </c>
      <c r="K995" s="3" t="s">
        <v>33</v>
      </c>
      <c r="L995" s="3" t="s">
        <v>51</v>
      </c>
      <c r="M995" s="3" t="s">
        <v>474</v>
      </c>
      <c r="N995" s="3" t="s">
        <v>475</v>
      </c>
      <c r="O995" s="3" t="s">
        <v>37</v>
      </c>
      <c r="P995" s="3" t="s">
        <v>38</v>
      </c>
      <c r="Q995" s="3" t="s">
        <v>39</v>
      </c>
      <c r="R995" s="3" t="s">
        <v>40</v>
      </c>
      <c r="S995" s="55">
        <v>3157.5</v>
      </c>
      <c r="T995" s="55">
        <v>0</v>
      </c>
      <c r="U995" s="55">
        <v>0</v>
      </c>
      <c r="V995" s="55">
        <v>3157.5</v>
      </c>
      <c r="W995" s="3">
        <v>0</v>
      </c>
    </row>
    <row r="996" spans="1:23" x14ac:dyDescent="0.35">
      <c r="A996" s="3" t="s">
        <v>483</v>
      </c>
      <c r="B996" s="3" t="s">
        <v>484</v>
      </c>
      <c r="C996" s="3" t="s">
        <v>185</v>
      </c>
      <c r="D996" s="3" t="s">
        <v>186</v>
      </c>
      <c r="E996" s="3" t="s">
        <v>187</v>
      </c>
      <c r="F996" s="3" t="s">
        <v>146</v>
      </c>
      <c r="G996" s="3" t="s">
        <v>188</v>
      </c>
      <c r="H996" s="3" t="s">
        <v>189</v>
      </c>
      <c r="I996" s="3" t="s">
        <v>190</v>
      </c>
      <c r="J996" s="3" t="s">
        <v>191</v>
      </c>
      <c r="K996" s="3" t="s">
        <v>33</v>
      </c>
      <c r="L996" s="3" t="s">
        <v>51</v>
      </c>
      <c r="M996" s="3" t="s">
        <v>192</v>
      </c>
      <c r="N996" s="3" t="s">
        <v>193</v>
      </c>
      <c r="O996" s="3" t="s">
        <v>108</v>
      </c>
      <c r="P996" s="3" t="s">
        <v>109</v>
      </c>
      <c r="Q996" s="3" t="s">
        <v>39</v>
      </c>
      <c r="R996" s="3" t="s">
        <v>40</v>
      </c>
      <c r="S996" s="55">
        <v>4988386</v>
      </c>
      <c r="T996" s="55">
        <v>2412318.9731000001</v>
      </c>
      <c r="U996" s="55">
        <v>512509.46250000002</v>
      </c>
      <c r="V996" s="55">
        <v>2576067.0268999999</v>
      </c>
      <c r="W996" s="3">
        <v>48</v>
      </c>
    </row>
    <row r="997" spans="1:23" x14ac:dyDescent="0.35">
      <c r="A997" s="3" t="s">
        <v>483</v>
      </c>
      <c r="B997" s="3" t="s">
        <v>484</v>
      </c>
      <c r="C997" s="3" t="s">
        <v>508</v>
      </c>
      <c r="D997" s="3" t="s">
        <v>186</v>
      </c>
      <c r="E997" s="3" t="s">
        <v>187</v>
      </c>
      <c r="F997" s="3" t="s">
        <v>146</v>
      </c>
      <c r="G997" s="3" t="s">
        <v>188</v>
      </c>
      <c r="H997" s="3" t="s">
        <v>189</v>
      </c>
      <c r="I997" s="3" t="s">
        <v>190</v>
      </c>
      <c r="J997" s="3" t="s">
        <v>191</v>
      </c>
      <c r="K997" s="3" t="s">
        <v>33</v>
      </c>
      <c r="L997" s="3" t="s">
        <v>51</v>
      </c>
      <c r="M997" s="3" t="s">
        <v>227</v>
      </c>
      <c r="N997" s="3" t="s">
        <v>228</v>
      </c>
      <c r="O997" s="3" t="s">
        <v>197</v>
      </c>
      <c r="P997" s="3" t="s">
        <v>198</v>
      </c>
      <c r="Q997" s="3" t="s">
        <v>39</v>
      </c>
      <c r="R997" s="3" t="s">
        <v>40</v>
      </c>
      <c r="S997" s="55">
        <v>29473.1</v>
      </c>
      <c r="T997" s="55">
        <v>32.4</v>
      </c>
      <c r="U997" s="55">
        <v>0</v>
      </c>
      <c r="V997" s="55">
        <v>29440.7</v>
      </c>
      <c r="W997" s="3">
        <v>0</v>
      </c>
    </row>
    <row r="998" spans="1:23" x14ac:dyDescent="0.35">
      <c r="A998" s="3" t="s">
        <v>483</v>
      </c>
      <c r="B998" s="3" t="s">
        <v>484</v>
      </c>
      <c r="C998" s="3" t="s">
        <v>194</v>
      </c>
      <c r="D998" s="3" t="s">
        <v>186</v>
      </c>
      <c r="E998" s="3" t="s">
        <v>187</v>
      </c>
      <c r="F998" s="3" t="s">
        <v>146</v>
      </c>
      <c r="G998" s="3" t="s">
        <v>188</v>
      </c>
      <c r="H998" s="3" t="s">
        <v>189</v>
      </c>
      <c r="I998" s="3" t="s">
        <v>190</v>
      </c>
      <c r="J998" s="3" t="s">
        <v>191</v>
      </c>
      <c r="K998" s="3" t="s">
        <v>33</v>
      </c>
      <c r="L998" s="3" t="s">
        <v>51</v>
      </c>
      <c r="M998" s="3" t="s">
        <v>195</v>
      </c>
      <c r="N998" s="3" t="s">
        <v>509</v>
      </c>
      <c r="O998" s="3" t="s">
        <v>197</v>
      </c>
      <c r="P998" s="3" t="s">
        <v>198</v>
      </c>
      <c r="Q998" s="3" t="s">
        <v>39</v>
      </c>
      <c r="R998" s="3" t="s">
        <v>40</v>
      </c>
      <c r="S998" s="55">
        <v>34664.6</v>
      </c>
      <c r="T998" s="55">
        <v>15456.0394</v>
      </c>
      <c r="U998" s="55">
        <v>4935.3495000000003</v>
      </c>
      <c r="V998" s="55">
        <v>19208.560600000001</v>
      </c>
      <c r="W998" s="3">
        <v>45</v>
      </c>
    </row>
    <row r="999" spans="1:23" x14ac:dyDescent="0.35">
      <c r="A999" s="3" t="s">
        <v>483</v>
      </c>
      <c r="B999" s="3" t="s">
        <v>484</v>
      </c>
      <c r="C999" s="3" t="s">
        <v>510</v>
      </c>
      <c r="D999" s="3" t="s">
        <v>200</v>
      </c>
      <c r="E999" s="3" t="s">
        <v>187</v>
      </c>
      <c r="F999" s="3" t="s">
        <v>189</v>
      </c>
      <c r="G999" s="3" t="s">
        <v>201</v>
      </c>
      <c r="H999" s="3" t="s">
        <v>189</v>
      </c>
      <c r="I999" s="3" t="s">
        <v>190</v>
      </c>
      <c r="J999" s="3" t="s">
        <v>202</v>
      </c>
      <c r="K999" s="3" t="s">
        <v>23</v>
      </c>
      <c r="L999" s="3" t="s">
        <v>203</v>
      </c>
      <c r="M999" s="3" t="s">
        <v>511</v>
      </c>
      <c r="N999" s="3" t="s">
        <v>205</v>
      </c>
      <c r="O999" s="3" t="s">
        <v>197</v>
      </c>
      <c r="P999" s="3" t="s">
        <v>198</v>
      </c>
      <c r="Q999" s="3" t="s">
        <v>39</v>
      </c>
      <c r="R999" s="3" t="s">
        <v>40</v>
      </c>
      <c r="S999" s="55">
        <v>21148</v>
      </c>
      <c r="T999" s="55">
        <v>14098.5764</v>
      </c>
      <c r="U999" s="55">
        <v>0</v>
      </c>
      <c r="V999" s="55">
        <v>7049.4236000000001</v>
      </c>
      <c r="W999" s="3">
        <v>67</v>
      </c>
    </row>
    <row r="1000" spans="1:23" x14ac:dyDescent="0.35">
      <c r="A1000" s="3" t="s">
        <v>483</v>
      </c>
      <c r="B1000" s="3" t="s">
        <v>484</v>
      </c>
      <c r="C1000" s="3" t="s">
        <v>512</v>
      </c>
      <c r="D1000" s="3" t="s">
        <v>200</v>
      </c>
      <c r="E1000" s="3" t="s">
        <v>187</v>
      </c>
      <c r="F1000" s="3" t="s">
        <v>189</v>
      </c>
      <c r="G1000" s="3" t="s">
        <v>201</v>
      </c>
      <c r="H1000" s="3" t="s">
        <v>189</v>
      </c>
      <c r="I1000" s="3" t="s">
        <v>190</v>
      </c>
      <c r="J1000" s="3" t="s">
        <v>202</v>
      </c>
      <c r="K1000" s="3" t="s">
        <v>23</v>
      </c>
      <c r="L1000" s="3" t="s">
        <v>203</v>
      </c>
      <c r="M1000" s="3" t="s">
        <v>513</v>
      </c>
      <c r="N1000" s="3" t="s">
        <v>514</v>
      </c>
      <c r="O1000" s="3" t="s">
        <v>197</v>
      </c>
      <c r="P1000" s="3" t="s">
        <v>198</v>
      </c>
      <c r="Q1000" s="3" t="s">
        <v>39</v>
      </c>
      <c r="R1000" s="3" t="s">
        <v>40</v>
      </c>
      <c r="S1000" s="55">
        <v>1977.2</v>
      </c>
      <c r="T1000" s="55">
        <v>1819.3683000000001</v>
      </c>
      <c r="U1000" s="55">
        <v>-157.78829999999999</v>
      </c>
      <c r="V1000" s="55">
        <v>157.83170000000001</v>
      </c>
      <c r="W1000" s="3">
        <v>92</v>
      </c>
    </row>
    <row r="1001" spans="1:23" x14ac:dyDescent="0.35">
      <c r="A1001" s="3" t="s">
        <v>483</v>
      </c>
      <c r="B1001" s="3" t="s">
        <v>484</v>
      </c>
      <c r="C1001" s="3" t="s">
        <v>209</v>
      </c>
      <c r="D1001" s="3" t="s">
        <v>200</v>
      </c>
      <c r="E1001" s="3" t="s">
        <v>187</v>
      </c>
      <c r="F1001" s="3" t="s">
        <v>189</v>
      </c>
      <c r="G1001" s="3" t="s">
        <v>201</v>
      </c>
      <c r="H1001" s="3" t="s">
        <v>189</v>
      </c>
      <c r="I1001" s="3" t="s">
        <v>190</v>
      </c>
      <c r="J1001" s="3" t="s">
        <v>191</v>
      </c>
      <c r="K1001" s="3" t="s">
        <v>33</v>
      </c>
      <c r="L1001" s="3" t="s">
        <v>51</v>
      </c>
      <c r="M1001" s="3" t="s">
        <v>210</v>
      </c>
      <c r="N1001" s="3" t="s">
        <v>211</v>
      </c>
      <c r="O1001" s="3" t="s">
        <v>108</v>
      </c>
      <c r="P1001" s="3" t="s">
        <v>109</v>
      </c>
      <c r="Q1001" s="3" t="s">
        <v>39</v>
      </c>
      <c r="R1001" s="3" t="s">
        <v>40</v>
      </c>
      <c r="S1001" s="55">
        <v>4853107.2</v>
      </c>
      <c r="T1001" s="55">
        <v>2675409.2381000002</v>
      </c>
      <c r="U1001" s="55">
        <v>775420.18420000002</v>
      </c>
      <c r="V1001" s="55">
        <v>2177697.9619</v>
      </c>
      <c r="W1001" s="3">
        <v>55</v>
      </c>
    </row>
    <row r="1002" spans="1:23" x14ac:dyDescent="0.35">
      <c r="A1002" s="3" t="s">
        <v>483</v>
      </c>
      <c r="B1002" s="3" t="s">
        <v>484</v>
      </c>
      <c r="C1002" s="3" t="s">
        <v>212</v>
      </c>
      <c r="D1002" s="3" t="s">
        <v>200</v>
      </c>
      <c r="E1002" s="3" t="s">
        <v>187</v>
      </c>
      <c r="F1002" s="3" t="s">
        <v>189</v>
      </c>
      <c r="G1002" s="3" t="s">
        <v>201</v>
      </c>
      <c r="H1002" s="3" t="s">
        <v>189</v>
      </c>
      <c r="I1002" s="3" t="s">
        <v>190</v>
      </c>
      <c r="J1002" s="3" t="s">
        <v>191</v>
      </c>
      <c r="K1002" s="3" t="s">
        <v>33</v>
      </c>
      <c r="L1002" s="3" t="s">
        <v>51</v>
      </c>
      <c r="M1002" s="3" t="s">
        <v>213</v>
      </c>
      <c r="N1002" s="3" t="s">
        <v>214</v>
      </c>
      <c r="O1002" s="3" t="s">
        <v>108</v>
      </c>
      <c r="P1002" s="3" t="s">
        <v>109</v>
      </c>
      <c r="Q1002" s="3" t="s">
        <v>39</v>
      </c>
      <c r="R1002" s="3" t="s">
        <v>40</v>
      </c>
      <c r="S1002" s="55">
        <v>168859</v>
      </c>
      <c r="T1002" s="55">
        <v>82195.7791</v>
      </c>
      <c r="U1002" s="55">
        <v>24334.370699999999</v>
      </c>
      <c r="V1002" s="55">
        <v>86663.2209</v>
      </c>
      <c r="W1002" s="3">
        <v>49</v>
      </c>
    </row>
    <row r="1003" spans="1:23" x14ac:dyDescent="0.35">
      <c r="A1003" s="3" t="s">
        <v>483</v>
      </c>
      <c r="B1003" s="3" t="s">
        <v>484</v>
      </c>
      <c r="C1003" s="3" t="s">
        <v>215</v>
      </c>
      <c r="D1003" s="3" t="s">
        <v>200</v>
      </c>
      <c r="E1003" s="3" t="s">
        <v>187</v>
      </c>
      <c r="F1003" s="3" t="s">
        <v>189</v>
      </c>
      <c r="G1003" s="3" t="s">
        <v>201</v>
      </c>
      <c r="H1003" s="3" t="s">
        <v>189</v>
      </c>
      <c r="I1003" s="3" t="s">
        <v>190</v>
      </c>
      <c r="J1003" s="3" t="s">
        <v>191</v>
      </c>
      <c r="K1003" s="3" t="s">
        <v>33</v>
      </c>
      <c r="L1003" s="3" t="s">
        <v>51</v>
      </c>
      <c r="M1003" s="3" t="s">
        <v>216</v>
      </c>
      <c r="N1003" s="3" t="s">
        <v>217</v>
      </c>
      <c r="O1003" s="3" t="s">
        <v>108</v>
      </c>
      <c r="P1003" s="3" t="s">
        <v>109</v>
      </c>
      <c r="Q1003" s="3" t="s">
        <v>39</v>
      </c>
      <c r="R1003" s="3" t="s">
        <v>40</v>
      </c>
      <c r="S1003" s="55">
        <v>81930.899999999994</v>
      </c>
      <c r="T1003" s="55">
        <v>41762.512600000002</v>
      </c>
      <c r="U1003" s="55">
        <v>10384.143400000001</v>
      </c>
      <c r="V1003" s="55">
        <v>40168.3874</v>
      </c>
      <c r="W1003" s="3">
        <v>51</v>
      </c>
    </row>
    <row r="1004" spans="1:23" x14ac:dyDescent="0.35">
      <c r="A1004" s="3" t="s">
        <v>483</v>
      </c>
      <c r="B1004" s="3" t="s">
        <v>484</v>
      </c>
      <c r="C1004" s="3" t="s">
        <v>218</v>
      </c>
      <c r="D1004" s="3" t="s">
        <v>200</v>
      </c>
      <c r="E1004" s="3" t="s">
        <v>187</v>
      </c>
      <c r="F1004" s="3" t="s">
        <v>189</v>
      </c>
      <c r="G1004" s="3" t="s">
        <v>201</v>
      </c>
      <c r="H1004" s="3" t="s">
        <v>189</v>
      </c>
      <c r="I1004" s="3" t="s">
        <v>190</v>
      </c>
      <c r="J1004" s="3" t="s">
        <v>191</v>
      </c>
      <c r="K1004" s="3" t="s">
        <v>33</v>
      </c>
      <c r="L1004" s="3" t="s">
        <v>51</v>
      </c>
      <c r="M1004" s="3" t="s">
        <v>219</v>
      </c>
      <c r="N1004" s="3" t="s">
        <v>220</v>
      </c>
      <c r="O1004" s="3" t="s">
        <v>221</v>
      </c>
      <c r="P1004" s="3" t="s">
        <v>222</v>
      </c>
      <c r="Q1004" s="3" t="s">
        <v>39</v>
      </c>
      <c r="R1004" s="3" t="s">
        <v>40</v>
      </c>
      <c r="S1004" s="55">
        <v>1102.9000000000001</v>
      </c>
      <c r="T1004" s="55">
        <v>0</v>
      </c>
      <c r="U1004" s="55">
        <v>0</v>
      </c>
      <c r="V1004" s="55">
        <v>1102.9000000000001</v>
      </c>
      <c r="W1004" s="3">
        <v>0</v>
      </c>
    </row>
    <row r="1005" spans="1:23" x14ac:dyDescent="0.35">
      <c r="A1005" s="3" t="s">
        <v>483</v>
      </c>
      <c r="B1005" s="3" t="s">
        <v>484</v>
      </c>
      <c r="C1005" s="3" t="s">
        <v>223</v>
      </c>
      <c r="D1005" s="3" t="s">
        <v>200</v>
      </c>
      <c r="E1005" s="3" t="s">
        <v>187</v>
      </c>
      <c r="F1005" s="3" t="s">
        <v>189</v>
      </c>
      <c r="G1005" s="3" t="s">
        <v>201</v>
      </c>
      <c r="H1005" s="3" t="s">
        <v>189</v>
      </c>
      <c r="I1005" s="3" t="s">
        <v>190</v>
      </c>
      <c r="J1005" s="3" t="s">
        <v>191</v>
      </c>
      <c r="K1005" s="3" t="s">
        <v>33</v>
      </c>
      <c r="L1005" s="3" t="s">
        <v>51</v>
      </c>
      <c r="M1005" s="3" t="s">
        <v>224</v>
      </c>
      <c r="N1005" s="3" t="s">
        <v>564</v>
      </c>
      <c r="O1005" s="3" t="s">
        <v>197</v>
      </c>
      <c r="P1005" s="3" t="s">
        <v>198</v>
      </c>
      <c r="Q1005" s="3" t="s">
        <v>39</v>
      </c>
      <c r="R1005" s="3" t="s">
        <v>40</v>
      </c>
      <c r="S1005" s="55">
        <v>107676.4</v>
      </c>
      <c r="T1005" s="55">
        <v>41297.905299999999</v>
      </c>
      <c r="U1005" s="55">
        <v>13585.1793</v>
      </c>
      <c r="V1005" s="55">
        <v>66378.494699999996</v>
      </c>
      <c r="W1005" s="3">
        <v>38</v>
      </c>
    </row>
    <row r="1006" spans="1:23" x14ac:dyDescent="0.35">
      <c r="A1006" s="3" t="s">
        <v>483</v>
      </c>
      <c r="B1006" s="3" t="s">
        <v>484</v>
      </c>
      <c r="C1006" s="3" t="s">
        <v>432</v>
      </c>
      <c r="D1006" s="3" t="s">
        <v>200</v>
      </c>
      <c r="E1006" s="3" t="s">
        <v>187</v>
      </c>
      <c r="F1006" s="3" t="s">
        <v>189</v>
      </c>
      <c r="G1006" s="3" t="s">
        <v>201</v>
      </c>
      <c r="H1006" s="3" t="s">
        <v>189</v>
      </c>
      <c r="I1006" s="3" t="s">
        <v>190</v>
      </c>
      <c r="J1006" s="3" t="s">
        <v>191</v>
      </c>
      <c r="K1006" s="3" t="s">
        <v>33</v>
      </c>
      <c r="L1006" s="3" t="s">
        <v>51</v>
      </c>
      <c r="M1006" s="3" t="s">
        <v>427</v>
      </c>
      <c r="N1006" s="3" t="s">
        <v>565</v>
      </c>
      <c r="O1006" s="3" t="s">
        <v>197</v>
      </c>
      <c r="P1006" s="3" t="s">
        <v>198</v>
      </c>
      <c r="Q1006" s="3" t="s">
        <v>39</v>
      </c>
      <c r="R1006" s="3" t="s">
        <v>40</v>
      </c>
      <c r="S1006" s="55">
        <v>20000</v>
      </c>
      <c r="T1006" s="55">
        <v>19921.684000000001</v>
      </c>
      <c r="U1006" s="55">
        <v>4163.5838000000003</v>
      </c>
      <c r="V1006" s="55">
        <v>78.316000000000003</v>
      </c>
      <c r="W1006" s="3">
        <v>100</v>
      </c>
    </row>
    <row r="1007" spans="1:23" x14ac:dyDescent="0.35">
      <c r="A1007" s="3" t="s">
        <v>483</v>
      </c>
      <c r="B1007" s="3" t="s">
        <v>484</v>
      </c>
      <c r="C1007" s="3" t="s">
        <v>515</v>
      </c>
      <c r="D1007" s="3" t="s">
        <v>200</v>
      </c>
      <c r="E1007" s="3" t="s">
        <v>187</v>
      </c>
      <c r="F1007" s="3" t="s">
        <v>189</v>
      </c>
      <c r="G1007" s="3" t="s">
        <v>201</v>
      </c>
      <c r="H1007" s="3" t="s">
        <v>189</v>
      </c>
      <c r="I1007" s="3" t="s">
        <v>190</v>
      </c>
      <c r="J1007" s="3" t="s">
        <v>191</v>
      </c>
      <c r="K1007" s="3" t="s">
        <v>33</v>
      </c>
      <c r="L1007" s="3" t="s">
        <v>51</v>
      </c>
      <c r="M1007" s="3" t="s">
        <v>516</v>
      </c>
      <c r="N1007" s="3" t="s">
        <v>517</v>
      </c>
      <c r="O1007" s="3" t="s">
        <v>197</v>
      </c>
      <c r="P1007" s="3" t="s">
        <v>198</v>
      </c>
      <c r="Q1007" s="3" t="s">
        <v>39</v>
      </c>
      <c r="R1007" s="3" t="s">
        <v>40</v>
      </c>
      <c r="S1007" s="55">
        <v>8490.7000000000007</v>
      </c>
      <c r="T1007" s="55">
        <v>0</v>
      </c>
      <c r="U1007" s="55">
        <v>0</v>
      </c>
      <c r="V1007" s="55">
        <v>8490.7000000000007</v>
      </c>
      <c r="W1007" s="3">
        <v>0</v>
      </c>
    </row>
    <row r="1008" spans="1:23" x14ac:dyDescent="0.35">
      <c r="A1008" s="3" t="s">
        <v>483</v>
      </c>
      <c r="B1008" s="3" t="s">
        <v>484</v>
      </c>
      <c r="C1008" s="3" t="s">
        <v>226</v>
      </c>
      <c r="D1008" s="3" t="s">
        <v>200</v>
      </c>
      <c r="E1008" s="3" t="s">
        <v>187</v>
      </c>
      <c r="F1008" s="3" t="s">
        <v>189</v>
      </c>
      <c r="G1008" s="3" t="s">
        <v>201</v>
      </c>
      <c r="H1008" s="3" t="s">
        <v>189</v>
      </c>
      <c r="I1008" s="3" t="s">
        <v>190</v>
      </c>
      <c r="J1008" s="3" t="s">
        <v>191</v>
      </c>
      <c r="K1008" s="3" t="s">
        <v>33</v>
      </c>
      <c r="L1008" s="3" t="s">
        <v>51</v>
      </c>
      <c r="M1008" s="3" t="s">
        <v>227</v>
      </c>
      <c r="N1008" s="3" t="s">
        <v>228</v>
      </c>
      <c r="O1008" s="3" t="s">
        <v>197</v>
      </c>
      <c r="P1008" s="3" t="s">
        <v>198</v>
      </c>
      <c r="Q1008" s="3" t="s">
        <v>39</v>
      </c>
      <c r="R1008" s="3" t="s">
        <v>40</v>
      </c>
      <c r="S1008" s="55">
        <v>127820.2</v>
      </c>
      <c r="T1008" s="55">
        <v>3238.0810000000001</v>
      </c>
      <c r="U1008" s="55">
        <v>1758.8185000000001</v>
      </c>
      <c r="V1008" s="55">
        <v>124582.11900000001</v>
      </c>
      <c r="W1008" s="3">
        <v>3</v>
      </c>
    </row>
    <row r="1009" spans="1:23" x14ac:dyDescent="0.35">
      <c r="A1009" s="3" t="s">
        <v>483</v>
      </c>
      <c r="B1009" s="3" t="s">
        <v>484</v>
      </c>
      <c r="C1009" s="3" t="s">
        <v>229</v>
      </c>
      <c r="D1009" s="3" t="s">
        <v>200</v>
      </c>
      <c r="E1009" s="3" t="s">
        <v>187</v>
      </c>
      <c r="F1009" s="3" t="s">
        <v>189</v>
      </c>
      <c r="G1009" s="3" t="s">
        <v>201</v>
      </c>
      <c r="H1009" s="3" t="s">
        <v>189</v>
      </c>
      <c r="I1009" s="3" t="s">
        <v>190</v>
      </c>
      <c r="J1009" s="3" t="s">
        <v>191</v>
      </c>
      <c r="K1009" s="3" t="s">
        <v>33</v>
      </c>
      <c r="L1009" s="3" t="s">
        <v>51</v>
      </c>
      <c r="M1009" s="3" t="s">
        <v>195</v>
      </c>
      <c r="N1009" s="3" t="s">
        <v>509</v>
      </c>
      <c r="O1009" s="3" t="s">
        <v>197</v>
      </c>
      <c r="P1009" s="3" t="s">
        <v>198</v>
      </c>
      <c r="Q1009" s="3" t="s">
        <v>39</v>
      </c>
      <c r="R1009" s="3" t="s">
        <v>40</v>
      </c>
      <c r="S1009" s="55">
        <v>28422.3</v>
      </c>
      <c r="T1009" s="55">
        <v>12503.258900000001</v>
      </c>
      <c r="U1009" s="55">
        <v>5173.2932000000001</v>
      </c>
      <c r="V1009" s="55">
        <v>15919.0411</v>
      </c>
      <c r="W1009" s="3">
        <v>44</v>
      </c>
    </row>
    <row r="1010" spans="1:23" x14ac:dyDescent="0.35">
      <c r="A1010" s="3" t="s">
        <v>483</v>
      </c>
      <c r="B1010" s="3" t="s">
        <v>484</v>
      </c>
      <c r="C1010" s="3" t="s">
        <v>433</v>
      </c>
      <c r="D1010" s="3" t="s">
        <v>200</v>
      </c>
      <c r="E1010" s="3" t="s">
        <v>187</v>
      </c>
      <c r="F1010" s="3" t="s">
        <v>189</v>
      </c>
      <c r="G1010" s="3" t="s">
        <v>201</v>
      </c>
      <c r="H1010" s="3" t="s">
        <v>189</v>
      </c>
      <c r="I1010" s="3" t="s">
        <v>190</v>
      </c>
      <c r="J1010" s="3" t="s">
        <v>191</v>
      </c>
      <c r="K1010" s="3" t="s">
        <v>33</v>
      </c>
      <c r="L1010" s="3" t="s">
        <v>51</v>
      </c>
      <c r="M1010" s="3" t="s">
        <v>434</v>
      </c>
      <c r="N1010" s="3" t="s">
        <v>435</v>
      </c>
      <c r="O1010" s="3" t="s">
        <v>197</v>
      </c>
      <c r="P1010" s="3" t="s">
        <v>198</v>
      </c>
      <c r="Q1010" s="3" t="s">
        <v>39</v>
      </c>
      <c r="R1010" s="3" t="s">
        <v>40</v>
      </c>
      <c r="S1010" s="55">
        <v>2923.6</v>
      </c>
      <c r="T1010" s="55">
        <v>0</v>
      </c>
      <c r="U1010" s="55">
        <v>0</v>
      </c>
      <c r="V1010" s="55">
        <v>2923.6</v>
      </c>
      <c r="W1010" s="3">
        <v>0</v>
      </c>
    </row>
    <row r="1011" spans="1:23" x14ac:dyDescent="0.35">
      <c r="A1011" s="3" t="s">
        <v>483</v>
      </c>
      <c r="B1011" s="3" t="s">
        <v>484</v>
      </c>
      <c r="C1011" s="3" t="s">
        <v>518</v>
      </c>
      <c r="D1011" s="3" t="s">
        <v>200</v>
      </c>
      <c r="E1011" s="3" t="s">
        <v>187</v>
      </c>
      <c r="F1011" s="3" t="s">
        <v>189</v>
      </c>
      <c r="G1011" s="3" t="s">
        <v>201</v>
      </c>
      <c r="H1011" s="3" t="s">
        <v>189</v>
      </c>
      <c r="I1011" s="3" t="s">
        <v>190</v>
      </c>
      <c r="J1011" s="3" t="s">
        <v>191</v>
      </c>
      <c r="K1011" s="3" t="s">
        <v>33</v>
      </c>
      <c r="L1011" s="3" t="s">
        <v>51</v>
      </c>
      <c r="M1011" s="3" t="s">
        <v>519</v>
      </c>
      <c r="N1011" s="3" t="s">
        <v>208</v>
      </c>
      <c r="O1011" s="3" t="s">
        <v>197</v>
      </c>
      <c r="P1011" s="3" t="s">
        <v>198</v>
      </c>
      <c r="Q1011" s="3" t="s">
        <v>39</v>
      </c>
      <c r="R1011" s="3" t="s">
        <v>40</v>
      </c>
      <c r="S1011" s="55">
        <v>104515.5</v>
      </c>
      <c r="T1011" s="55">
        <v>73036.77</v>
      </c>
      <c r="U1011" s="55">
        <v>32076.93</v>
      </c>
      <c r="V1011" s="55">
        <v>31478.73</v>
      </c>
      <c r="W1011" s="3">
        <v>70</v>
      </c>
    </row>
    <row r="1012" spans="1:23" x14ac:dyDescent="0.35">
      <c r="A1012" s="3" t="s">
        <v>483</v>
      </c>
      <c r="B1012" s="3" t="s">
        <v>484</v>
      </c>
      <c r="C1012" s="3" t="s">
        <v>230</v>
      </c>
      <c r="D1012" s="3" t="s">
        <v>200</v>
      </c>
      <c r="E1012" s="3" t="s">
        <v>187</v>
      </c>
      <c r="F1012" s="3" t="s">
        <v>189</v>
      </c>
      <c r="G1012" s="3" t="s">
        <v>201</v>
      </c>
      <c r="H1012" s="3" t="s">
        <v>28</v>
      </c>
      <c r="I1012" s="3" t="s">
        <v>231</v>
      </c>
      <c r="J1012" s="3" t="s">
        <v>232</v>
      </c>
      <c r="K1012" s="3" t="s">
        <v>33</v>
      </c>
      <c r="L1012" s="3" t="s">
        <v>51</v>
      </c>
      <c r="M1012" s="3" t="s">
        <v>233</v>
      </c>
      <c r="N1012" s="3" t="s">
        <v>234</v>
      </c>
      <c r="O1012" s="3" t="s">
        <v>197</v>
      </c>
      <c r="P1012" s="3" t="s">
        <v>198</v>
      </c>
      <c r="Q1012" s="3" t="s">
        <v>39</v>
      </c>
      <c r="R1012" s="3" t="s">
        <v>40</v>
      </c>
      <c r="S1012" s="55">
        <v>261384</v>
      </c>
      <c r="T1012" s="55">
        <v>167107.717</v>
      </c>
      <c r="U1012" s="55">
        <v>25258.2261</v>
      </c>
      <c r="V1012" s="55">
        <v>94276.282999999996</v>
      </c>
      <c r="W1012" s="3">
        <v>64</v>
      </c>
    </row>
    <row r="1013" spans="1:23" x14ac:dyDescent="0.35">
      <c r="A1013" s="3" t="s">
        <v>483</v>
      </c>
      <c r="B1013" s="3" t="s">
        <v>484</v>
      </c>
      <c r="C1013" s="3" t="s">
        <v>235</v>
      </c>
      <c r="D1013" s="3" t="s">
        <v>200</v>
      </c>
      <c r="E1013" s="3" t="s">
        <v>187</v>
      </c>
      <c r="F1013" s="3" t="s">
        <v>189</v>
      </c>
      <c r="G1013" s="3" t="s">
        <v>201</v>
      </c>
      <c r="H1013" s="3" t="s">
        <v>28</v>
      </c>
      <c r="I1013" s="3" t="s">
        <v>231</v>
      </c>
      <c r="J1013" s="3" t="s">
        <v>232</v>
      </c>
      <c r="K1013" s="3" t="s">
        <v>33</v>
      </c>
      <c r="L1013" s="3" t="s">
        <v>51</v>
      </c>
      <c r="M1013" s="3" t="s">
        <v>236</v>
      </c>
      <c r="N1013" s="3" t="s">
        <v>237</v>
      </c>
      <c r="O1013" s="3" t="s">
        <v>197</v>
      </c>
      <c r="P1013" s="3" t="s">
        <v>198</v>
      </c>
      <c r="Q1013" s="3" t="s">
        <v>39</v>
      </c>
      <c r="R1013" s="3" t="s">
        <v>40</v>
      </c>
      <c r="S1013" s="55">
        <v>179288</v>
      </c>
      <c r="T1013" s="55">
        <v>114042.567</v>
      </c>
      <c r="U1013" s="55">
        <v>25641.026300000001</v>
      </c>
      <c r="V1013" s="55">
        <v>65245.432999999997</v>
      </c>
      <c r="W1013" s="3">
        <v>64</v>
      </c>
    </row>
    <row r="1014" spans="1:23" x14ac:dyDescent="0.35">
      <c r="A1014" s="3" t="s">
        <v>483</v>
      </c>
      <c r="B1014" s="3" t="s">
        <v>484</v>
      </c>
      <c r="C1014" s="3" t="s">
        <v>238</v>
      </c>
      <c r="D1014" s="3" t="s">
        <v>239</v>
      </c>
      <c r="E1014" s="3" t="s">
        <v>187</v>
      </c>
      <c r="F1014" s="3" t="s">
        <v>28</v>
      </c>
      <c r="G1014" s="3" t="s">
        <v>240</v>
      </c>
      <c r="H1014" s="3" t="s">
        <v>189</v>
      </c>
      <c r="I1014" s="3" t="s">
        <v>190</v>
      </c>
      <c r="J1014" s="3" t="s">
        <v>191</v>
      </c>
      <c r="K1014" s="3" t="s">
        <v>33</v>
      </c>
      <c r="L1014" s="3" t="s">
        <v>51</v>
      </c>
      <c r="M1014" s="3" t="s">
        <v>241</v>
      </c>
      <c r="N1014" s="3" t="s">
        <v>242</v>
      </c>
      <c r="O1014" s="3" t="s">
        <v>108</v>
      </c>
      <c r="P1014" s="3" t="s">
        <v>109</v>
      </c>
      <c r="Q1014" s="3" t="s">
        <v>39</v>
      </c>
      <c r="R1014" s="3" t="s">
        <v>40</v>
      </c>
      <c r="S1014" s="55">
        <v>253526.6</v>
      </c>
      <c r="T1014" s="55">
        <v>133248.61079999999</v>
      </c>
      <c r="U1014" s="55">
        <v>32667.701499999999</v>
      </c>
      <c r="V1014" s="55">
        <v>120277.9892</v>
      </c>
      <c r="W1014" s="3">
        <v>53</v>
      </c>
    </row>
    <row r="1015" spans="1:23" x14ac:dyDescent="0.35">
      <c r="A1015" s="3" t="s">
        <v>483</v>
      </c>
      <c r="B1015" s="3" t="s">
        <v>484</v>
      </c>
      <c r="C1015" s="3" t="s">
        <v>520</v>
      </c>
      <c r="D1015" s="3" t="s">
        <v>239</v>
      </c>
      <c r="E1015" s="3" t="s">
        <v>187</v>
      </c>
      <c r="F1015" s="3" t="s">
        <v>28</v>
      </c>
      <c r="G1015" s="3" t="s">
        <v>240</v>
      </c>
      <c r="H1015" s="3" t="s">
        <v>189</v>
      </c>
      <c r="I1015" s="3" t="s">
        <v>190</v>
      </c>
      <c r="J1015" s="3" t="s">
        <v>191</v>
      </c>
      <c r="K1015" s="3" t="s">
        <v>33</v>
      </c>
      <c r="L1015" s="3" t="s">
        <v>51</v>
      </c>
      <c r="M1015" s="3" t="s">
        <v>521</v>
      </c>
      <c r="N1015" s="3" t="s">
        <v>522</v>
      </c>
      <c r="O1015" s="3" t="s">
        <v>523</v>
      </c>
      <c r="P1015" s="3" t="s">
        <v>524</v>
      </c>
      <c r="Q1015" s="3" t="s">
        <v>39</v>
      </c>
      <c r="R1015" s="3" t="s">
        <v>40</v>
      </c>
      <c r="S1015" s="55">
        <v>100</v>
      </c>
      <c r="T1015" s="55">
        <v>0</v>
      </c>
      <c r="U1015" s="55">
        <v>0</v>
      </c>
      <c r="V1015" s="55">
        <v>100</v>
      </c>
      <c r="W1015" s="3">
        <v>0</v>
      </c>
    </row>
    <row r="1016" spans="1:23" x14ac:dyDescent="0.35">
      <c r="A1016" s="3" t="s">
        <v>483</v>
      </c>
      <c r="B1016" s="3" t="s">
        <v>484</v>
      </c>
      <c r="C1016" s="3" t="s">
        <v>525</v>
      </c>
      <c r="D1016" s="3" t="s">
        <v>526</v>
      </c>
      <c r="E1016" s="3" t="s">
        <v>187</v>
      </c>
      <c r="F1016" s="3" t="s">
        <v>176</v>
      </c>
      <c r="G1016" s="3" t="s">
        <v>527</v>
      </c>
      <c r="H1016" s="3" t="s">
        <v>189</v>
      </c>
      <c r="I1016" s="3" t="s">
        <v>190</v>
      </c>
      <c r="J1016" s="3" t="s">
        <v>191</v>
      </c>
      <c r="K1016" s="3" t="s">
        <v>33</v>
      </c>
      <c r="L1016" s="3" t="s">
        <v>51</v>
      </c>
      <c r="M1016" s="3" t="s">
        <v>528</v>
      </c>
      <c r="N1016" s="3" t="s">
        <v>529</v>
      </c>
      <c r="O1016" s="3" t="s">
        <v>197</v>
      </c>
      <c r="P1016" s="3" t="s">
        <v>198</v>
      </c>
      <c r="Q1016" s="3" t="s">
        <v>39</v>
      </c>
      <c r="R1016" s="3" t="s">
        <v>40</v>
      </c>
      <c r="S1016" s="55">
        <v>1003.3</v>
      </c>
      <c r="T1016" s="55">
        <v>474.3972</v>
      </c>
      <c r="U1016" s="55">
        <v>292.62439999999998</v>
      </c>
      <c r="V1016" s="55">
        <v>528.90279999999996</v>
      </c>
      <c r="W1016" s="3">
        <v>47</v>
      </c>
    </row>
    <row r="1017" spans="1:23" x14ac:dyDescent="0.35">
      <c r="A1017" s="3" t="s">
        <v>483</v>
      </c>
      <c r="B1017" s="3" t="s">
        <v>484</v>
      </c>
      <c r="C1017" s="3" t="s">
        <v>243</v>
      </c>
      <c r="D1017" s="3" t="s">
        <v>244</v>
      </c>
      <c r="E1017" s="3" t="s">
        <v>187</v>
      </c>
      <c r="F1017" s="3" t="s">
        <v>245</v>
      </c>
      <c r="G1017" s="3" t="s">
        <v>246</v>
      </c>
      <c r="H1017" s="3" t="s">
        <v>66</v>
      </c>
      <c r="I1017" s="3" t="s">
        <v>67</v>
      </c>
      <c r="J1017" s="3" t="s">
        <v>68</v>
      </c>
      <c r="K1017" s="3" t="s">
        <v>33</v>
      </c>
      <c r="L1017" s="3" t="s">
        <v>51</v>
      </c>
      <c r="M1017" s="3" t="s">
        <v>247</v>
      </c>
      <c r="N1017" s="3" t="s">
        <v>248</v>
      </c>
      <c r="O1017" s="3" t="s">
        <v>108</v>
      </c>
      <c r="P1017" s="3" t="s">
        <v>109</v>
      </c>
      <c r="Q1017" s="3" t="s">
        <v>39</v>
      </c>
      <c r="R1017" s="3" t="s">
        <v>40</v>
      </c>
      <c r="S1017" s="55">
        <v>224582.9</v>
      </c>
      <c r="T1017" s="55">
        <v>89577.6201</v>
      </c>
      <c r="U1017" s="55">
        <v>16500</v>
      </c>
      <c r="V1017" s="55">
        <v>135005.27989999999</v>
      </c>
      <c r="W1017" s="3">
        <v>40</v>
      </c>
    </row>
    <row r="1018" spans="1:23" x14ac:dyDescent="0.35">
      <c r="A1018" s="3" t="s">
        <v>483</v>
      </c>
      <c r="B1018" s="3" t="s">
        <v>484</v>
      </c>
      <c r="C1018" s="3" t="s">
        <v>249</v>
      </c>
      <c r="D1018" s="3" t="s">
        <v>244</v>
      </c>
      <c r="E1018" s="3" t="s">
        <v>187</v>
      </c>
      <c r="F1018" s="3" t="s">
        <v>245</v>
      </c>
      <c r="G1018" s="3" t="s">
        <v>246</v>
      </c>
      <c r="H1018" s="3" t="s">
        <v>66</v>
      </c>
      <c r="I1018" s="3" t="s">
        <v>67</v>
      </c>
      <c r="J1018" s="3" t="s">
        <v>68</v>
      </c>
      <c r="K1018" s="3" t="s">
        <v>33</v>
      </c>
      <c r="L1018" s="3" t="s">
        <v>51</v>
      </c>
      <c r="M1018" s="3" t="s">
        <v>250</v>
      </c>
      <c r="N1018" s="3" t="s">
        <v>251</v>
      </c>
      <c r="O1018" s="3" t="s">
        <v>197</v>
      </c>
      <c r="P1018" s="3" t="s">
        <v>198</v>
      </c>
      <c r="Q1018" s="3" t="s">
        <v>39</v>
      </c>
      <c r="R1018" s="3" t="s">
        <v>40</v>
      </c>
      <c r="S1018" s="55">
        <v>9320.5</v>
      </c>
      <c r="T1018" s="55">
        <v>0</v>
      </c>
      <c r="U1018" s="55">
        <v>0</v>
      </c>
      <c r="V1018" s="55">
        <v>9320.5</v>
      </c>
      <c r="W1018" s="3">
        <v>0</v>
      </c>
    </row>
    <row r="1019" spans="1:23" x14ac:dyDescent="0.35">
      <c r="A1019" s="3" t="s">
        <v>483</v>
      </c>
      <c r="B1019" s="3" t="s">
        <v>484</v>
      </c>
      <c r="C1019" s="3" t="s">
        <v>252</v>
      </c>
      <c r="D1019" s="3" t="s">
        <v>244</v>
      </c>
      <c r="E1019" s="3" t="s">
        <v>187</v>
      </c>
      <c r="F1019" s="3" t="s">
        <v>245</v>
      </c>
      <c r="G1019" s="3" t="s">
        <v>246</v>
      </c>
      <c r="H1019" s="3" t="s">
        <v>66</v>
      </c>
      <c r="I1019" s="3" t="s">
        <v>67</v>
      </c>
      <c r="J1019" s="3" t="s">
        <v>68</v>
      </c>
      <c r="K1019" s="3" t="s">
        <v>33</v>
      </c>
      <c r="L1019" s="3" t="s">
        <v>51</v>
      </c>
      <c r="M1019" s="3" t="s">
        <v>253</v>
      </c>
      <c r="N1019" s="3" t="s">
        <v>254</v>
      </c>
      <c r="O1019" s="3" t="s">
        <v>197</v>
      </c>
      <c r="P1019" s="3" t="s">
        <v>198</v>
      </c>
      <c r="Q1019" s="3" t="s">
        <v>39</v>
      </c>
      <c r="R1019" s="3" t="s">
        <v>40</v>
      </c>
      <c r="S1019" s="55">
        <v>1648.3</v>
      </c>
      <c r="T1019" s="55">
        <v>0</v>
      </c>
      <c r="U1019" s="55">
        <v>0</v>
      </c>
      <c r="V1019" s="55">
        <v>1648.3</v>
      </c>
      <c r="W1019" s="3">
        <v>0</v>
      </c>
    </row>
    <row r="1020" spans="1:23" x14ac:dyDescent="0.35">
      <c r="A1020" s="3" t="s">
        <v>483</v>
      </c>
      <c r="B1020" s="3" t="s">
        <v>484</v>
      </c>
      <c r="C1020" s="3" t="s">
        <v>255</v>
      </c>
      <c r="D1020" s="3" t="s">
        <v>244</v>
      </c>
      <c r="E1020" s="3" t="s">
        <v>187</v>
      </c>
      <c r="F1020" s="3" t="s">
        <v>245</v>
      </c>
      <c r="G1020" s="3" t="s">
        <v>246</v>
      </c>
      <c r="H1020" s="3" t="s">
        <v>66</v>
      </c>
      <c r="I1020" s="3" t="s">
        <v>67</v>
      </c>
      <c r="J1020" s="3" t="s">
        <v>68</v>
      </c>
      <c r="K1020" s="3" t="s">
        <v>33</v>
      </c>
      <c r="L1020" s="3" t="s">
        <v>51</v>
      </c>
      <c r="M1020" s="3" t="s">
        <v>256</v>
      </c>
      <c r="N1020" s="3" t="s">
        <v>257</v>
      </c>
      <c r="O1020" s="3" t="s">
        <v>197</v>
      </c>
      <c r="P1020" s="3" t="s">
        <v>198</v>
      </c>
      <c r="Q1020" s="3" t="s">
        <v>39</v>
      </c>
      <c r="R1020" s="3" t="s">
        <v>40</v>
      </c>
      <c r="S1020" s="55">
        <v>12658.4</v>
      </c>
      <c r="T1020" s="55">
        <v>1943.5233000000001</v>
      </c>
      <c r="U1020" s="55">
        <v>0</v>
      </c>
      <c r="V1020" s="55">
        <v>10714.876700000001</v>
      </c>
      <c r="W1020" s="3">
        <v>15</v>
      </c>
    </row>
    <row r="1021" spans="1:23" x14ac:dyDescent="0.35">
      <c r="A1021" s="3" t="s">
        <v>483</v>
      </c>
      <c r="B1021" s="3" t="s">
        <v>484</v>
      </c>
      <c r="C1021" s="3" t="s">
        <v>566</v>
      </c>
      <c r="D1021" s="3" t="s">
        <v>259</v>
      </c>
      <c r="E1021" s="3" t="s">
        <v>187</v>
      </c>
      <c r="F1021" s="3" t="s">
        <v>116</v>
      </c>
      <c r="G1021" s="3" t="s">
        <v>260</v>
      </c>
      <c r="H1021" s="3" t="s">
        <v>189</v>
      </c>
      <c r="I1021" s="3" t="s">
        <v>190</v>
      </c>
      <c r="J1021" s="3" t="s">
        <v>202</v>
      </c>
      <c r="K1021" s="3" t="s">
        <v>23</v>
      </c>
      <c r="L1021" s="3" t="s">
        <v>203</v>
      </c>
      <c r="M1021" s="3" t="s">
        <v>567</v>
      </c>
      <c r="N1021" s="3" t="s">
        <v>568</v>
      </c>
      <c r="O1021" s="3" t="s">
        <v>197</v>
      </c>
      <c r="P1021" s="3" t="s">
        <v>198</v>
      </c>
      <c r="Q1021" s="3" t="s">
        <v>39</v>
      </c>
      <c r="R1021" s="3" t="s">
        <v>40</v>
      </c>
      <c r="S1021" s="55">
        <v>13914.4</v>
      </c>
      <c r="T1021" s="55">
        <v>13914.3143</v>
      </c>
      <c r="U1021" s="55">
        <v>0</v>
      </c>
      <c r="V1021" s="55">
        <v>8.5699999999999998E-2</v>
      </c>
      <c r="W1021" s="3">
        <v>100</v>
      </c>
    </row>
    <row r="1022" spans="1:23" x14ac:dyDescent="0.35">
      <c r="A1022" s="3" t="s">
        <v>483</v>
      </c>
      <c r="B1022" s="3" t="s">
        <v>484</v>
      </c>
      <c r="C1022" s="3" t="s">
        <v>569</v>
      </c>
      <c r="D1022" s="3" t="s">
        <v>259</v>
      </c>
      <c r="E1022" s="3" t="s">
        <v>187</v>
      </c>
      <c r="F1022" s="3" t="s">
        <v>116</v>
      </c>
      <c r="G1022" s="3" t="s">
        <v>260</v>
      </c>
      <c r="H1022" s="3" t="s">
        <v>189</v>
      </c>
      <c r="I1022" s="3" t="s">
        <v>190</v>
      </c>
      <c r="J1022" s="3" t="s">
        <v>202</v>
      </c>
      <c r="K1022" s="3" t="s">
        <v>23</v>
      </c>
      <c r="L1022" s="3" t="s">
        <v>203</v>
      </c>
      <c r="M1022" s="3" t="s">
        <v>570</v>
      </c>
      <c r="N1022" s="3" t="s">
        <v>568</v>
      </c>
      <c r="O1022" s="3" t="s">
        <v>197</v>
      </c>
      <c r="P1022" s="3" t="s">
        <v>198</v>
      </c>
      <c r="Q1022" s="3" t="s">
        <v>39</v>
      </c>
      <c r="R1022" s="3" t="s">
        <v>40</v>
      </c>
      <c r="S1022" s="55">
        <v>19077.8</v>
      </c>
      <c r="T1022" s="55">
        <v>11399.8732</v>
      </c>
      <c r="U1022" s="55">
        <v>10152.9</v>
      </c>
      <c r="V1022" s="55">
        <v>7677.9268000000002</v>
      </c>
      <c r="W1022" s="3">
        <v>60</v>
      </c>
    </row>
    <row r="1023" spans="1:23" x14ac:dyDescent="0.35">
      <c r="A1023" s="3" t="s">
        <v>483</v>
      </c>
      <c r="B1023" s="3" t="s">
        <v>484</v>
      </c>
      <c r="C1023" s="3" t="s">
        <v>263</v>
      </c>
      <c r="D1023" s="3" t="s">
        <v>259</v>
      </c>
      <c r="E1023" s="3" t="s">
        <v>187</v>
      </c>
      <c r="F1023" s="3" t="s">
        <v>116</v>
      </c>
      <c r="G1023" s="3" t="s">
        <v>260</v>
      </c>
      <c r="H1023" s="3" t="s">
        <v>189</v>
      </c>
      <c r="I1023" s="3" t="s">
        <v>190</v>
      </c>
      <c r="J1023" s="3" t="s">
        <v>191</v>
      </c>
      <c r="K1023" s="3" t="s">
        <v>33</v>
      </c>
      <c r="L1023" s="3" t="s">
        <v>51</v>
      </c>
      <c r="M1023" s="3" t="s">
        <v>264</v>
      </c>
      <c r="N1023" s="3" t="s">
        <v>265</v>
      </c>
      <c r="O1023" s="3" t="s">
        <v>197</v>
      </c>
      <c r="P1023" s="3" t="s">
        <v>198</v>
      </c>
      <c r="Q1023" s="3" t="s">
        <v>39</v>
      </c>
      <c r="R1023" s="3" t="s">
        <v>40</v>
      </c>
      <c r="S1023" s="55">
        <v>1642.6</v>
      </c>
      <c r="T1023" s="55">
        <v>0</v>
      </c>
      <c r="U1023" s="55">
        <v>0</v>
      </c>
      <c r="V1023" s="55">
        <v>1642.6</v>
      </c>
      <c r="W1023" s="3">
        <v>0</v>
      </c>
    </row>
    <row r="1024" spans="1:23" x14ac:dyDescent="0.35">
      <c r="A1024" s="3" t="s">
        <v>483</v>
      </c>
      <c r="B1024" s="3" t="s">
        <v>484</v>
      </c>
      <c r="C1024" s="3" t="s">
        <v>266</v>
      </c>
      <c r="D1024" s="3" t="s">
        <v>259</v>
      </c>
      <c r="E1024" s="3" t="s">
        <v>187</v>
      </c>
      <c r="F1024" s="3" t="s">
        <v>116</v>
      </c>
      <c r="G1024" s="3" t="s">
        <v>260</v>
      </c>
      <c r="H1024" s="3" t="s">
        <v>189</v>
      </c>
      <c r="I1024" s="3" t="s">
        <v>190</v>
      </c>
      <c r="J1024" s="3" t="s">
        <v>191</v>
      </c>
      <c r="K1024" s="3" t="s">
        <v>33</v>
      </c>
      <c r="L1024" s="3" t="s">
        <v>51</v>
      </c>
      <c r="M1024" s="3" t="s">
        <v>267</v>
      </c>
      <c r="N1024" s="3" t="s">
        <v>268</v>
      </c>
      <c r="O1024" s="3" t="s">
        <v>37</v>
      </c>
      <c r="P1024" s="3" t="s">
        <v>38</v>
      </c>
      <c r="Q1024" s="3" t="s">
        <v>39</v>
      </c>
      <c r="R1024" s="3" t="s">
        <v>40</v>
      </c>
      <c r="S1024" s="55">
        <v>92351.4</v>
      </c>
      <c r="T1024" s="55">
        <v>2239.587</v>
      </c>
      <c r="U1024" s="55">
        <v>0</v>
      </c>
      <c r="V1024" s="55">
        <v>90111.812999999995</v>
      </c>
      <c r="W1024" s="3">
        <v>2</v>
      </c>
    </row>
    <row r="1025" spans="1:23" x14ac:dyDescent="0.35">
      <c r="A1025" s="3" t="s">
        <v>483</v>
      </c>
      <c r="B1025" s="3" t="s">
        <v>484</v>
      </c>
      <c r="C1025" s="3" t="s">
        <v>269</v>
      </c>
      <c r="D1025" s="3" t="s">
        <v>259</v>
      </c>
      <c r="E1025" s="3" t="s">
        <v>187</v>
      </c>
      <c r="F1025" s="3" t="s">
        <v>116</v>
      </c>
      <c r="G1025" s="3" t="s">
        <v>260</v>
      </c>
      <c r="H1025" s="3" t="s">
        <v>189</v>
      </c>
      <c r="I1025" s="3" t="s">
        <v>190</v>
      </c>
      <c r="J1025" s="3" t="s">
        <v>191</v>
      </c>
      <c r="K1025" s="3" t="s">
        <v>33</v>
      </c>
      <c r="L1025" s="3" t="s">
        <v>51</v>
      </c>
      <c r="M1025" s="3" t="s">
        <v>267</v>
      </c>
      <c r="N1025" s="3" t="s">
        <v>268</v>
      </c>
      <c r="O1025" s="3" t="s">
        <v>197</v>
      </c>
      <c r="P1025" s="3" t="s">
        <v>198</v>
      </c>
      <c r="Q1025" s="3" t="s">
        <v>39</v>
      </c>
      <c r="R1025" s="3" t="s">
        <v>40</v>
      </c>
      <c r="S1025" s="55">
        <v>14681.8</v>
      </c>
      <c r="T1025" s="55">
        <v>3634.6509999999998</v>
      </c>
      <c r="U1025" s="55">
        <v>3257.9834999999998</v>
      </c>
      <c r="V1025" s="55">
        <v>11047.148999999999</v>
      </c>
      <c r="W1025" s="3">
        <v>25</v>
      </c>
    </row>
    <row r="1026" spans="1:23" x14ac:dyDescent="0.35">
      <c r="A1026" s="3" t="s">
        <v>483</v>
      </c>
      <c r="B1026" s="3" t="s">
        <v>484</v>
      </c>
      <c r="C1026" s="3" t="s">
        <v>270</v>
      </c>
      <c r="D1026" s="3" t="s">
        <v>259</v>
      </c>
      <c r="E1026" s="3" t="s">
        <v>187</v>
      </c>
      <c r="F1026" s="3" t="s">
        <v>116</v>
      </c>
      <c r="G1026" s="3" t="s">
        <v>260</v>
      </c>
      <c r="H1026" s="3" t="s">
        <v>189</v>
      </c>
      <c r="I1026" s="3" t="s">
        <v>190</v>
      </c>
      <c r="J1026" s="3" t="s">
        <v>191</v>
      </c>
      <c r="K1026" s="3" t="s">
        <v>33</v>
      </c>
      <c r="L1026" s="3" t="s">
        <v>51</v>
      </c>
      <c r="M1026" s="3" t="s">
        <v>271</v>
      </c>
      <c r="N1026" s="3" t="s">
        <v>272</v>
      </c>
      <c r="O1026" s="3" t="s">
        <v>108</v>
      </c>
      <c r="P1026" s="3" t="s">
        <v>109</v>
      </c>
      <c r="Q1026" s="3" t="s">
        <v>39</v>
      </c>
      <c r="R1026" s="3" t="s">
        <v>40</v>
      </c>
      <c r="S1026" s="55">
        <v>43320.4</v>
      </c>
      <c r="T1026" s="55">
        <v>23212.595099999999</v>
      </c>
      <c r="U1026" s="55">
        <v>7789.0985000000001</v>
      </c>
      <c r="V1026" s="55">
        <v>20107.804899999999</v>
      </c>
      <c r="W1026" s="3">
        <v>54</v>
      </c>
    </row>
    <row r="1027" spans="1:23" x14ac:dyDescent="0.35">
      <c r="A1027" s="3" t="s">
        <v>483</v>
      </c>
      <c r="B1027" s="3" t="s">
        <v>484</v>
      </c>
      <c r="C1027" s="3" t="s">
        <v>273</v>
      </c>
      <c r="D1027" s="3" t="s">
        <v>259</v>
      </c>
      <c r="E1027" s="3" t="s">
        <v>187</v>
      </c>
      <c r="F1027" s="3" t="s">
        <v>116</v>
      </c>
      <c r="G1027" s="3" t="s">
        <v>260</v>
      </c>
      <c r="H1027" s="3" t="s">
        <v>189</v>
      </c>
      <c r="I1027" s="3" t="s">
        <v>190</v>
      </c>
      <c r="J1027" s="3" t="s">
        <v>191</v>
      </c>
      <c r="K1027" s="3" t="s">
        <v>33</v>
      </c>
      <c r="L1027" s="3" t="s">
        <v>51</v>
      </c>
      <c r="M1027" s="3" t="s">
        <v>274</v>
      </c>
      <c r="N1027" s="3" t="s">
        <v>275</v>
      </c>
      <c r="O1027" s="3" t="s">
        <v>108</v>
      </c>
      <c r="P1027" s="3" t="s">
        <v>109</v>
      </c>
      <c r="Q1027" s="3" t="s">
        <v>39</v>
      </c>
      <c r="R1027" s="3" t="s">
        <v>40</v>
      </c>
      <c r="S1027" s="55">
        <v>59928.7</v>
      </c>
      <c r="T1027" s="55">
        <v>30883.766299999999</v>
      </c>
      <c r="U1027" s="55">
        <v>7430.2488999999996</v>
      </c>
      <c r="V1027" s="55">
        <v>29044.933700000001</v>
      </c>
      <c r="W1027" s="3">
        <v>52</v>
      </c>
    </row>
    <row r="1028" spans="1:23" x14ac:dyDescent="0.35">
      <c r="A1028" s="3" t="s">
        <v>483</v>
      </c>
      <c r="B1028" s="3" t="s">
        <v>484</v>
      </c>
      <c r="C1028" s="3" t="s">
        <v>530</v>
      </c>
      <c r="D1028" s="3" t="s">
        <v>259</v>
      </c>
      <c r="E1028" s="3" t="s">
        <v>187</v>
      </c>
      <c r="F1028" s="3" t="s">
        <v>116</v>
      </c>
      <c r="G1028" s="3" t="s">
        <v>260</v>
      </c>
      <c r="H1028" s="3" t="s">
        <v>189</v>
      </c>
      <c r="I1028" s="3" t="s">
        <v>190</v>
      </c>
      <c r="J1028" s="3" t="s">
        <v>191</v>
      </c>
      <c r="K1028" s="3" t="s">
        <v>33</v>
      </c>
      <c r="L1028" s="3" t="s">
        <v>51</v>
      </c>
      <c r="M1028" s="3" t="s">
        <v>531</v>
      </c>
      <c r="N1028" s="3" t="s">
        <v>532</v>
      </c>
      <c r="O1028" s="3" t="s">
        <v>197</v>
      </c>
      <c r="P1028" s="3" t="s">
        <v>198</v>
      </c>
      <c r="Q1028" s="3" t="s">
        <v>39</v>
      </c>
      <c r="R1028" s="3" t="s">
        <v>40</v>
      </c>
      <c r="S1028" s="55">
        <v>7028.9</v>
      </c>
      <c r="T1028" s="55">
        <v>7027.2</v>
      </c>
      <c r="U1028" s="55">
        <v>331.2</v>
      </c>
      <c r="V1028" s="55">
        <v>1.7</v>
      </c>
      <c r="W1028" s="3">
        <v>100</v>
      </c>
    </row>
    <row r="1029" spans="1:23" x14ac:dyDescent="0.35">
      <c r="A1029" s="3" t="s">
        <v>483</v>
      </c>
      <c r="B1029" s="3" t="s">
        <v>484</v>
      </c>
      <c r="C1029" s="3" t="s">
        <v>460</v>
      </c>
      <c r="D1029" s="3" t="s">
        <v>259</v>
      </c>
      <c r="E1029" s="3" t="s">
        <v>187</v>
      </c>
      <c r="F1029" s="3" t="s">
        <v>116</v>
      </c>
      <c r="G1029" s="3" t="s">
        <v>260</v>
      </c>
      <c r="H1029" s="3" t="s">
        <v>189</v>
      </c>
      <c r="I1029" s="3" t="s">
        <v>190</v>
      </c>
      <c r="J1029" s="3" t="s">
        <v>191</v>
      </c>
      <c r="K1029" s="3" t="s">
        <v>33</v>
      </c>
      <c r="L1029" s="3" t="s">
        <v>51</v>
      </c>
      <c r="M1029" s="3" t="s">
        <v>461</v>
      </c>
      <c r="N1029" s="3" t="s">
        <v>462</v>
      </c>
      <c r="O1029" s="3" t="s">
        <v>197</v>
      </c>
      <c r="P1029" s="3" t="s">
        <v>198</v>
      </c>
      <c r="Q1029" s="3" t="s">
        <v>39</v>
      </c>
      <c r="R1029" s="3" t="s">
        <v>40</v>
      </c>
      <c r="S1029" s="55">
        <v>19787.3</v>
      </c>
      <c r="T1029" s="55">
        <v>1629.3552</v>
      </c>
      <c r="U1029" s="55">
        <v>1629.3552</v>
      </c>
      <c r="V1029" s="55">
        <v>18157.944800000001</v>
      </c>
      <c r="W1029" s="3">
        <v>8</v>
      </c>
    </row>
    <row r="1030" spans="1:23" x14ac:dyDescent="0.35">
      <c r="A1030" s="3" t="s">
        <v>483</v>
      </c>
      <c r="B1030" s="3" t="s">
        <v>484</v>
      </c>
      <c r="C1030" s="3" t="s">
        <v>276</v>
      </c>
      <c r="D1030" s="3" t="s">
        <v>259</v>
      </c>
      <c r="E1030" s="3" t="s">
        <v>187</v>
      </c>
      <c r="F1030" s="3" t="s">
        <v>116</v>
      </c>
      <c r="G1030" s="3" t="s">
        <v>260</v>
      </c>
      <c r="H1030" s="3" t="s">
        <v>189</v>
      </c>
      <c r="I1030" s="3" t="s">
        <v>190</v>
      </c>
      <c r="J1030" s="3" t="s">
        <v>191</v>
      </c>
      <c r="K1030" s="3" t="s">
        <v>33</v>
      </c>
      <c r="L1030" s="3" t="s">
        <v>51</v>
      </c>
      <c r="M1030" s="3" t="s">
        <v>277</v>
      </c>
      <c r="N1030" s="3" t="s">
        <v>533</v>
      </c>
      <c r="O1030" s="3" t="s">
        <v>197</v>
      </c>
      <c r="P1030" s="3" t="s">
        <v>198</v>
      </c>
      <c r="Q1030" s="3" t="s">
        <v>39</v>
      </c>
      <c r="R1030" s="3" t="s">
        <v>40</v>
      </c>
      <c r="S1030" s="55">
        <v>44012.1</v>
      </c>
      <c r="T1030" s="55">
        <v>0</v>
      </c>
      <c r="U1030" s="55">
        <v>0</v>
      </c>
      <c r="V1030" s="55">
        <v>44012.1</v>
      </c>
      <c r="W1030" s="3">
        <v>0</v>
      </c>
    </row>
    <row r="1031" spans="1:23" x14ac:dyDescent="0.35">
      <c r="A1031" s="3" t="s">
        <v>483</v>
      </c>
      <c r="B1031" s="3" t="s">
        <v>484</v>
      </c>
      <c r="C1031" s="3" t="s">
        <v>282</v>
      </c>
      <c r="D1031" s="3" t="s">
        <v>259</v>
      </c>
      <c r="E1031" s="3" t="s">
        <v>187</v>
      </c>
      <c r="F1031" s="3" t="s">
        <v>116</v>
      </c>
      <c r="G1031" s="3" t="s">
        <v>260</v>
      </c>
      <c r="H1031" s="3" t="s">
        <v>66</v>
      </c>
      <c r="I1031" s="3" t="s">
        <v>67</v>
      </c>
      <c r="J1031" s="3" t="s">
        <v>68</v>
      </c>
      <c r="K1031" s="3" t="s">
        <v>33</v>
      </c>
      <c r="L1031" s="3" t="s">
        <v>51</v>
      </c>
      <c r="M1031" s="3" t="s">
        <v>283</v>
      </c>
      <c r="N1031" s="3" t="s">
        <v>284</v>
      </c>
      <c r="O1031" s="3" t="s">
        <v>197</v>
      </c>
      <c r="P1031" s="3" t="s">
        <v>198</v>
      </c>
      <c r="Q1031" s="3" t="s">
        <v>39</v>
      </c>
      <c r="R1031" s="3" t="s">
        <v>40</v>
      </c>
      <c r="S1031" s="55">
        <v>500</v>
      </c>
      <c r="T1031" s="55">
        <v>285</v>
      </c>
      <c r="U1031" s="55">
        <v>0</v>
      </c>
      <c r="V1031" s="55">
        <v>215</v>
      </c>
      <c r="W1031" s="3">
        <v>57</v>
      </c>
    </row>
    <row r="1032" spans="1:23" x14ac:dyDescent="0.35">
      <c r="A1032" s="3" t="s">
        <v>483</v>
      </c>
      <c r="B1032" s="3" t="s">
        <v>484</v>
      </c>
      <c r="C1032" s="3" t="s">
        <v>289</v>
      </c>
      <c r="D1032" s="3" t="s">
        <v>290</v>
      </c>
      <c r="E1032" s="3" t="s">
        <v>291</v>
      </c>
      <c r="F1032" s="3" t="s">
        <v>146</v>
      </c>
      <c r="G1032" s="3" t="s">
        <v>534</v>
      </c>
      <c r="H1032" s="3" t="s">
        <v>293</v>
      </c>
      <c r="I1032" s="3" t="s">
        <v>294</v>
      </c>
      <c r="J1032" s="3" t="s">
        <v>295</v>
      </c>
      <c r="K1032" s="3" t="s">
        <v>33</v>
      </c>
      <c r="L1032" s="3" t="s">
        <v>51</v>
      </c>
      <c r="M1032" s="3" t="s">
        <v>296</v>
      </c>
      <c r="N1032" s="3" t="s">
        <v>535</v>
      </c>
      <c r="O1032" s="3" t="s">
        <v>108</v>
      </c>
      <c r="P1032" s="3" t="s">
        <v>109</v>
      </c>
      <c r="Q1032" s="3" t="s">
        <v>39</v>
      </c>
      <c r="R1032" s="3" t="s">
        <v>40</v>
      </c>
      <c r="S1032" s="55">
        <v>232056</v>
      </c>
      <c r="T1032" s="55">
        <v>124351.2417</v>
      </c>
      <c r="U1032" s="55">
        <v>24038.254799999999</v>
      </c>
      <c r="V1032" s="55">
        <v>107704.7583</v>
      </c>
      <c r="W1032" s="3">
        <v>54</v>
      </c>
    </row>
    <row r="1033" spans="1:23" x14ac:dyDescent="0.35">
      <c r="A1033" s="3" t="s">
        <v>483</v>
      </c>
      <c r="B1033" s="3" t="s">
        <v>484</v>
      </c>
      <c r="C1033" s="3" t="s">
        <v>298</v>
      </c>
      <c r="D1033" s="3" t="s">
        <v>290</v>
      </c>
      <c r="E1033" s="3" t="s">
        <v>291</v>
      </c>
      <c r="F1033" s="3" t="s">
        <v>146</v>
      </c>
      <c r="G1033" s="3" t="s">
        <v>534</v>
      </c>
      <c r="H1033" s="3" t="s">
        <v>293</v>
      </c>
      <c r="I1033" s="3" t="s">
        <v>294</v>
      </c>
      <c r="J1033" s="3" t="s">
        <v>295</v>
      </c>
      <c r="K1033" s="3" t="s">
        <v>33</v>
      </c>
      <c r="L1033" s="3" t="s">
        <v>51</v>
      </c>
      <c r="M1033" s="3" t="s">
        <v>299</v>
      </c>
      <c r="N1033" s="3" t="s">
        <v>536</v>
      </c>
      <c r="O1033" s="3" t="s">
        <v>108</v>
      </c>
      <c r="P1033" s="3" t="s">
        <v>109</v>
      </c>
      <c r="Q1033" s="3" t="s">
        <v>39</v>
      </c>
      <c r="R1033" s="3" t="s">
        <v>40</v>
      </c>
      <c r="S1033" s="55">
        <v>86322.7</v>
      </c>
      <c r="T1033" s="55">
        <v>39693.334999999999</v>
      </c>
      <c r="U1033" s="55">
        <v>8999.3876</v>
      </c>
      <c r="V1033" s="55">
        <v>46629.364999999998</v>
      </c>
      <c r="W1033" s="3">
        <v>46</v>
      </c>
    </row>
    <row r="1034" spans="1:23" x14ac:dyDescent="0.35">
      <c r="A1034" s="3" t="s">
        <v>483</v>
      </c>
      <c r="B1034" s="3" t="s">
        <v>484</v>
      </c>
      <c r="C1034" s="3" t="s">
        <v>301</v>
      </c>
      <c r="D1034" s="3" t="s">
        <v>290</v>
      </c>
      <c r="E1034" s="3" t="s">
        <v>291</v>
      </c>
      <c r="F1034" s="3" t="s">
        <v>146</v>
      </c>
      <c r="G1034" s="3" t="s">
        <v>534</v>
      </c>
      <c r="H1034" s="3" t="s">
        <v>293</v>
      </c>
      <c r="I1034" s="3" t="s">
        <v>294</v>
      </c>
      <c r="J1034" s="3" t="s">
        <v>295</v>
      </c>
      <c r="K1034" s="3" t="s">
        <v>33</v>
      </c>
      <c r="L1034" s="3" t="s">
        <v>51</v>
      </c>
      <c r="M1034" s="3" t="s">
        <v>302</v>
      </c>
      <c r="N1034" s="3" t="s">
        <v>537</v>
      </c>
      <c r="O1034" s="3" t="s">
        <v>108</v>
      </c>
      <c r="P1034" s="3" t="s">
        <v>109</v>
      </c>
      <c r="Q1034" s="3" t="s">
        <v>39</v>
      </c>
      <c r="R1034" s="3" t="s">
        <v>40</v>
      </c>
      <c r="S1034" s="55">
        <v>192328.9</v>
      </c>
      <c r="T1034" s="55">
        <v>86993.201700000005</v>
      </c>
      <c r="U1034" s="55">
        <v>16029.782999999999</v>
      </c>
      <c r="V1034" s="55">
        <v>105335.6983</v>
      </c>
      <c r="W1034" s="3">
        <v>45</v>
      </c>
    </row>
    <row r="1035" spans="1:23" x14ac:dyDescent="0.35">
      <c r="A1035" s="3" t="s">
        <v>483</v>
      </c>
      <c r="B1035" s="3" t="s">
        <v>484</v>
      </c>
      <c r="C1035" s="3" t="s">
        <v>304</v>
      </c>
      <c r="D1035" s="3" t="s">
        <v>290</v>
      </c>
      <c r="E1035" s="3" t="s">
        <v>291</v>
      </c>
      <c r="F1035" s="3" t="s">
        <v>146</v>
      </c>
      <c r="G1035" s="3" t="s">
        <v>534</v>
      </c>
      <c r="H1035" s="3" t="s">
        <v>293</v>
      </c>
      <c r="I1035" s="3" t="s">
        <v>294</v>
      </c>
      <c r="J1035" s="3" t="s">
        <v>295</v>
      </c>
      <c r="K1035" s="3" t="s">
        <v>33</v>
      </c>
      <c r="L1035" s="3" t="s">
        <v>51</v>
      </c>
      <c r="M1035" s="3" t="s">
        <v>305</v>
      </c>
      <c r="N1035" s="3" t="s">
        <v>538</v>
      </c>
      <c r="O1035" s="3" t="s">
        <v>108</v>
      </c>
      <c r="P1035" s="3" t="s">
        <v>109</v>
      </c>
      <c r="Q1035" s="3" t="s">
        <v>39</v>
      </c>
      <c r="R1035" s="3" t="s">
        <v>40</v>
      </c>
      <c r="S1035" s="55">
        <v>73563</v>
      </c>
      <c r="T1035" s="55">
        <v>37153.4539</v>
      </c>
      <c r="U1035" s="55">
        <v>10184.4856</v>
      </c>
      <c r="V1035" s="55">
        <v>36409.5461</v>
      </c>
      <c r="W1035" s="3">
        <v>51</v>
      </c>
    </row>
    <row r="1036" spans="1:23" x14ac:dyDescent="0.35">
      <c r="A1036" s="3" t="s">
        <v>483</v>
      </c>
      <c r="B1036" s="3" t="s">
        <v>484</v>
      </c>
      <c r="C1036" s="3" t="s">
        <v>307</v>
      </c>
      <c r="D1036" s="3" t="s">
        <v>290</v>
      </c>
      <c r="E1036" s="3" t="s">
        <v>291</v>
      </c>
      <c r="F1036" s="3" t="s">
        <v>146</v>
      </c>
      <c r="G1036" s="3" t="s">
        <v>534</v>
      </c>
      <c r="H1036" s="3" t="s">
        <v>293</v>
      </c>
      <c r="I1036" s="3" t="s">
        <v>294</v>
      </c>
      <c r="J1036" s="3" t="s">
        <v>295</v>
      </c>
      <c r="K1036" s="3" t="s">
        <v>33</v>
      </c>
      <c r="L1036" s="3" t="s">
        <v>51</v>
      </c>
      <c r="M1036" s="3" t="s">
        <v>308</v>
      </c>
      <c r="N1036" s="3" t="s">
        <v>309</v>
      </c>
      <c r="O1036" s="3" t="s">
        <v>37</v>
      </c>
      <c r="P1036" s="3" t="s">
        <v>38</v>
      </c>
      <c r="Q1036" s="3" t="s">
        <v>39</v>
      </c>
      <c r="R1036" s="3" t="s">
        <v>40</v>
      </c>
      <c r="S1036" s="55">
        <v>8508.2999999999993</v>
      </c>
      <c r="T1036" s="55">
        <v>2320</v>
      </c>
      <c r="U1036" s="55">
        <v>860</v>
      </c>
      <c r="V1036" s="55">
        <v>6188.3</v>
      </c>
      <c r="W1036" s="3">
        <v>27</v>
      </c>
    </row>
    <row r="1037" spans="1:23" x14ac:dyDescent="0.35">
      <c r="A1037" s="3" t="s">
        <v>483</v>
      </c>
      <c r="B1037" s="3" t="s">
        <v>484</v>
      </c>
      <c r="C1037" s="3" t="s">
        <v>436</v>
      </c>
      <c r="D1037" s="3" t="s">
        <v>290</v>
      </c>
      <c r="E1037" s="3" t="s">
        <v>291</v>
      </c>
      <c r="F1037" s="3" t="s">
        <v>146</v>
      </c>
      <c r="G1037" s="3" t="s">
        <v>534</v>
      </c>
      <c r="H1037" s="3" t="s">
        <v>293</v>
      </c>
      <c r="I1037" s="3" t="s">
        <v>294</v>
      </c>
      <c r="J1037" s="3" t="s">
        <v>295</v>
      </c>
      <c r="K1037" s="3" t="s">
        <v>33</v>
      </c>
      <c r="L1037" s="3" t="s">
        <v>51</v>
      </c>
      <c r="M1037" s="3" t="s">
        <v>308</v>
      </c>
      <c r="N1037" s="3" t="s">
        <v>309</v>
      </c>
      <c r="O1037" s="3" t="s">
        <v>197</v>
      </c>
      <c r="P1037" s="3" t="s">
        <v>198</v>
      </c>
      <c r="Q1037" s="3" t="s">
        <v>39</v>
      </c>
      <c r="R1037" s="3" t="s">
        <v>40</v>
      </c>
      <c r="S1037" s="55">
        <v>3002.4</v>
      </c>
      <c r="T1037" s="55">
        <v>1069.52</v>
      </c>
      <c r="U1037" s="55">
        <v>136.43</v>
      </c>
      <c r="V1037" s="55">
        <v>1932.88</v>
      </c>
      <c r="W1037" s="3">
        <v>36</v>
      </c>
    </row>
    <row r="1038" spans="1:23" x14ac:dyDescent="0.35">
      <c r="A1038" s="3" t="s">
        <v>483</v>
      </c>
      <c r="B1038" s="3" t="s">
        <v>484</v>
      </c>
      <c r="C1038" s="3" t="s">
        <v>310</v>
      </c>
      <c r="D1038" s="3" t="s">
        <v>290</v>
      </c>
      <c r="E1038" s="3" t="s">
        <v>291</v>
      </c>
      <c r="F1038" s="3" t="s">
        <v>146</v>
      </c>
      <c r="G1038" s="3" t="s">
        <v>534</v>
      </c>
      <c r="H1038" s="3" t="s">
        <v>293</v>
      </c>
      <c r="I1038" s="3" t="s">
        <v>294</v>
      </c>
      <c r="J1038" s="3" t="s">
        <v>295</v>
      </c>
      <c r="K1038" s="3" t="s">
        <v>33</v>
      </c>
      <c r="L1038" s="3" t="s">
        <v>51</v>
      </c>
      <c r="M1038" s="3" t="s">
        <v>311</v>
      </c>
      <c r="N1038" s="3" t="s">
        <v>312</v>
      </c>
      <c r="O1038" s="3" t="s">
        <v>197</v>
      </c>
      <c r="P1038" s="3" t="s">
        <v>198</v>
      </c>
      <c r="Q1038" s="3" t="s">
        <v>39</v>
      </c>
      <c r="R1038" s="3" t="s">
        <v>40</v>
      </c>
      <c r="S1038" s="55">
        <v>40101.9</v>
      </c>
      <c r="T1038" s="55">
        <v>12161.004300000001</v>
      </c>
      <c r="U1038" s="55">
        <v>1900.4091000000001</v>
      </c>
      <c r="V1038" s="55">
        <v>27940.895700000001</v>
      </c>
      <c r="W1038" s="3">
        <v>30</v>
      </c>
    </row>
    <row r="1039" spans="1:23" x14ac:dyDescent="0.35">
      <c r="A1039" s="3" t="s">
        <v>483</v>
      </c>
      <c r="B1039" s="3" t="s">
        <v>484</v>
      </c>
      <c r="C1039" s="3" t="s">
        <v>313</v>
      </c>
      <c r="D1039" s="3" t="s">
        <v>290</v>
      </c>
      <c r="E1039" s="3" t="s">
        <v>291</v>
      </c>
      <c r="F1039" s="3" t="s">
        <v>146</v>
      </c>
      <c r="G1039" s="3" t="s">
        <v>534</v>
      </c>
      <c r="H1039" s="3" t="s">
        <v>293</v>
      </c>
      <c r="I1039" s="3" t="s">
        <v>294</v>
      </c>
      <c r="J1039" s="3" t="s">
        <v>295</v>
      </c>
      <c r="K1039" s="3" t="s">
        <v>33</v>
      </c>
      <c r="L1039" s="3" t="s">
        <v>51</v>
      </c>
      <c r="M1039" s="3" t="s">
        <v>314</v>
      </c>
      <c r="N1039" s="3" t="s">
        <v>315</v>
      </c>
      <c r="O1039" s="3" t="s">
        <v>197</v>
      </c>
      <c r="P1039" s="3" t="s">
        <v>198</v>
      </c>
      <c r="Q1039" s="3" t="s">
        <v>39</v>
      </c>
      <c r="R1039" s="3" t="s">
        <v>40</v>
      </c>
      <c r="S1039" s="55">
        <v>712.6</v>
      </c>
      <c r="T1039" s="55">
        <v>0</v>
      </c>
      <c r="U1039" s="55">
        <v>0</v>
      </c>
      <c r="V1039" s="55">
        <v>712.6</v>
      </c>
      <c r="W1039" s="3">
        <v>0</v>
      </c>
    </row>
    <row r="1040" spans="1:23" x14ac:dyDescent="0.35">
      <c r="A1040" s="3" t="s">
        <v>483</v>
      </c>
      <c r="B1040" s="3" t="s">
        <v>484</v>
      </c>
      <c r="C1040" s="3" t="s">
        <v>539</v>
      </c>
      <c r="D1040" s="3" t="s">
        <v>290</v>
      </c>
      <c r="E1040" s="3" t="s">
        <v>291</v>
      </c>
      <c r="F1040" s="3" t="s">
        <v>146</v>
      </c>
      <c r="G1040" s="3" t="s">
        <v>534</v>
      </c>
      <c r="H1040" s="3" t="s">
        <v>293</v>
      </c>
      <c r="I1040" s="3" t="s">
        <v>294</v>
      </c>
      <c r="J1040" s="3" t="s">
        <v>295</v>
      </c>
      <c r="K1040" s="3" t="s">
        <v>33</v>
      </c>
      <c r="L1040" s="3" t="s">
        <v>51</v>
      </c>
      <c r="M1040" s="3" t="s">
        <v>540</v>
      </c>
      <c r="N1040" s="3" t="s">
        <v>541</v>
      </c>
      <c r="O1040" s="3" t="s">
        <v>197</v>
      </c>
      <c r="P1040" s="3" t="s">
        <v>198</v>
      </c>
      <c r="Q1040" s="3" t="s">
        <v>39</v>
      </c>
      <c r="R1040" s="3" t="s">
        <v>40</v>
      </c>
      <c r="S1040" s="55">
        <v>30745.7</v>
      </c>
      <c r="T1040" s="55">
        <v>11838.8542</v>
      </c>
      <c r="U1040" s="55">
        <v>10739.8817</v>
      </c>
      <c r="V1040" s="55">
        <v>18906.845799999999</v>
      </c>
      <c r="W1040" s="3">
        <v>39</v>
      </c>
    </row>
    <row r="1041" spans="1:23" x14ac:dyDescent="0.35">
      <c r="A1041" s="3" t="s">
        <v>483</v>
      </c>
      <c r="B1041" s="3" t="s">
        <v>484</v>
      </c>
      <c r="C1041" s="3" t="s">
        <v>322</v>
      </c>
      <c r="D1041" s="3" t="s">
        <v>317</v>
      </c>
      <c r="E1041" s="3" t="s">
        <v>291</v>
      </c>
      <c r="F1041" s="3" t="s">
        <v>318</v>
      </c>
      <c r="G1041" s="3" t="s">
        <v>319</v>
      </c>
      <c r="H1041" s="3" t="s">
        <v>293</v>
      </c>
      <c r="I1041" s="3" t="s">
        <v>294</v>
      </c>
      <c r="J1041" s="3" t="s">
        <v>295</v>
      </c>
      <c r="K1041" s="3" t="s">
        <v>33</v>
      </c>
      <c r="L1041" s="3" t="s">
        <v>51</v>
      </c>
      <c r="M1041" s="3" t="s">
        <v>323</v>
      </c>
      <c r="N1041" s="3" t="s">
        <v>324</v>
      </c>
      <c r="O1041" s="3" t="s">
        <v>197</v>
      </c>
      <c r="P1041" s="3" t="s">
        <v>198</v>
      </c>
      <c r="Q1041" s="3" t="s">
        <v>39</v>
      </c>
      <c r="R1041" s="3" t="s">
        <v>40</v>
      </c>
      <c r="S1041" s="55">
        <v>12448.4</v>
      </c>
      <c r="T1041" s="55">
        <v>3061.3195999999998</v>
      </c>
      <c r="U1041" s="55">
        <v>0</v>
      </c>
      <c r="V1041" s="55">
        <v>9387.0804000000007</v>
      </c>
      <c r="W1041" s="3">
        <v>25</v>
      </c>
    </row>
    <row r="1042" spans="1:23" x14ac:dyDescent="0.35">
      <c r="A1042" s="3" t="s">
        <v>483</v>
      </c>
      <c r="B1042" s="3" t="s">
        <v>484</v>
      </c>
      <c r="C1042" s="3" t="s">
        <v>325</v>
      </c>
      <c r="D1042" s="3" t="s">
        <v>326</v>
      </c>
      <c r="E1042" s="3" t="s">
        <v>327</v>
      </c>
      <c r="F1042" s="3" t="s">
        <v>189</v>
      </c>
      <c r="G1042" s="3" t="s">
        <v>328</v>
      </c>
      <c r="H1042" s="3" t="s">
        <v>146</v>
      </c>
      <c r="I1042" s="3" t="s">
        <v>329</v>
      </c>
      <c r="J1042" s="3" t="s">
        <v>330</v>
      </c>
      <c r="K1042" s="3" t="s">
        <v>33</v>
      </c>
      <c r="L1042" s="3" t="s">
        <v>51</v>
      </c>
      <c r="M1042" s="3" t="s">
        <v>331</v>
      </c>
      <c r="N1042" s="3" t="s">
        <v>332</v>
      </c>
      <c r="O1042" s="3" t="s">
        <v>108</v>
      </c>
      <c r="P1042" s="3" t="s">
        <v>109</v>
      </c>
      <c r="Q1042" s="3" t="s">
        <v>39</v>
      </c>
      <c r="R1042" s="3" t="s">
        <v>40</v>
      </c>
      <c r="S1042" s="55">
        <v>607335</v>
      </c>
      <c r="T1042" s="55">
        <v>274113.77299999999</v>
      </c>
      <c r="U1042" s="55">
        <v>62319.213100000001</v>
      </c>
      <c r="V1042" s="55">
        <v>333221.22700000001</v>
      </c>
      <c r="W1042" s="3">
        <v>45</v>
      </c>
    </row>
    <row r="1043" spans="1:23" x14ac:dyDescent="0.35">
      <c r="A1043" s="3" t="s">
        <v>483</v>
      </c>
      <c r="B1043" s="3" t="s">
        <v>484</v>
      </c>
      <c r="C1043" s="3" t="s">
        <v>333</v>
      </c>
      <c r="D1043" s="3" t="s">
        <v>326</v>
      </c>
      <c r="E1043" s="3" t="s">
        <v>327</v>
      </c>
      <c r="F1043" s="3" t="s">
        <v>189</v>
      </c>
      <c r="G1043" s="3" t="s">
        <v>328</v>
      </c>
      <c r="H1043" s="3" t="s">
        <v>146</v>
      </c>
      <c r="I1043" s="3" t="s">
        <v>329</v>
      </c>
      <c r="J1043" s="3" t="s">
        <v>330</v>
      </c>
      <c r="K1043" s="3" t="s">
        <v>33</v>
      </c>
      <c r="L1043" s="3" t="s">
        <v>51</v>
      </c>
      <c r="M1043" s="3" t="s">
        <v>331</v>
      </c>
      <c r="N1043" s="3" t="s">
        <v>332</v>
      </c>
      <c r="O1043" s="3" t="s">
        <v>334</v>
      </c>
      <c r="P1043" s="3" t="s">
        <v>335</v>
      </c>
      <c r="Q1043" s="3" t="s">
        <v>39</v>
      </c>
      <c r="R1043" s="3" t="s">
        <v>40</v>
      </c>
      <c r="S1043" s="55">
        <v>5154.6000000000004</v>
      </c>
      <c r="T1043" s="55">
        <v>2014.4975999999999</v>
      </c>
      <c r="U1043" s="55">
        <v>237.6994</v>
      </c>
      <c r="V1043" s="55">
        <v>3140.1024000000002</v>
      </c>
      <c r="W1043" s="3">
        <v>39</v>
      </c>
    </row>
    <row r="1044" spans="1:23" x14ac:dyDescent="0.35">
      <c r="A1044" s="3" t="s">
        <v>483</v>
      </c>
      <c r="B1044" s="3" t="s">
        <v>484</v>
      </c>
      <c r="C1044" s="3" t="s">
        <v>542</v>
      </c>
      <c r="D1044" s="3" t="s">
        <v>337</v>
      </c>
      <c r="E1044" s="3" t="s">
        <v>327</v>
      </c>
      <c r="F1044" s="3" t="s">
        <v>116</v>
      </c>
      <c r="G1044" s="3" t="s">
        <v>338</v>
      </c>
      <c r="H1044" s="3" t="s">
        <v>146</v>
      </c>
      <c r="I1044" s="3" t="s">
        <v>329</v>
      </c>
      <c r="J1044" s="3" t="s">
        <v>339</v>
      </c>
      <c r="K1044" s="3" t="s">
        <v>23</v>
      </c>
      <c r="L1044" s="3" t="s">
        <v>203</v>
      </c>
      <c r="M1044" s="3" t="s">
        <v>543</v>
      </c>
      <c r="N1044" s="3" t="s">
        <v>341</v>
      </c>
      <c r="O1044" s="3" t="s">
        <v>197</v>
      </c>
      <c r="P1044" s="3" t="s">
        <v>198</v>
      </c>
      <c r="Q1044" s="3" t="s">
        <v>39</v>
      </c>
      <c r="R1044" s="3" t="s">
        <v>40</v>
      </c>
      <c r="S1044" s="55">
        <v>79182.8</v>
      </c>
      <c r="T1044" s="55">
        <v>68566.592399999994</v>
      </c>
      <c r="U1044" s="55">
        <v>0</v>
      </c>
      <c r="V1044" s="55">
        <v>10616.2076</v>
      </c>
      <c r="W1044" s="3">
        <v>87</v>
      </c>
    </row>
    <row r="1045" spans="1:23" x14ac:dyDescent="0.35">
      <c r="A1045" s="3" t="s">
        <v>483</v>
      </c>
      <c r="B1045" s="3" t="s">
        <v>484</v>
      </c>
      <c r="C1045" s="3" t="s">
        <v>544</v>
      </c>
      <c r="D1045" s="3" t="s">
        <v>337</v>
      </c>
      <c r="E1045" s="3" t="s">
        <v>327</v>
      </c>
      <c r="F1045" s="3" t="s">
        <v>116</v>
      </c>
      <c r="G1045" s="3" t="s">
        <v>338</v>
      </c>
      <c r="H1045" s="3" t="s">
        <v>146</v>
      </c>
      <c r="I1045" s="3" t="s">
        <v>329</v>
      </c>
      <c r="J1045" s="3" t="s">
        <v>339</v>
      </c>
      <c r="K1045" s="3" t="s">
        <v>23</v>
      </c>
      <c r="L1045" s="3" t="s">
        <v>203</v>
      </c>
      <c r="M1045" s="3" t="s">
        <v>545</v>
      </c>
      <c r="N1045" s="3" t="s">
        <v>359</v>
      </c>
      <c r="O1045" s="3" t="s">
        <v>197</v>
      </c>
      <c r="P1045" s="3" t="s">
        <v>198</v>
      </c>
      <c r="Q1045" s="3" t="s">
        <v>39</v>
      </c>
      <c r="R1045" s="3" t="s">
        <v>40</v>
      </c>
      <c r="S1045" s="55">
        <v>50.1</v>
      </c>
      <c r="T1045" s="55">
        <v>50.1</v>
      </c>
      <c r="U1045" s="55">
        <v>0</v>
      </c>
      <c r="V1045" s="55">
        <v>0</v>
      </c>
      <c r="W1045" s="3">
        <v>100</v>
      </c>
    </row>
    <row r="1046" spans="1:23" x14ac:dyDescent="0.35">
      <c r="A1046" s="3" t="s">
        <v>483</v>
      </c>
      <c r="B1046" s="3" t="s">
        <v>484</v>
      </c>
      <c r="C1046" s="3" t="s">
        <v>437</v>
      </c>
      <c r="D1046" s="3" t="s">
        <v>337</v>
      </c>
      <c r="E1046" s="3" t="s">
        <v>327</v>
      </c>
      <c r="F1046" s="3" t="s">
        <v>116</v>
      </c>
      <c r="G1046" s="3" t="s">
        <v>338</v>
      </c>
      <c r="H1046" s="3" t="s">
        <v>146</v>
      </c>
      <c r="I1046" s="3" t="s">
        <v>329</v>
      </c>
      <c r="J1046" s="3" t="s">
        <v>330</v>
      </c>
      <c r="K1046" s="3" t="s">
        <v>33</v>
      </c>
      <c r="L1046" s="3" t="s">
        <v>51</v>
      </c>
      <c r="M1046" s="3" t="s">
        <v>438</v>
      </c>
      <c r="N1046" s="3" t="s">
        <v>439</v>
      </c>
      <c r="O1046" s="3" t="s">
        <v>197</v>
      </c>
      <c r="P1046" s="3" t="s">
        <v>198</v>
      </c>
      <c r="Q1046" s="3" t="s">
        <v>39</v>
      </c>
      <c r="R1046" s="3" t="s">
        <v>40</v>
      </c>
      <c r="S1046" s="55">
        <v>35585.699999999997</v>
      </c>
      <c r="T1046" s="55">
        <v>15407.541300000001</v>
      </c>
      <c r="U1046" s="55">
        <v>2376.0859999999998</v>
      </c>
      <c r="V1046" s="55">
        <v>20178.1587</v>
      </c>
      <c r="W1046" s="3">
        <v>43</v>
      </c>
    </row>
    <row r="1047" spans="1:23" x14ac:dyDescent="0.35">
      <c r="A1047" s="3" t="s">
        <v>483</v>
      </c>
      <c r="B1047" s="3" t="s">
        <v>484</v>
      </c>
      <c r="C1047" s="3" t="s">
        <v>342</v>
      </c>
      <c r="D1047" s="3" t="s">
        <v>337</v>
      </c>
      <c r="E1047" s="3" t="s">
        <v>327</v>
      </c>
      <c r="F1047" s="3" t="s">
        <v>116</v>
      </c>
      <c r="G1047" s="3" t="s">
        <v>338</v>
      </c>
      <c r="H1047" s="3" t="s">
        <v>146</v>
      </c>
      <c r="I1047" s="3" t="s">
        <v>329</v>
      </c>
      <c r="J1047" s="3" t="s">
        <v>330</v>
      </c>
      <c r="K1047" s="3" t="s">
        <v>33</v>
      </c>
      <c r="L1047" s="3" t="s">
        <v>51</v>
      </c>
      <c r="M1047" s="3" t="s">
        <v>343</v>
      </c>
      <c r="N1047" s="3" t="s">
        <v>344</v>
      </c>
      <c r="O1047" s="3" t="s">
        <v>37</v>
      </c>
      <c r="P1047" s="3" t="s">
        <v>38</v>
      </c>
      <c r="Q1047" s="3" t="s">
        <v>39</v>
      </c>
      <c r="R1047" s="3" t="s">
        <v>40</v>
      </c>
      <c r="S1047" s="55">
        <v>46.1</v>
      </c>
      <c r="T1047" s="55">
        <v>0</v>
      </c>
      <c r="U1047" s="55">
        <v>0</v>
      </c>
      <c r="V1047" s="55">
        <v>46.1</v>
      </c>
      <c r="W1047" s="3">
        <v>0</v>
      </c>
    </row>
    <row r="1048" spans="1:23" x14ac:dyDescent="0.35">
      <c r="A1048" s="3" t="s">
        <v>483</v>
      </c>
      <c r="B1048" s="3" t="s">
        <v>484</v>
      </c>
      <c r="C1048" s="3" t="s">
        <v>345</v>
      </c>
      <c r="D1048" s="3" t="s">
        <v>337</v>
      </c>
      <c r="E1048" s="3" t="s">
        <v>327</v>
      </c>
      <c r="F1048" s="3" t="s">
        <v>116</v>
      </c>
      <c r="G1048" s="3" t="s">
        <v>338</v>
      </c>
      <c r="H1048" s="3" t="s">
        <v>146</v>
      </c>
      <c r="I1048" s="3" t="s">
        <v>329</v>
      </c>
      <c r="J1048" s="3" t="s">
        <v>330</v>
      </c>
      <c r="K1048" s="3" t="s">
        <v>33</v>
      </c>
      <c r="L1048" s="3" t="s">
        <v>51</v>
      </c>
      <c r="M1048" s="3" t="s">
        <v>346</v>
      </c>
      <c r="N1048" s="3" t="s">
        <v>347</v>
      </c>
      <c r="O1048" s="3" t="s">
        <v>197</v>
      </c>
      <c r="P1048" s="3" t="s">
        <v>198</v>
      </c>
      <c r="Q1048" s="3" t="s">
        <v>39</v>
      </c>
      <c r="R1048" s="3" t="s">
        <v>40</v>
      </c>
      <c r="S1048" s="55">
        <v>98282.8</v>
      </c>
      <c r="T1048" s="55">
        <v>0</v>
      </c>
      <c r="U1048" s="55">
        <v>0</v>
      </c>
      <c r="V1048" s="55">
        <v>98282.8</v>
      </c>
      <c r="W1048" s="3">
        <v>0</v>
      </c>
    </row>
    <row r="1049" spans="1:23" x14ac:dyDescent="0.35">
      <c r="A1049" s="3" t="s">
        <v>483</v>
      </c>
      <c r="B1049" s="3" t="s">
        <v>484</v>
      </c>
      <c r="C1049" s="3" t="s">
        <v>489</v>
      </c>
      <c r="D1049" s="3" t="s">
        <v>337</v>
      </c>
      <c r="E1049" s="3" t="s">
        <v>327</v>
      </c>
      <c r="F1049" s="3" t="s">
        <v>116</v>
      </c>
      <c r="G1049" s="3" t="s">
        <v>338</v>
      </c>
      <c r="H1049" s="3" t="s">
        <v>146</v>
      </c>
      <c r="I1049" s="3" t="s">
        <v>329</v>
      </c>
      <c r="J1049" s="3" t="s">
        <v>330</v>
      </c>
      <c r="K1049" s="3" t="s">
        <v>33</v>
      </c>
      <c r="L1049" s="3" t="s">
        <v>51</v>
      </c>
      <c r="M1049" s="3" t="s">
        <v>490</v>
      </c>
      <c r="N1049" s="3" t="s">
        <v>491</v>
      </c>
      <c r="O1049" s="3" t="s">
        <v>197</v>
      </c>
      <c r="P1049" s="3" t="s">
        <v>198</v>
      </c>
      <c r="Q1049" s="3" t="s">
        <v>39</v>
      </c>
      <c r="R1049" s="3" t="s">
        <v>40</v>
      </c>
      <c r="S1049" s="55">
        <v>14237.2</v>
      </c>
      <c r="T1049" s="55">
        <v>0</v>
      </c>
      <c r="U1049" s="55">
        <v>0</v>
      </c>
      <c r="V1049" s="55">
        <v>14237.2</v>
      </c>
      <c r="W1049" s="3">
        <v>0</v>
      </c>
    </row>
    <row r="1050" spans="1:23" x14ac:dyDescent="0.35">
      <c r="A1050" s="3" t="s">
        <v>483</v>
      </c>
      <c r="B1050" s="3" t="s">
        <v>484</v>
      </c>
      <c r="C1050" s="3" t="s">
        <v>348</v>
      </c>
      <c r="D1050" s="3" t="s">
        <v>337</v>
      </c>
      <c r="E1050" s="3" t="s">
        <v>327</v>
      </c>
      <c r="F1050" s="3" t="s">
        <v>116</v>
      </c>
      <c r="G1050" s="3" t="s">
        <v>338</v>
      </c>
      <c r="H1050" s="3" t="s">
        <v>146</v>
      </c>
      <c r="I1050" s="3" t="s">
        <v>329</v>
      </c>
      <c r="J1050" s="3" t="s">
        <v>330</v>
      </c>
      <c r="K1050" s="3" t="s">
        <v>33</v>
      </c>
      <c r="L1050" s="3" t="s">
        <v>51</v>
      </c>
      <c r="M1050" s="3" t="s">
        <v>349</v>
      </c>
      <c r="N1050" s="3" t="s">
        <v>350</v>
      </c>
      <c r="O1050" s="3" t="s">
        <v>197</v>
      </c>
      <c r="P1050" s="3" t="s">
        <v>198</v>
      </c>
      <c r="Q1050" s="3" t="s">
        <v>39</v>
      </c>
      <c r="R1050" s="3" t="s">
        <v>40</v>
      </c>
      <c r="S1050" s="55">
        <v>100</v>
      </c>
      <c r="T1050" s="55">
        <v>0</v>
      </c>
      <c r="U1050" s="55">
        <v>0</v>
      </c>
      <c r="V1050" s="55">
        <v>100</v>
      </c>
      <c r="W1050" s="3">
        <v>0</v>
      </c>
    </row>
    <row r="1051" spans="1:23" x14ac:dyDescent="0.35">
      <c r="A1051" s="3" t="s">
        <v>483</v>
      </c>
      <c r="B1051" s="3" t="s">
        <v>484</v>
      </c>
      <c r="C1051" s="3" t="s">
        <v>546</v>
      </c>
      <c r="D1051" s="3" t="s">
        <v>337</v>
      </c>
      <c r="E1051" s="3" t="s">
        <v>327</v>
      </c>
      <c r="F1051" s="3" t="s">
        <v>116</v>
      </c>
      <c r="G1051" s="3" t="s">
        <v>338</v>
      </c>
      <c r="H1051" s="3" t="s">
        <v>146</v>
      </c>
      <c r="I1051" s="3" t="s">
        <v>329</v>
      </c>
      <c r="J1051" s="3" t="s">
        <v>330</v>
      </c>
      <c r="K1051" s="3" t="s">
        <v>33</v>
      </c>
      <c r="L1051" s="3" t="s">
        <v>51</v>
      </c>
      <c r="M1051" s="3" t="s">
        <v>547</v>
      </c>
      <c r="N1051" s="3" t="s">
        <v>548</v>
      </c>
      <c r="O1051" s="3" t="s">
        <v>197</v>
      </c>
      <c r="P1051" s="3" t="s">
        <v>198</v>
      </c>
      <c r="Q1051" s="3" t="s">
        <v>39</v>
      </c>
      <c r="R1051" s="3" t="s">
        <v>40</v>
      </c>
      <c r="S1051" s="55">
        <v>15384.9</v>
      </c>
      <c r="T1051" s="55">
        <v>0</v>
      </c>
      <c r="U1051" s="55">
        <v>0</v>
      </c>
      <c r="V1051" s="55">
        <v>15384.9</v>
      </c>
      <c r="W1051" s="3">
        <v>0</v>
      </c>
    </row>
    <row r="1052" spans="1:23" x14ac:dyDescent="0.35">
      <c r="A1052" s="3" t="s">
        <v>483</v>
      </c>
      <c r="B1052" s="3" t="s">
        <v>484</v>
      </c>
      <c r="C1052" s="3" t="s">
        <v>455</v>
      </c>
      <c r="D1052" s="3" t="s">
        <v>337</v>
      </c>
      <c r="E1052" s="3" t="s">
        <v>327</v>
      </c>
      <c r="F1052" s="3" t="s">
        <v>116</v>
      </c>
      <c r="G1052" s="3" t="s">
        <v>338</v>
      </c>
      <c r="H1052" s="3" t="s">
        <v>146</v>
      </c>
      <c r="I1052" s="3" t="s">
        <v>329</v>
      </c>
      <c r="J1052" s="3" t="s">
        <v>330</v>
      </c>
      <c r="K1052" s="3" t="s">
        <v>33</v>
      </c>
      <c r="L1052" s="3" t="s">
        <v>51</v>
      </c>
      <c r="M1052" s="3" t="s">
        <v>456</v>
      </c>
      <c r="N1052" s="3" t="s">
        <v>457</v>
      </c>
      <c r="O1052" s="3" t="s">
        <v>197</v>
      </c>
      <c r="P1052" s="3" t="s">
        <v>198</v>
      </c>
      <c r="Q1052" s="3" t="s">
        <v>39</v>
      </c>
      <c r="R1052" s="3" t="s">
        <v>40</v>
      </c>
      <c r="S1052" s="55">
        <v>2903.1</v>
      </c>
      <c r="T1052" s="55">
        <v>1551.7687000000001</v>
      </c>
      <c r="U1052" s="55">
        <v>105.9687</v>
      </c>
      <c r="V1052" s="55">
        <v>1351.3313000000001</v>
      </c>
      <c r="W1052" s="3">
        <v>53</v>
      </c>
    </row>
    <row r="1053" spans="1:23" x14ac:dyDescent="0.35">
      <c r="A1053" s="3" t="s">
        <v>483</v>
      </c>
      <c r="B1053" s="3" t="s">
        <v>484</v>
      </c>
      <c r="C1053" s="3" t="s">
        <v>354</v>
      </c>
      <c r="D1053" s="3" t="s">
        <v>337</v>
      </c>
      <c r="E1053" s="3" t="s">
        <v>327</v>
      </c>
      <c r="F1053" s="3" t="s">
        <v>116</v>
      </c>
      <c r="G1053" s="3" t="s">
        <v>338</v>
      </c>
      <c r="H1053" s="3" t="s">
        <v>146</v>
      </c>
      <c r="I1053" s="3" t="s">
        <v>329</v>
      </c>
      <c r="J1053" s="3" t="s">
        <v>330</v>
      </c>
      <c r="K1053" s="3" t="s">
        <v>33</v>
      </c>
      <c r="L1053" s="3" t="s">
        <v>51</v>
      </c>
      <c r="M1053" s="3" t="s">
        <v>355</v>
      </c>
      <c r="N1053" s="3" t="s">
        <v>356</v>
      </c>
      <c r="O1053" s="3" t="s">
        <v>197</v>
      </c>
      <c r="P1053" s="3" t="s">
        <v>198</v>
      </c>
      <c r="Q1053" s="3" t="s">
        <v>39</v>
      </c>
      <c r="R1053" s="3" t="s">
        <v>40</v>
      </c>
      <c r="S1053" s="55">
        <v>34143.9</v>
      </c>
      <c r="T1053" s="55">
        <v>15503.188099999999</v>
      </c>
      <c r="U1053" s="55">
        <v>3490.6815000000001</v>
      </c>
      <c r="V1053" s="55">
        <v>18640.711899999998</v>
      </c>
      <c r="W1053" s="3">
        <v>45</v>
      </c>
    </row>
    <row r="1054" spans="1:23" x14ac:dyDescent="0.35">
      <c r="A1054" s="3" t="s">
        <v>483</v>
      </c>
      <c r="B1054" s="3" t="s">
        <v>484</v>
      </c>
      <c r="C1054" s="3" t="s">
        <v>463</v>
      </c>
      <c r="D1054" s="3" t="s">
        <v>337</v>
      </c>
      <c r="E1054" s="3" t="s">
        <v>327</v>
      </c>
      <c r="F1054" s="3" t="s">
        <v>116</v>
      </c>
      <c r="G1054" s="3" t="s">
        <v>338</v>
      </c>
      <c r="H1054" s="3" t="s">
        <v>146</v>
      </c>
      <c r="I1054" s="3" t="s">
        <v>329</v>
      </c>
      <c r="J1054" s="3" t="s">
        <v>330</v>
      </c>
      <c r="K1054" s="3" t="s">
        <v>33</v>
      </c>
      <c r="L1054" s="3" t="s">
        <v>51</v>
      </c>
      <c r="M1054" s="3" t="s">
        <v>464</v>
      </c>
      <c r="N1054" s="3" t="s">
        <v>465</v>
      </c>
      <c r="O1054" s="3" t="s">
        <v>197</v>
      </c>
      <c r="P1054" s="3" t="s">
        <v>198</v>
      </c>
      <c r="Q1054" s="3" t="s">
        <v>39</v>
      </c>
      <c r="R1054" s="3" t="s">
        <v>40</v>
      </c>
      <c r="S1054" s="55">
        <v>2395.8000000000002</v>
      </c>
      <c r="T1054" s="55">
        <v>2007.7739999999999</v>
      </c>
      <c r="U1054" s="55">
        <v>1674.36</v>
      </c>
      <c r="V1054" s="55">
        <v>388.02600000000001</v>
      </c>
      <c r="W1054" s="3">
        <v>84</v>
      </c>
    </row>
    <row r="1055" spans="1:23" x14ac:dyDescent="0.35">
      <c r="A1055" s="3" t="s">
        <v>483</v>
      </c>
      <c r="B1055" s="3" t="s">
        <v>484</v>
      </c>
      <c r="C1055" s="3" t="s">
        <v>363</v>
      </c>
      <c r="D1055" s="3" t="s">
        <v>364</v>
      </c>
      <c r="E1055" s="3" t="s">
        <v>365</v>
      </c>
      <c r="F1055" s="3" t="s">
        <v>189</v>
      </c>
      <c r="G1055" s="3" t="s">
        <v>366</v>
      </c>
      <c r="H1055" s="3" t="s">
        <v>28</v>
      </c>
      <c r="I1055" s="3" t="s">
        <v>231</v>
      </c>
      <c r="J1055" s="3" t="s">
        <v>232</v>
      </c>
      <c r="K1055" s="3" t="s">
        <v>33</v>
      </c>
      <c r="L1055" s="3" t="s">
        <v>51</v>
      </c>
      <c r="M1055" s="3" t="s">
        <v>367</v>
      </c>
      <c r="N1055" s="3" t="s">
        <v>368</v>
      </c>
      <c r="O1055" s="3" t="s">
        <v>108</v>
      </c>
      <c r="P1055" s="3" t="s">
        <v>109</v>
      </c>
      <c r="Q1055" s="3" t="s">
        <v>39</v>
      </c>
      <c r="R1055" s="3" t="s">
        <v>40</v>
      </c>
      <c r="S1055" s="55">
        <v>181890.3</v>
      </c>
      <c r="T1055" s="55">
        <v>96015.305500000002</v>
      </c>
      <c r="U1055" s="55">
        <v>20511.8302</v>
      </c>
      <c r="V1055" s="55">
        <v>85874.994500000001</v>
      </c>
      <c r="W1055" s="3">
        <v>53</v>
      </c>
    </row>
    <row r="1056" spans="1:23" x14ac:dyDescent="0.35">
      <c r="A1056" s="3" t="s">
        <v>483</v>
      </c>
      <c r="B1056" s="3" t="s">
        <v>484</v>
      </c>
      <c r="C1056" s="3" t="s">
        <v>369</v>
      </c>
      <c r="D1056" s="3" t="s">
        <v>364</v>
      </c>
      <c r="E1056" s="3" t="s">
        <v>365</v>
      </c>
      <c r="F1056" s="3" t="s">
        <v>189</v>
      </c>
      <c r="G1056" s="3" t="s">
        <v>366</v>
      </c>
      <c r="H1056" s="3" t="s">
        <v>28</v>
      </c>
      <c r="I1056" s="3" t="s">
        <v>231</v>
      </c>
      <c r="J1056" s="3" t="s">
        <v>232</v>
      </c>
      <c r="K1056" s="3" t="s">
        <v>33</v>
      </c>
      <c r="L1056" s="3" t="s">
        <v>51</v>
      </c>
      <c r="M1056" s="3" t="s">
        <v>367</v>
      </c>
      <c r="N1056" s="3" t="s">
        <v>368</v>
      </c>
      <c r="O1056" s="3" t="s">
        <v>334</v>
      </c>
      <c r="P1056" s="3" t="s">
        <v>335</v>
      </c>
      <c r="Q1056" s="3" t="s">
        <v>39</v>
      </c>
      <c r="R1056" s="3" t="s">
        <v>40</v>
      </c>
      <c r="S1056" s="55">
        <v>18356.2</v>
      </c>
      <c r="T1056" s="55">
        <v>7064.9655000000002</v>
      </c>
      <c r="U1056" s="55">
        <v>1166.7297000000001</v>
      </c>
      <c r="V1056" s="55">
        <v>11291.2345</v>
      </c>
      <c r="W1056" s="3">
        <v>38</v>
      </c>
    </row>
    <row r="1057" spans="1:23" x14ac:dyDescent="0.35">
      <c r="A1057" s="3" t="s">
        <v>483</v>
      </c>
      <c r="B1057" s="3" t="s">
        <v>484</v>
      </c>
      <c r="C1057" s="3" t="s">
        <v>373</v>
      </c>
      <c r="D1057" s="3" t="s">
        <v>364</v>
      </c>
      <c r="E1057" s="3" t="s">
        <v>365</v>
      </c>
      <c r="F1057" s="3" t="s">
        <v>189</v>
      </c>
      <c r="G1057" s="3" t="s">
        <v>366</v>
      </c>
      <c r="H1057" s="3" t="s">
        <v>28</v>
      </c>
      <c r="I1057" s="3" t="s">
        <v>231</v>
      </c>
      <c r="J1057" s="3" t="s">
        <v>232</v>
      </c>
      <c r="K1057" s="3" t="s">
        <v>33</v>
      </c>
      <c r="L1057" s="3" t="s">
        <v>51</v>
      </c>
      <c r="M1057" s="3" t="s">
        <v>371</v>
      </c>
      <c r="N1057" s="3" t="s">
        <v>372</v>
      </c>
      <c r="O1057" s="3" t="s">
        <v>334</v>
      </c>
      <c r="P1057" s="3" t="s">
        <v>335</v>
      </c>
      <c r="Q1057" s="3" t="s">
        <v>39</v>
      </c>
      <c r="R1057" s="3" t="s">
        <v>40</v>
      </c>
      <c r="S1057" s="55">
        <v>109296.5</v>
      </c>
      <c r="T1057" s="55">
        <v>61211.803599999999</v>
      </c>
      <c r="U1057" s="55">
        <v>10115.98</v>
      </c>
      <c r="V1057" s="55">
        <v>48084.696400000001</v>
      </c>
      <c r="W1057" s="3">
        <v>56</v>
      </c>
    </row>
    <row r="1058" spans="1:23" x14ac:dyDescent="0.35">
      <c r="A1058" s="3" t="s">
        <v>483</v>
      </c>
      <c r="B1058" s="3" t="s">
        <v>484</v>
      </c>
      <c r="C1058" s="3" t="s">
        <v>374</v>
      </c>
      <c r="D1058" s="3" t="s">
        <v>364</v>
      </c>
      <c r="E1058" s="3" t="s">
        <v>365</v>
      </c>
      <c r="F1058" s="3" t="s">
        <v>189</v>
      </c>
      <c r="G1058" s="3" t="s">
        <v>366</v>
      </c>
      <c r="H1058" s="3" t="s">
        <v>28</v>
      </c>
      <c r="I1058" s="3" t="s">
        <v>231</v>
      </c>
      <c r="J1058" s="3" t="s">
        <v>232</v>
      </c>
      <c r="K1058" s="3" t="s">
        <v>33</v>
      </c>
      <c r="L1058" s="3" t="s">
        <v>51</v>
      </c>
      <c r="M1058" s="3" t="s">
        <v>375</v>
      </c>
      <c r="N1058" s="3" t="s">
        <v>376</v>
      </c>
      <c r="O1058" s="3" t="s">
        <v>197</v>
      </c>
      <c r="P1058" s="3" t="s">
        <v>198</v>
      </c>
      <c r="Q1058" s="3" t="s">
        <v>39</v>
      </c>
      <c r="R1058" s="3" t="s">
        <v>40</v>
      </c>
      <c r="S1058" s="55">
        <v>10386</v>
      </c>
      <c r="T1058" s="55">
        <v>0</v>
      </c>
      <c r="U1058" s="55">
        <v>0</v>
      </c>
      <c r="V1058" s="55">
        <v>10386</v>
      </c>
      <c r="W1058" s="3">
        <v>0</v>
      </c>
    </row>
    <row r="1059" spans="1:23" x14ac:dyDescent="0.35">
      <c r="A1059" s="3" t="s">
        <v>483</v>
      </c>
      <c r="B1059" s="3" t="s">
        <v>484</v>
      </c>
      <c r="C1059" s="3" t="s">
        <v>377</v>
      </c>
      <c r="D1059" s="3" t="s">
        <v>364</v>
      </c>
      <c r="E1059" s="3" t="s">
        <v>365</v>
      </c>
      <c r="F1059" s="3" t="s">
        <v>189</v>
      </c>
      <c r="G1059" s="3" t="s">
        <v>366</v>
      </c>
      <c r="H1059" s="3" t="s">
        <v>28</v>
      </c>
      <c r="I1059" s="3" t="s">
        <v>231</v>
      </c>
      <c r="J1059" s="3" t="s">
        <v>232</v>
      </c>
      <c r="K1059" s="3" t="s">
        <v>33</v>
      </c>
      <c r="L1059" s="3" t="s">
        <v>51</v>
      </c>
      <c r="M1059" s="3" t="s">
        <v>378</v>
      </c>
      <c r="N1059" s="3" t="s">
        <v>549</v>
      </c>
      <c r="O1059" s="3" t="s">
        <v>108</v>
      </c>
      <c r="P1059" s="3" t="s">
        <v>109</v>
      </c>
      <c r="Q1059" s="3" t="s">
        <v>39</v>
      </c>
      <c r="R1059" s="3" t="s">
        <v>40</v>
      </c>
      <c r="S1059" s="55">
        <v>12844.7</v>
      </c>
      <c r="T1059" s="55">
        <v>6689.6291000000001</v>
      </c>
      <c r="U1059" s="55">
        <v>1406.8530000000001</v>
      </c>
      <c r="V1059" s="55">
        <v>6155.0708999999997</v>
      </c>
      <c r="W1059" s="3">
        <v>52</v>
      </c>
    </row>
    <row r="1060" spans="1:23" x14ac:dyDescent="0.35">
      <c r="A1060" s="3" t="s">
        <v>483</v>
      </c>
      <c r="B1060" s="3" t="s">
        <v>484</v>
      </c>
      <c r="C1060" s="3" t="s">
        <v>380</v>
      </c>
      <c r="D1060" s="3" t="s">
        <v>364</v>
      </c>
      <c r="E1060" s="3" t="s">
        <v>365</v>
      </c>
      <c r="F1060" s="3" t="s">
        <v>189</v>
      </c>
      <c r="G1060" s="3" t="s">
        <v>366</v>
      </c>
      <c r="H1060" s="3" t="s">
        <v>28</v>
      </c>
      <c r="I1060" s="3" t="s">
        <v>231</v>
      </c>
      <c r="J1060" s="3" t="s">
        <v>232</v>
      </c>
      <c r="K1060" s="3" t="s">
        <v>33</v>
      </c>
      <c r="L1060" s="3" t="s">
        <v>51</v>
      </c>
      <c r="M1060" s="3" t="s">
        <v>378</v>
      </c>
      <c r="N1060" s="3" t="s">
        <v>549</v>
      </c>
      <c r="O1060" s="3" t="s">
        <v>334</v>
      </c>
      <c r="P1060" s="3" t="s">
        <v>335</v>
      </c>
      <c r="Q1060" s="3" t="s">
        <v>39</v>
      </c>
      <c r="R1060" s="3" t="s">
        <v>40</v>
      </c>
      <c r="S1060" s="55">
        <v>443478.3</v>
      </c>
      <c r="T1060" s="55">
        <v>225427.399</v>
      </c>
      <c r="U1060" s="55">
        <v>37451.239000000001</v>
      </c>
      <c r="V1060" s="55">
        <v>218050.90100000001</v>
      </c>
      <c r="W1060" s="3">
        <v>51</v>
      </c>
    </row>
    <row r="1061" spans="1:23" x14ac:dyDescent="0.35">
      <c r="A1061" s="3" t="s">
        <v>483</v>
      </c>
      <c r="B1061" s="3" t="s">
        <v>484</v>
      </c>
      <c r="C1061" s="3" t="s">
        <v>384</v>
      </c>
      <c r="D1061" s="3" t="s">
        <v>364</v>
      </c>
      <c r="E1061" s="3" t="s">
        <v>365</v>
      </c>
      <c r="F1061" s="3" t="s">
        <v>189</v>
      </c>
      <c r="G1061" s="3" t="s">
        <v>366</v>
      </c>
      <c r="H1061" s="3" t="s">
        <v>28</v>
      </c>
      <c r="I1061" s="3" t="s">
        <v>231</v>
      </c>
      <c r="J1061" s="3" t="s">
        <v>232</v>
      </c>
      <c r="K1061" s="3" t="s">
        <v>33</v>
      </c>
      <c r="L1061" s="3" t="s">
        <v>51</v>
      </c>
      <c r="M1061" s="3" t="s">
        <v>382</v>
      </c>
      <c r="N1061" s="3" t="s">
        <v>383</v>
      </c>
      <c r="O1061" s="3" t="s">
        <v>334</v>
      </c>
      <c r="P1061" s="3" t="s">
        <v>335</v>
      </c>
      <c r="Q1061" s="3" t="s">
        <v>39</v>
      </c>
      <c r="R1061" s="3" t="s">
        <v>40</v>
      </c>
      <c r="S1061" s="55">
        <v>51058.7</v>
      </c>
      <c r="T1061" s="55">
        <v>25872.826099999998</v>
      </c>
      <c r="U1061" s="55">
        <v>5300.8958000000002</v>
      </c>
      <c r="V1061" s="55">
        <v>25185.873899999999</v>
      </c>
      <c r="W1061" s="3">
        <v>51</v>
      </c>
    </row>
    <row r="1062" spans="1:23" x14ac:dyDescent="0.35">
      <c r="A1062" s="3" t="s">
        <v>483</v>
      </c>
      <c r="B1062" s="3" t="s">
        <v>484</v>
      </c>
      <c r="C1062" s="3" t="s">
        <v>391</v>
      </c>
      <c r="D1062" s="3" t="s">
        <v>392</v>
      </c>
      <c r="E1062" s="3" t="s">
        <v>365</v>
      </c>
      <c r="F1062" s="3" t="s">
        <v>28</v>
      </c>
      <c r="G1062" s="3" t="s">
        <v>393</v>
      </c>
      <c r="H1062" s="3" t="s">
        <v>28</v>
      </c>
      <c r="I1062" s="3" t="s">
        <v>231</v>
      </c>
      <c r="J1062" s="3" t="s">
        <v>232</v>
      </c>
      <c r="K1062" s="3" t="s">
        <v>33</v>
      </c>
      <c r="L1062" s="3" t="s">
        <v>51</v>
      </c>
      <c r="M1062" s="3" t="s">
        <v>394</v>
      </c>
      <c r="N1062" s="3" t="s">
        <v>395</v>
      </c>
      <c r="O1062" s="3" t="s">
        <v>197</v>
      </c>
      <c r="P1062" s="3" t="s">
        <v>198</v>
      </c>
      <c r="Q1062" s="3" t="s">
        <v>39</v>
      </c>
      <c r="R1062" s="3" t="s">
        <v>40</v>
      </c>
      <c r="S1062" s="55">
        <v>48948.800000000003</v>
      </c>
      <c r="T1062" s="55">
        <v>39284.074000000001</v>
      </c>
      <c r="U1062" s="55">
        <v>33526.582499999997</v>
      </c>
      <c r="V1062" s="55">
        <v>9664.7260000000006</v>
      </c>
      <c r="W1062" s="3">
        <v>80</v>
      </c>
    </row>
    <row r="1063" spans="1:23" x14ac:dyDescent="0.35">
      <c r="A1063" s="3" t="s">
        <v>483</v>
      </c>
      <c r="B1063" s="3" t="s">
        <v>484</v>
      </c>
      <c r="C1063" s="3" t="s">
        <v>550</v>
      </c>
      <c r="D1063" s="3" t="s">
        <v>397</v>
      </c>
      <c r="E1063" s="3" t="s">
        <v>365</v>
      </c>
      <c r="F1063" s="3" t="s">
        <v>318</v>
      </c>
      <c r="G1063" s="3" t="s">
        <v>398</v>
      </c>
      <c r="H1063" s="3" t="s">
        <v>28</v>
      </c>
      <c r="I1063" s="3" t="s">
        <v>231</v>
      </c>
      <c r="J1063" s="3" t="s">
        <v>232</v>
      </c>
      <c r="K1063" s="3" t="s">
        <v>33</v>
      </c>
      <c r="L1063" s="3" t="s">
        <v>51</v>
      </c>
      <c r="M1063" s="3" t="s">
        <v>551</v>
      </c>
      <c r="N1063" s="3" t="s">
        <v>552</v>
      </c>
      <c r="O1063" s="3" t="s">
        <v>108</v>
      </c>
      <c r="P1063" s="3" t="s">
        <v>109</v>
      </c>
      <c r="Q1063" s="3" t="s">
        <v>39</v>
      </c>
      <c r="R1063" s="3" t="s">
        <v>40</v>
      </c>
      <c r="S1063" s="55">
        <v>32359.3</v>
      </c>
      <c r="T1063" s="55">
        <v>11246.9051</v>
      </c>
      <c r="U1063" s="55">
        <v>3709.4090999999999</v>
      </c>
      <c r="V1063" s="55">
        <v>21112.394899999999</v>
      </c>
      <c r="W1063" s="3">
        <v>35</v>
      </c>
    </row>
    <row r="1064" spans="1:23" x14ac:dyDescent="0.35">
      <c r="A1064" s="3" t="s">
        <v>483</v>
      </c>
      <c r="B1064" s="3" t="s">
        <v>484</v>
      </c>
      <c r="C1064" s="3" t="s">
        <v>553</v>
      </c>
      <c r="D1064" s="3" t="s">
        <v>404</v>
      </c>
      <c r="E1064" s="3" t="s">
        <v>405</v>
      </c>
      <c r="F1064" s="3" t="s">
        <v>146</v>
      </c>
      <c r="G1064" s="3" t="s">
        <v>406</v>
      </c>
      <c r="H1064" s="3" t="s">
        <v>318</v>
      </c>
      <c r="I1064" s="3" t="s">
        <v>407</v>
      </c>
      <c r="J1064" s="3" t="s">
        <v>554</v>
      </c>
      <c r="K1064" s="3" t="s">
        <v>23</v>
      </c>
      <c r="L1064" s="3" t="s">
        <v>203</v>
      </c>
      <c r="M1064" s="3" t="s">
        <v>555</v>
      </c>
      <c r="N1064" s="3" t="s">
        <v>442</v>
      </c>
      <c r="O1064" s="3" t="s">
        <v>197</v>
      </c>
      <c r="P1064" s="3" t="s">
        <v>198</v>
      </c>
      <c r="Q1064" s="3" t="s">
        <v>39</v>
      </c>
      <c r="R1064" s="3" t="s">
        <v>40</v>
      </c>
      <c r="S1064" s="55">
        <v>9879.5</v>
      </c>
      <c r="T1064" s="55">
        <v>977.62</v>
      </c>
      <c r="U1064" s="55">
        <v>965.47</v>
      </c>
      <c r="V1064" s="55">
        <v>8901.8799999999992</v>
      </c>
      <c r="W1064" s="3">
        <v>10</v>
      </c>
    </row>
    <row r="1065" spans="1:23" x14ac:dyDescent="0.35">
      <c r="A1065" s="3" t="s">
        <v>483</v>
      </c>
      <c r="B1065" s="3" t="s">
        <v>484</v>
      </c>
      <c r="C1065" s="3" t="s">
        <v>403</v>
      </c>
      <c r="D1065" s="3" t="s">
        <v>404</v>
      </c>
      <c r="E1065" s="3" t="s">
        <v>405</v>
      </c>
      <c r="F1065" s="3" t="s">
        <v>146</v>
      </c>
      <c r="G1065" s="3" t="s">
        <v>406</v>
      </c>
      <c r="H1065" s="3" t="s">
        <v>318</v>
      </c>
      <c r="I1065" s="3" t="s">
        <v>407</v>
      </c>
      <c r="J1065" s="3" t="s">
        <v>408</v>
      </c>
      <c r="K1065" s="3" t="s">
        <v>33</v>
      </c>
      <c r="L1065" s="3" t="s">
        <v>51</v>
      </c>
      <c r="M1065" s="3" t="s">
        <v>409</v>
      </c>
      <c r="N1065" s="3" t="s">
        <v>410</v>
      </c>
      <c r="O1065" s="3" t="s">
        <v>108</v>
      </c>
      <c r="P1065" s="3" t="s">
        <v>109</v>
      </c>
      <c r="Q1065" s="3" t="s">
        <v>39</v>
      </c>
      <c r="R1065" s="3" t="s">
        <v>40</v>
      </c>
      <c r="S1065" s="55">
        <v>183125.7</v>
      </c>
      <c r="T1065" s="55">
        <v>90105.565000000002</v>
      </c>
      <c r="U1065" s="55">
        <v>14772.7932</v>
      </c>
      <c r="V1065" s="55">
        <v>93020.134999999995</v>
      </c>
      <c r="W1065" s="3">
        <v>49</v>
      </c>
    </row>
    <row r="1066" spans="1:23" x14ac:dyDescent="0.35">
      <c r="A1066" s="3" t="s">
        <v>483</v>
      </c>
      <c r="B1066" s="3" t="s">
        <v>484</v>
      </c>
      <c r="C1066" s="3" t="s">
        <v>556</v>
      </c>
      <c r="D1066" s="3" t="s">
        <v>412</v>
      </c>
      <c r="E1066" s="3" t="s">
        <v>405</v>
      </c>
      <c r="F1066" s="3" t="s">
        <v>189</v>
      </c>
      <c r="G1066" s="3" t="s">
        <v>413</v>
      </c>
      <c r="H1066" s="3" t="s">
        <v>318</v>
      </c>
      <c r="I1066" s="3" t="s">
        <v>407</v>
      </c>
      <c r="J1066" s="3" t="s">
        <v>554</v>
      </c>
      <c r="K1066" s="3" t="s">
        <v>23</v>
      </c>
      <c r="L1066" s="3" t="s">
        <v>203</v>
      </c>
      <c r="M1066" s="3" t="s">
        <v>557</v>
      </c>
      <c r="N1066" s="3" t="s">
        <v>415</v>
      </c>
      <c r="O1066" s="3" t="s">
        <v>197</v>
      </c>
      <c r="P1066" s="3" t="s">
        <v>198</v>
      </c>
      <c r="Q1066" s="3" t="s">
        <v>39</v>
      </c>
      <c r="R1066" s="3" t="s">
        <v>40</v>
      </c>
      <c r="S1066" s="55">
        <v>3545.6</v>
      </c>
      <c r="T1066" s="55">
        <v>1035.0730000000001</v>
      </c>
      <c r="U1066" s="55">
        <v>0</v>
      </c>
      <c r="V1066" s="55">
        <v>2510.527</v>
      </c>
      <c r="W1066" s="3">
        <v>29</v>
      </c>
    </row>
    <row r="1067" spans="1:23" x14ac:dyDescent="0.35">
      <c r="A1067" s="3" t="s">
        <v>483</v>
      </c>
      <c r="B1067" s="3" t="s">
        <v>484</v>
      </c>
      <c r="C1067" s="3" t="s">
        <v>416</v>
      </c>
      <c r="D1067" s="3" t="s">
        <v>417</v>
      </c>
      <c r="E1067" s="3" t="s">
        <v>405</v>
      </c>
      <c r="F1067" s="3" t="s">
        <v>28</v>
      </c>
      <c r="G1067" s="3" t="s">
        <v>418</v>
      </c>
      <c r="H1067" s="3" t="s">
        <v>318</v>
      </c>
      <c r="I1067" s="3" t="s">
        <v>407</v>
      </c>
      <c r="J1067" s="3" t="s">
        <v>408</v>
      </c>
      <c r="K1067" s="3" t="s">
        <v>33</v>
      </c>
      <c r="L1067" s="3" t="s">
        <v>51</v>
      </c>
      <c r="M1067" s="3" t="s">
        <v>419</v>
      </c>
      <c r="N1067" s="3" t="s">
        <v>420</v>
      </c>
      <c r="O1067" s="3" t="s">
        <v>108</v>
      </c>
      <c r="P1067" s="3" t="s">
        <v>109</v>
      </c>
      <c r="Q1067" s="3" t="s">
        <v>39</v>
      </c>
      <c r="R1067" s="3" t="s">
        <v>40</v>
      </c>
      <c r="S1067" s="55">
        <v>325200.09999999998</v>
      </c>
      <c r="T1067" s="55">
        <v>151130.7537</v>
      </c>
      <c r="U1067" s="55">
        <v>31388.8976</v>
      </c>
      <c r="V1067" s="55">
        <v>174069.3463</v>
      </c>
      <c r="W1067" s="3">
        <v>46</v>
      </c>
    </row>
    <row r="1068" spans="1:23" x14ac:dyDescent="0.35">
      <c r="A1068" s="3" t="s">
        <v>487</v>
      </c>
      <c r="B1068" s="3" t="s">
        <v>488</v>
      </c>
      <c r="C1068" s="3" t="s">
        <v>25</v>
      </c>
      <c r="D1068" s="3" t="s">
        <v>26</v>
      </c>
      <c r="E1068" s="3" t="s">
        <v>27</v>
      </c>
      <c r="F1068" s="3" t="s">
        <v>28</v>
      </c>
      <c r="G1068" s="3" t="s">
        <v>29</v>
      </c>
      <c r="H1068" s="3" t="s">
        <v>30</v>
      </c>
      <c r="I1068" s="3" t="s">
        <v>31</v>
      </c>
      <c r="J1068" s="3" t="s">
        <v>32</v>
      </c>
      <c r="K1068" s="3" t="s">
        <v>33</v>
      </c>
      <c r="L1068" s="3" t="s">
        <v>51</v>
      </c>
      <c r="M1068" s="3" t="s">
        <v>35</v>
      </c>
      <c r="N1068" s="3" t="s">
        <v>36</v>
      </c>
      <c r="O1068" s="3" t="s">
        <v>37</v>
      </c>
      <c r="P1068" s="3" t="s">
        <v>38</v>
      </c>
      <c r="Q1068" s="3" t="s">
        <v>39</v>
      </c>
      <c r="R1068" s="3" t="s">
        <v>40</v>
      </c>
      <c r="S1068" s="55">
        <v>3772.6</v>
      </c>
      <c r="T1068" s="55">
        <v>39.302799999999998</v>
      </c>
      <c r="U1068" s="55">
        <v>0</v>
      </c>
      <c r="V1068" s="55">
        <v>3733.2972</v>
      </c>
      <c r="W1068" s="3">
        <v>1</v>
      </c>
    </row>
    <row r="1069" spans="1:23" x14ac:dyDescent="0.35">
      <c r="A1069" s="3" t="s">
        <v>487</v>
      </c>
      <c r="B1069" s="3" t="s">
        <v>488</v>
      </c>
      <c r="C1069" s="3" t="s">
        <v>41</v>
      </c>
      <c r="D1069" s="3" t="s">
        <v>26</v>
      </c>
      <c r="E1069" s="3" t="s">
        <v>27</v>
      </c>
      <c r="F1069" s="3" t="s">
        <v>28</v>
      </c>
      <c r="G1069" s="3" t="s">
        <v>29</v>
      </c>
      <c r="H1069" s="3" t="s">
        <v>30</v>
      </c>
      <c r="I1069" s="3" t="s">
        <v>31</v>
      </c>
      <c r="J1069" s="3" t="s">
        <v>32</v>
      </c>
      <c r="K1069" s="3" t="s">
        <v>33</v>
      </c>
      <c r="L1069" s="3" t="s">
        <v>51</v>
      </c>
      <c r="M1069" s="3" t="s">
        <v>35</v>
      </c>
      <c r="N1069" s="3" t="s">
        <v>36</v>
      </c>
      <c r="O1069" s="3" t="s">
        <v>42</v>
      </c>
      <c r="P1069" s="3" t="s">
        <v>43</v>
      </c>
      <c r="Q1069" s="3" t="s">
        <v>39</v>
      </c>
      <c r="R1069" s="3" t="s">
        <v>40</v>
      </c>
      <c r="S1069" s="55">
        <v>8.3000000000000007</v>
      </c>
      <c r="T1069" s="55">
        <v>0.92269999999999996</v>
      </c>
      <c r="U1069" s="55">
        <v>0.73839999999999995</v>
      </c>
      <c r="V1069" s="55">
        <v>7.3773</v>
      </c>
      <c r="W1069" s="3">
        <v>11</v>
      </c>
    </row>
    <row r="1070" spans="1:23" x14ac:dyDescent="0.35">
      <c r="A1070" s="3" t="s">
        <v>487</v>
      </c>
      <c r="B1070" s="3" t="s">
        <v>488</v>
      </c>
      <c r="C1070" s="3" t="s">
        <v>44</v>
      </c>
      <c r="D1070" s="3" t="s">
        <v>45</v>
      </c>
      <c r="E1070" s="3" t="s">
        <v>27</v>
      </c>
      <c r="F1070" s="3" t="s">
        <v>46</v>
      </c>
      <c r="G1070" s="3" t="s">
        <v>47</v>
      </c>
      <c r="H1070" s="3" t="s">
        <v>48</v>
      </c>
      <c r="I1070" s="3" t="s">
        <v>49</v>
      </c>
      <c r="J1070" s="3" t="s">
        <v>50</v>
      </c>
      <c r="K1070" s="3" t="s">
        <v>33</v>
      </c>
      <c r="L1070" s="3" t="s">
        <v>51</v>
      </c>
      <c r="M1070" s="3" t="s">
        <v>52</v>
      </c>
      <c r="N1070" s="3" t="s">
        <v>53</v>
      </c>
      <c r="O1070" s="3" t="s">
        <v>54</v>
      </c>
      <c r="P1070" s="3" t="s">
        <v>55</v>
      </c>
      <c r="Q1070" s="3" t="s">
        <v>39</v>
      </c>
      <c r="R1070" s="3" t="s">
        <v>40</v>
      </c>
      <c r="S1070" s="55">
        <v>64.400000000000006</v>
      </c>
      <c r="T1070" s="55">
        <v>0</v>
      </c>
      <c r="U1070" s="55">
        <v>0</v>
      </c>
      <c r="V1070" s="55">
        <v>64.400000000000006</v>
      </c>
      <c r="W1070" s="3">
        <v>0</v>
      </c>
    </row>
    <row r="1071" spans="1:23" x14ac:dyDescent="0.35">
      <c r="A1071" s="3" t="s">
        <v>487</v>
      </c>
      <c r="B1071" s="3" t="s">
        <v>488</v>
      </c>
      <c r="C1071" s="3" t="s">
        <v>59</v>
      </c>
      <c r="D1071" s="3" t="s">
        <v>45</v>
      </c>
      <c r="E1071" s="3" t="s">
        <v>27</v>
      </c>
      <c r="F1071" s="3" t="s">
        <v>46</v>
      </c>
      <c r="G1071" s="3" t="s">
        <v>47</v>
      </c>
      <c r="H1071" s="3" t="s">
        <v>60</v>
      </c>
      <c r="I1071" s="3" t="s">
        <v>61</v>
      </c>
      <c r="J1071" s="3" t="s">
        <v>62</v>
      </c>
      <c r="K1071" s="3" t="s">
        <v>33</v>
      </c>
      <c r="L1071" s="3" t="s">
        <v>51</v>
      </c>
      <c r="M1071" s="3" t="s">
        <v>63</v>
      </c>
      <c r="N1071" s="3" t="s">
        <v>64</v>
      </c>
      <c r="O1071" s="3" t="s">
        <v>37</v>
      </c>
      <c r="P1071" s="3" t="s">
        <v>38</v>
      </c>
      <c r="Q1071" s="3" t="s">
        <v>39</v>
      </c>
      <c r="R1071" s="3" t="s">
        <v>40</v>
      </c>
      <c r="S1071" s="55">
        <v>208.2</v>
      </c>
      <c r="T1071" s="55">
        <v>85.19</v>
      </c>
      <c r="U1071" s="55">
        <v>6.7</v>
      </c>
      <c r="V1071" s="55">
        <v>123.01</v>
      </c>
      <c r="W1071" s="3">
        <v>41</v>
      </c>
    </row>
    <row r="1072" spans="1:23" x14ac:dyDescent="0.35">
      <c r="A1072" s="3" t="s">
        <v>487</v>
      </c>
      <c r="B1072" s="3" t="s">
        <v>488</v>
      </c>
      <c r="C1072" s="3" t="s">
        <v>65</v>
      </c>
      <c r="D1072" s="3" t="s">
        <v>45</v>
      </c>
      <c r="E1072" s="3" t="s">
        <v>27</v>
      </c>
      <c r="F1072" s="3" t="s">
        <v>46</v>
      </c>
      <c r="G1072" s="3" t="s">
        <v>47</v>
      </c>
      <c r="H1072" s="3" t="s">
        <v>66</v>
      </c>
      <c r="I1072" s="3" t="s">
        <v>67</v>
      </c>
      <c r="J1072" s="3" t="s">
        <v>68</v>
      </c>
      <c r="K1072" s="3" t="s">
        <v>33</v>
      </c>
      <c r="L1072" s="3" t="s">
        <v>51</v>
      </c>
      <c r="M1072" s="3" t="s">
        <v>69</v>
      </c>
      <c r="N1072" s="3" t="s">
        <v>70</v>
      </c>
      <c r="O1072" s="3" t="s">
        <v>37</v>
      </c>
      <c r="P1072" s="3" t="s">
        <v>38</v>
      </c>
      <c r="Q1072" s="3" t="s">
        <v>39</v>
      </c>
      <c r="R1072" s="3" t="s">
        <v>40</v>
      </c>
      <c r="S1072" s="55">
        <v>567.9</v>
      </c>
      <c r="T1072" s="55">
        <v>211.66390000000001</v>
      </c>
      <c r="U1072" s="55">
        <v>56.909599999999998</v>
      </c>
      <c r="V1072" s="55">
        <v>356.23610000000002</v>
      </c>
      <c r="W1072" s="3">
        <v>37</v>
      </c>
    </row>
    <row r="1073" spans="1:23" x14ac:dyDescent="0.35">
      <c r="A1073" s="3" t="s">
        <v>487</v>
      </c>
      <c r="B1073" s="3" t="s">
        <v>488</v>
      </c>
      <c r="C1073" s="3" t="s">
        <v>71</v>
      </c>
      <c r="D1073" s="3" t="s">
        <v>45</v>
      </c>
      <c r="E1073" s="3" t="s">
        <v>27</v>
      </c>
      <c r="F1073" s="3" t="s">
        <v>46</v>
      </c>
      <c r="G1073" s="3" t="s">
        <v>47</v>
      </c>
      <c r="H1073" s="3" t="s">
        <v>30</v>
      </c>
      <c r="I1073" s="3" t="s">
        <v>31</v>
      </c>
      <c r="J1073" s="3" t="s">
        <v>32</v>
      </c>
      <c r="K1073" s="3" t="s">
        <v>33</v>
      </c>
      <c r="L1073" s="3" t="s">
        <v>51</v>
      </c>
      <c r="M1073" s="3" t="s">
        <v>72</v>
      </c>
      <c r="N1073" s="3" t="s">
        <v>73</v>
      </c>
      <c r="O1073" s="3" t="s">
        <v>74</v>
      </c>
      <c r="P1073" s="3" t="s">
        <v>75</v>
      </c>
      <c r="Q1073" s="3" t="s">
        <v>39</v>
      </c>
      <c r="R1073" s="3" t="s">
        <v>40</v>
      </c>
      <c r="S1073" s="55">
        <v>246128.1</v>
      </c>
      <c r="T1073" s="55">
        <v>146200.56950000001</v>
      </c>
      <c r="U1073" s="55">
        <v>20328.791300000001</v>
      </c>
      <c r="V1073" s="55">
        <v>99927.530499999993</v>
      </c>
      <c r="W1073" s="3">
        <v>59</v>
      </c>
    </row>
    <row r="1074" spans="1:23" x14ac:dyDescent="0.35">
      <c r="A1074" s="3" t="s">
        <v>487</v>
      </c>
      <c r="B1074" s="3" t="s">
        <v>488</v>
      </c>
      <c r="C1074" s="3" t="s">
        <v>76</v>
      </c>
      <c r="D1074" s="3" t="s">
        <v>45</v>
      </c>
      <c r="E1074" s="3" t="s">
        <v>27</v>
      </c>
      <c r="F1074" s="3" t="s">
        <v>46</v>
      </c>
      <c r="G1074" s="3" t="s">
        <v>47</v>
      </c>
      <c r="H1074" s="3" t="s">
        <v>30</v>
      </c>
      <c r="I1074" s="3" t="s">
        <v>31</v>
      </c>
      <c r="J1074" s="3" t="s">
        <v>32</v>
      </c>
      <c r="K1074" s="3" t="s">
        <v>33</v>
      </c>
      <c r="L1074" s="3" t="s">
        <v>51</v>
      </c>
      <c r="M1074" s="3" t="s">
        <v>72</v>
      </c>
      <c r="N1074" s="3" t="s">
        <v>73</v>
      </c>
      <c r="O1074" s="3" t="s">
        <v>77</v>
      </c>
      <c r="P1074" s="3" t="s">
        <v>78</v>
      </c>
      <c r="Q1074" s="3" t="s">
        <v>39</v>
      </c>
      <c r="R1074" s="3" t="s">
        <v>40</v>
      </c>
      <c r="S1074" s="55">
        <v>140.5</v>
      </c>
      <c r="T1074" s="55">
        <v>78.436000000000007</v>
      </c>
      <c r="U1074" s="55">
        <v>32.049999999999997</v>
      </c>
      <c r="V1074" s="55">
        <v>62.064</v>
      </c>
      <c r="W1074" s="3">
        <v>56</v>
      </c>
    </row>
    <row r="1075" spans="1:23" x14ac:dyDescent="0.35">
      <c r="A1075" s="3" t="s">
        <v>487</v>
      </c>
      <c r="B1075" s="3" t="s">
        <v>488</v>
      </c>
      <c r="C1075" s="3" t="s">
        <v>79</v>
      </c>
      <c r="D1075" s="3" t="s">
        <v>45</v>
      </c>
      <c r="E1075" s="3" t="s">
        <v>27</v>
      </c>
      <c r="F1075" s="3" t="s">
        <v>46</v>
      </c>
      <c r="G1075" s="3" t="s">
        <v>47</v>
      </c>
      <c r="H1075" s="3" t="s">
        <v>30</v>
      </c>
      <c r="I1075" s="3" t="s">
        <v>31</v>
      </c>
      <c r="J1075" s="3" t="s">
        <v>32</v>
      </c>
      <c r="K1075" s="3" t="s">
        <v>33</v>
      </c>
      <c r="L1075" s="3" t="s">
        <v>51</v>
      </c>
      <c r="M1075" s="3" t="s">
        <v>72</v>
      </c>
      <c r="N1075" s="3" t="s">
        <v>73</v>
      </c>
      <c r="O1075" s="3" t="s">
        <v>80</v>
      </c>
      <c r="P1075" s="3" t="s">
        <v>81</v>
      </c>
      <c r="Q1075" s="3" t="s">
        <v>39</v>
      </c>
      <c r="R1075" s="3" t="s">
        <v>40</v>
      </c>
      <c r="S1075" s="55">
        <v>73726.399999999994</v>
      </c>
      <c r="T1075" s="55">
        <v>45764.949399999998</v>
      </c>
      <c r="U1075" s="55">
        <v>8525.5537000000004</v>
      </c>
      <c r="V1075" s="55">
        <v>27961.4506</v>
      </c>
      <c r="W1075" s="3">
        <v>62</v>
      </c>
    </row>
    <row r="1076" spans="1:23" x14ac:dyDescent="0.35">
      <c r="A1076" s="3" t="s">
        <v>487</v>
      </c>
      <c r="B1076" s="3" t="s">
        <v>488</v>
      </c>
      <c r="C1076" s="3" t="s">
        <v>82</v>
      </c>
      <c r="D1076" s="3" t="s">
        <v>45</v>
      </c>
      <c r="E1076" s="3" t="s">
        <v>27</v>
      </c>
      <c r="F1076" s="3" t="s">
        <v>46</v>
      </c>
      <c r="G1076" s="3" t="s">
        <v>47</v>
      </c>
      <c r="H1076" s="3" t="s">
        <v>30</v>
      </c>
      <c r="I1076" s="3" t="s">
        <v>31</v>
      </c>
      <c r="J1076" s="3" t="s">
        <v>32</v>
      </c>
      <c r="K1076" s="3" t="s">
        <v>33</v>
      </c>
      <c r="L1076" s="3" t="s">
        <v>51</v>
      </c>
      <c r="M1076" s="3" t="s">
        <v>72</v>
      </c>
      <c r="N1076" s="3" t="s">
        <v>73</v>
      </c>
      <c r="O1076" s="3" t="s">
        <v>83</v>
      </c>
      <c r="P1076" s="3" t="s">
        <v>84</v>
      </c>
      <c r="Q1076" s="3" t="s">
        <v>39</v>
      </c>
      <c r="R1076" s="3" t="s">
        <v>40</v>
      </c>
      <c r="S1076" s="55">
        <v>300</v>
      </c>
      <c r="T1076" s="55">
        <v>97.108199999999997</v>
      </c>
      <c r="U1076" s="55">
        <v>9.3793000000000006</v>
      </c>
      <c r="V1076" s="55">
        <v>202.89179999999999</v>
      </c>
      <c r="W1076" s="3">
        <v>32</v>
      </c>
    </row>
    <row r="1077" spans="1:23" x14ac:dyDescent="0.35">
      <c r="A1077" s="3" t="s">
        <v>487</v>
      </c>
      <c r="B1077" s="3" t="s">
        <v>488</v>
      </c>
      <c r="C1077" s="3" t="s">
        <v>85</v>
      </c>
      <c r="D1077" s="3" t="s">
        <v>45</v>
      </c>
      <c r="E1077" s="3" t="s">
        <v>27</v>
      </c>
      <c r="F1077" s="3" t="s">
        <v>46</v>
      </c>
      <c r="G1077" s="3" t="s">
        <v>47</v>
      </c>
      <c r="H1077" s="3" t="s">
        <v>30</v>
      </c>
      <c r="I1077" s="3" t="s">
        <v>31</v>
      </c>
      <c r="J1077" s="3" t="s">
        <v>32</v>
      </c>
      <c r="K1077" s="3" t="s">
        <v>33</v>
      </c>
      <c r="L1077" s="3" t="s">
        <v>51</v>
      </c>
      <c r="M1077" s="3" t="s">
        <v>72</v>
      </c>
      <c r="N1077" s="3" t="s">
        <v>73</v>
      </c>
      <c r="O1077" s="3" t="s">
        <v>86</v>
      </c>
      <c r="P1077" s="3" t="s">
        <v>87</v>
      </c>
      <c r="Q1077" s="3" t="s">
        <v>39</v>
      </c>
      <c r="R1077" s="3" t="s">
        <v>40</v>
      </c>
      <c r="S1077" s="55">
        <v>14835.2</v>
      </c>
      <c r="T1077" s="55">
        <v>0</v>
      </c>
      <c r="U1077" s="55">
        <v>0</v>
      </c>
      <c r="V1077" s="55">
        <v>14835.2</v>
      </c>
      <c r="W1077" s="3">
        <v>0</v>
      </c>
    </row>
    <row r="1078" spans="1:23" x14ac:dyDescent="0.35">
      <c r="A1078" s="3" t="s">
        <v>487</v>
      </c>
      <c r="B1078" s="3" t="s">
        <v>488</v>
      </c>
      <c r="C1078" s="3" t="s">
        <v>88</v>
      </c>
      <c r="D1078" s="3" t="s">
        <v>45</v>
      </c>
      <c r="E1078" s="3" t="s">
        <v>27</v>
      </c>
      <c r="F1078" s="3" t="s">
        <v>46</v>
      </c>
      <c r="G1078" s="3" t="s">
        <v>47</v>
      </c>
      <c r="H1078" s="3" t="s">
        <v>30</v>
      </c>
      <c r="I1078" s="3" t="s">
        <v>31</v>
      </c>
      <c r="J1078" s="3" t="s">
        <v>32</v>
      </c>
      <c r="K1078" s="3" t="s">
        <v>33</v>
      </c>
      <c r="L1078" s="3" t="s">
        <v>51</v>
      </c>
      <c r="M1078" s="3" t="s">
        <v>72</v>
      </c>
      <c r="N1078" s="3" t="s">
        <v>73</v>
      </c>
      <c r="O1078" s="3" t="s">
        <v>37</v>
      </c>
      <c r="P1078" s="3" t="s">
        <v>38</v>
      </c>
      <c r="Q1078" s="3" t="s">
        <v>39</v>
      </c>
      <c r="R1078" s="3" t="s">
        <v>40</v>
      </c>
      <c r="S1078" s="55">
        <v>96234.5</v>
      </c>
      <c r="T1078" s="55">
        <v>17505.246500000001</v>
      </c>
      <c r="U1078" s="55">
        <v>656.81740000000002</v>
      </c>
      <c r="V1078" s="55">
        <v>78729.253500000006</v>
      </c>
      <c r="W1078" s="3">
        <v>18</v>
      </c>
    </row>
    <row r="1079" spans="1:23" x14ac:dyDescent="0.35">
      <c r="A1079" s="3" t="s">
        <v>487</v>
      </c>
      <c r="B1079" s="3" t="s">
        <v>488</v>
      </c>
      <c r="C1079" s="3" t="s">
        <v>89</v>
      </c>
      <c r="D1079" s="3" t="s">
        <v>45</v>
      </c>
      <c r="E1079" s="3" t="s">
        <v>27</v>
      </c>
      <c r="F1079" s="3" t="s">
        <v>46</v>
      </c>
      <c r="G1079" s="3" t="s">
        <v>47</v>
      </c>
      <c r="H1079" s="3" t="s">
        <v>30</v>
      </c>
      <c r="I1079" s="3" t="s">
        <v>31</v>
      </c>
      <c r="J1079" s="3" t="s">
        <v>32</v>
      </c>
      <c r="K1079" s="3" t="s">
        <v>33</v>
      </c>
      <c r="L1079" s="3" t="s">
        <v>51</v>
      </c>
      <c r="M1079" s="3" t="s">
        <v>72</v>
      </c>
      <c r="N1079" s="3" t="s">
        <v>73</v>
      </c>
      <c r="O1079" s="3" t="s">
        <v>42</v>
      </c>
      <c r="P1079" s="3" t="s">
        <v>43</v>
      </c>
      <c r="Q1079" s="3" t="s">
        <v>39</v>
      </c>
      <c r="R1079" s="3" t="s">
        <v>40</v>
      </c>
      <c r="S1079" s="55">
        <v>16160.9</v>
      </c>
      <c r="T1079" s="55">
        <v>10009.992</v>
      </c>
      <c r="U1079" s="55">
        <v>498.0222</v>
      </c>
      <c r="V1079" s="55">
        <v>6150.9080000000004</v>
      </c>
      <c r="W1079" s="3">
        <v>62</v>
      </c>
    </row>
    <row r="1080" spans="1:23" x14ac:dyDescent="0.35">
      <c r="A1080" s="3" t="s">
        <v>487</v>
      </c>
      <c r="B1080" s="3" t="s">
        <v>488</v>
      </c>
      <c r="C1080" s="3" t="s">
        <v>90</v>
      </c>
      <c r="D1080" s="3" t="s">
        <v>45</v>
      </c>
      <c r="E1080" s="3" t="s">
        <v>27</v>
      </c>
      <c r="F1080" s="3" t="s">
        <v>46</v>
      </c>
      <c r="G1080" s="3" t="s">
        <v>47</v>
      </c>
      <c r="H1080" s="3" t="s">
        <v>30</v>
      </c>
      <c r="I1080" s="3" t="s">
        <v>31</v>
      </c>
      <c r="J1080" s="3" t="s">
        <v>32</v>
      </c>
      <c r="K1080" s="3" t="s">
        <v>33</v>
      </c>
      <c r="L1080" s="3" t="s">
        <v>51</v>
      </c>
      <c r="M1080" s="3" t="s">
        <v>72</v>
      </c>
      <c r="N1080" s="3" t="s">
        <v>73</v>
      </c>
      <c r="O1080" s="3" t="s">
        <v>91</v>
      </c>
      <c r="P1080" s="3" t="s">
        <v>92</v>
      </c>
      <c r="Q1080" s="3" t="s">
        <v>39</v>
      </c>
      <c r="R1080" s="3" t="s">
        <v>40</v>
      </c>
      <c r="S1080" s="55">
        <v>430.7</v>
      </c>
      <c r="T1080" s="55">
        <v>354.8981</v>
      </c>
      <c r="U1080" s="55">
        <v>140.18299999999999</v>
      </c>
      <c r="V1080" s="55">
        <v>75.801900000000003</v>
      </c>
      <c r="W1080" s="3">
        <v>82</v>
      </c>
    </row>
    <row r="1081" spans="1:23" x14ac:dyDescent="0.35">
      <c r="A1081" s="3" t="s">
        <v>487</v>
      </c>
      <c r="B1081" s="3" t="s">
        <v>488</v>
      </c>
      <c r="C1081" s="3" t="s">
        <v>559</v>
      </c>
      <c r="D1081" s="3" t="s">
        <v>45</v>
      </c>
      <c r="E1081" s="3" t="s">
        <v>27</v>
      </c>
      <c r="F1081" s="3" t="s">
        <v>46</v>
      </c>
      <c r="G1081" s="3" t="s">
        <v>47</v>
      </c>
      <c r="H1081" s="3" t="s">
        <v>30</v>
      </c>
      <c r="I1081" s="3" t="s">
        <v>31</v>
      </c>
      <c r="J1081" s="3" t="s">
        <v>32</v>
      </c>
      <c r="K1081" s="3" t="s">
        <v>33</v>
      </c>
      <c r="L1081" s="3" t="s">
        <v>51</v>
      </c>
      <c r="M1081" s="3" t="s">
        <v>72</v>
      </c>
      <c r="N1081" s="3" t="s">
        <v>73</v>
      </c>
      <c r="O1081" s="3" t="s">
        <v>125</v>
      </c>
      <c r="P1081" s="3" t="s">
        <v>126</v>
      </c>
      <c r="Q1081" s="3" t="s">
        <v>39</v>
      </c>
      <c r="R1081" s="3" t="s">
        <v>40</v>
      </c>
      <c r="S1081" s="55">
        <v>179.8</v>
      </c>
      <c r="T1081" s="55">
        <v>179.71199999999999</v>
      </c>
      <c r="U1081" s="55">
        <v>0</v>
      </c>
      <c r="V1081" s="55">
        <v>8.7999999999999995E-2</v>
      </c>
      <c r="W1081" s="3">
        <v>100</v>
      </c>
    </row>
    <row r="1082" spans="1:23" x14ac:dyDescent="0.35">
      <c r="A1082" s="3" t="s">
        <v>487</v>
      </c>
      <c r="B1082" s="3" t="s">
        <v>488</v>
      </c>
      <c r="C1082" s="3" t="s">
        <v>93</v>
      </c>
      <c r="D1082" s="3" t="s">
        <v>45</v>
      </c>
      <c r="E1082" s="3" t="s">
        <v>27</v>
      </c>
      <c r="F1082" s="3" t="s">
        <v>46</v>
      </c>
      <c r="G1082" s="3" t="s">
        <v>47</v>
      </c>
      <c r="H1082" s="3" t="s">
        <v>30</v>
      </c>
      <c r="I1082" s="3" t="s">
        <v>31</v>
      </c>
      <c r="J1082" s="3" t="s">
        <v>32</v>
      </c>
      <c r="K1082" s="3" t="s">
        <v>33</v>
      </c>
      <c r="L1082" s="3" t="s">
        <v>51</v>
      </c>
      <c r="M1082" s="3" t="s">
        <v>94</v>
      </c>
      <c r="N1082" s="3" t="s">
        <v>95</v>
      </c>
      <c r="O1082" s="3" t="s">
        <v>96</v>
      </c>
      <c r="P1082" s="3" t="s">
        <v>97</v>
      </c>
      <c r="Q1082" s="3" t="s">
        <v>39</v>
      </c>
      <c r="R1082" s="3" t="s">
        <v>40</v>
      </c>
      <c r="S1082" s="55">
        <v>181743.4</v>
      </c>
      <c r="T1082" s="55">
        <v>102814.6458</v>
      </c>
      <c r="U1082" s="55">
        <v>16620.509300000002</v>
      </c>
      <c r="V1082" s="55">
        <v>78928.754199999996</v>
      </c>
      <c r="W1082" s="3">
        <v>57</v>
      </c>
    </row>
    <row r="1083" spans="1:23" x14ac:dyDescent="0.35">
      <c r="A1083" s="3" t="s">
        <v>487</v>
      </c>
      <c r="B1083" s="3" t="s">
        <v>488</v>
      </c>
      <c r="C1083" s="3" t="s">
        <v>98</v>
      </c>
      <c r="D1083" s="3" t="s">
        <v>45</v>
      </c>
      <c r="E1083" s="3" t="s">
        <v>27</v>
      </c>
      <c r="F1083" s="3" t="s">
        <v>46</v>
      </c>
      <c r="G1083" s="3" t="s">
        <v>47</v>
      </c>
      <c r="H1083" s="3" t="s">
        <v>30</v>
      </c>
      <c r="I1083" s="3" t="s">
        <v>31</v>
      </c>
      <c r="J1083" s="3" t="s">
        <v>32</v>
      </c>
      <c r="K1083" s="3" t="s">
        <v>33</v>
      </c>
      <c r="L1083" s="3" t="s">
        <v>51</v>
      </c>
      <c r="M1083" s="3" t="s">
        <v>94</v>
      </c>
      <c r="N1083" s="3" t="s">
        <v>95</v>
      </c>
      <c r="O1083" s="3" t="s">
        <v>99</v>
      </c>
      <c r="P1083" s="3" t="s">
        <v>100</v>
      </c>
      <c r="Q1083" s="3" t="s">
        <v>39</v>
      </c>
      <c r="R1083" s="3" t="s">
        <v>40</v>
      </c>
      <c r="S1083" s="55">
        <v>54698.400000000001</v>
      </c>
      <c r="T1083" s="55">
        <v>27541.202700000002</v>
      </c>
      <c r="U1083" s="55">
        <v>3652.79</v>
      </c>
      <c r="V1083" s="55">
        <v>27157.1973</v>
      </c>
      <c r="W1083" s="3">
        <v>50</v>
      </c>
    </row>
    <row r="1084" spans="1:23" x14ac:dyDescent="0.35">
      <c r="A1084" s="3" t="s">
        <v>487</v>
      </c>
      <c r="B1084" s="3" t="s">
        <v>488</v>
      </c>
      <c r="C1084" s="3" t="s">
        <v>101</v>
      </c>
      <c r="D1084" s="3" t="s">
        <v>45</v>
      </c>
      <c r="E1084" s="3" t="s">
        <v>27</v>
      </c>
      <c r="F1084" s="3" t="s">
        <v>46</v>
      </c>
      <c r="G1084" s="3" t="s">
        <v>47</v>
      </c>
      <c r="H1084" s="3" t="s">
        <v>30</v>
      </c>
      <c r="I1084" s="3" t="s">
        <v>31</v>
      </c>
      <c r="J1084" s="3" t="s">
        <v>32</v>
      </c>
      <c r="K1084" s="3" t="s">
        <v>33</v>
      </c>
      <c r="L1084" s="3" t="s">
        <v>51</v>
      </c>
      <c r="M1084" s="3" t="s">
        <v>94</v>
      </c>
      <c r="N1084" s="3" t="s">
        <v>95</v>
      </c>
      <c r="O1084" s="3" t="s">
        <v>37</v>
      </c>
      <c r="P1084" s="3" t="s">
        <v>38</v>
      </c>
      <c r="Q1084" s="3" t="s">
        <v>39</v>
      </c>
      <c r="R1084" s="3" t="s">
        <v>40</v>
      </c>
      <c r="S1084" s="55">
        <v>2625.5</v>
      </c>
      <c r="T1084" s="55">
        <v>2271.2456999999999</v>
      </c>
      <c r="U1084" s="55">
        <v>157.5847</v>
      </c>
      <c r="V1084" s="55">
        <v>354.2543</v>
      </c>
      <c r="W1084" s="3">
        <v>87</v>
      </c>
    </row>
    <row r="1085" spans="1:23" x14ac:dyDescent="0.35">
      <c r="A1085" s="3" t="s">
        <v>487</v>
      </c>
      <c r="B1085" s="3" t="s">
        <v>488</v>
      </c>
      <c r="C1085" s="3" t="s">
        <v>467</v>
      </c>
      <c r="D1085" s="3" t="s">
        <v>45</v>
      </c>
      <c r="E1085" s="3" t="s">
        <v>27</v>
      </c>
      <c r="F1085" s="3" t="s">
        <v>46</v>
      </c>
      <c r="G1085" s="3" t="s">
        <v>47</v>
      </c>
      <c r="H1085" s="3" t="s">
        <v>30</v>
      </c>
      <c r="I1085" s="3" t="s">
        <v>31</v>
      </c>
      <c r="J1085" s="3" t="s">
        <v>32</v>
      </c>
      <c r="K1085" s="3" t="s">
        <v>33</v>
      </c>
      <c r="L1085" s="3" t="s">
        <v>51</v>
      </c>
      <c r="M1085" s="3" t="s">
        <v>94</v>
      </c>
      <c r="N1085" s="3" t="s">
        <v>95</v>
      </c>
      <c r="O1085" s="3" t="s">
        <v>468</v>
      </c>
      <c r="P1085" s="3" t="s">
        <v>469</v>
      </c>
      <c r="Q1085" s="3" t="s">
        <v>39</v>
      </c>
      <c r="R1085" s="3" t="s">
        <v>40</v>
      </c>
      <c r="S1085" s="55">
        <v>2</v>
      </c>
      <c r="T1085" s="55">
        <v>1.9904999999999999</v>
      </c>
      <c r="U1085" s="55">
        <v>0</v>
      </c>
      <c r="V1085" s="55">
        <v>9.4999999999999998E-3</v>
      </c>
      <c r="W1085" s="3">
        <v>100</v>
      </c>
    </row>
    <row r="1086" spans="1:23" x14ac:dyDescent="0.35">
      <c r="A1086" s="3" t="s">
        <v>487</v>
      </c>
      <c r="B1086" s="3" t="s">
        <v>488</v>
      </c>
      <c r="C1086" s="3" t="s">
        <v>102</v>
      </c>
      <c r="D1086" s="3" t="s">
        <v>45</v>
      </c>
      <c r="E1086" s="3" t="s">
        <v>27</v>
      </c>
      <c r="F1086" s="3" t="s">
        <v>46</v>
      </c>
      <c r="G1086" s="3" t="s">
        <v>47</v>
      </c>
      <c r="H1086" s="3" t="s">
        <v>30</v>
      </c>
      <c r="I1086" s="3" t="s">
        <v>31</v>
      </c>
      <c r="J1086" s="3" t="s">
        <v>32</v>
      </c>
      <c r="K1086" s="3" t="s">
        <v>33</v>
      </c>
      <c r="L1086" s="3" t="s">
        <v>51</v>
      </c>
      <c r="M1086" s="3" t="s">
        <v>94</v>
      </c>
      <c r="N1086" s="3" t="s">
        <v>95</v>
      </c>
      <c r="O1086" s="3" t="s">
        <v>103</v>
      </c>
      <c r="P1086" s="3" t="s">
        <v>104</v>
      </c>
      <c r="Q1086" s="3" t="s">
        <v>39</v>
      </c>
      <c r="R1086" s="3" t="s">
        <v>40</v>
      </c>
      <c r="S1086" s="55">
        <v>3.7</v>
      </c>
      <c r="T1086" s="55">
        <v>2.3089</v>
      </c>
      <c r="U1086" s="55">
        <v>0.91600000000000004</v>
      </c>
      <c r="V1086" s="55">
        <v>1.3911</v>
      </c>
      <c r="W1086" s="3">
        <v>62</v>
      </c>
    </row>
    <row r="1087" spans="1:23" x14ac:dyDescent="0.35">
      <c r="A1087" s="3" t="s">
        <v>487</v>
      </c>
      <c r="B1087" s="3" t="s">
        <v>488</v>
      </c>
      <c r="C1087" s="3" t="s">
        <v>105</v>
      </c>
      <c r="D1087" s="3" t="s">
        <v>45</v>
      </c>
      <c r="E1087" s="3" t="s">
        <v>27</v>
      </c>
      <c r="F1087" s="3" t="s">
        <v>46</v>
      </c>
      <c r="G1087" s="3" t="s">
        <v>47</v>
      </c>
      <c r="H1087" s="3" t="s">
        <v>30</v>
      </c>
      <c r="I1087" s="3" t="s">
        <v>31</v>
      </c>
      <c r="J1087" s="3" t="s">
        <v>32</v>
      </c>
      <c r="K1087" s="3" t="s">
        <v>33</v>
      </c>
      <c r="L1087" s="3" t="s">
        <v>51</v>
      </c>
      <c r="M1087" s="3" t="s">
        <v>106</v>
      </c>
      <c r="N1087" s="3" t="s">
        <v>107</v>
      </c>
      <c r="O1087" s="3" t="s">
        <v>108</v>
      </c>
      <c r="P1087" s="3" t="s">
        <v>109</v>
      </c>
      <c r="Q1087" s="3" t="s">
        <v>39</v>
      </c>
      <c r="R1087" s="3" t="s">
        <v>40</v>
      </c>
      <c r="S1087" s="55">
        <v>70925.600000000006</v>
      </c>
      <c r="T1087" s="55">
        <v>39101.599999999999</v>
      </c>
      <c r="U1087" s="55">
        <v>6120.0427</v>
      </c>
      <c r="V1087" s="55">
        <v>31824</v>
      </c>
      <c r="W1087" s="3">
        <v>55</v>
      </c>
    </row>
    <row r="1088" spans="1:23" x14ac:dyDescent="0.35">
      <c r="A1088" s="3" t="s">
        <v>487</v>
      </c>
      <c r="B1088" s="3" t="s">
        <v>488</v>
      </c>
      <c r="C1088" s="3" t="s">
        <v>110</v>
      </c>
      <c r="D1088" s="3" t="s">
        <v>45</v>
      </c>
      <c r="E1088" s="3" t="s">
        <v>27</v>
      </c>
      <c r="F1088" s="3" t="s">
        <v>46</v>
      </c>
      <c r="G1088" s="3" t="s">
        <v>47</v>
      </c>
      <c r="H1088" s="3" t="s">
        <v>30</v>
      </c>
      <c r="I1088" s="3" t="s">
        <v>31</v>
      </c>
      <c r="J1088" s="3" t="s">
        <v>32</v>
      </c>
      <c r="K1088" s="3" t="s">
        <v>33</v>
      </c>
      <c r="L1088" s="3" t="s">
        <v>51</v>
      </c>
      <c r="M1088" s="3" t="s">
        <v>111</v>
      </c>
      <c r="N1088" s="3" t="s">
        <v>112</v>
      </c>
      <c r="O1088" s="3" t="s">
        <v>37</v>
      </c>
      <c r="P1088" s="3" t="s">
        <v>38</v>
      </c>
      <c r="Q1088" s="3" t="s">
        <v>39</v>
      </c>
      <c r="R1088" s="3" t="s">
        <v>40</v>
      </c>
      <c r="S1088" s="55">
        <v>5536.5</v>
      </c>
      <c r="T1088" s="55">
        <v>2387.2683999999999</v>
      </c>
      <c r="U1088" s="55">
        <v>334.77589999999998</v>
      </c>
      <c r="V1088" s="55">
        <v>3149.2316000000001</v>
      </c>
      <c r="W1088" s="3">
        <v>43</v>
      </c>
    </row>
    <row r="1089" spans="1:23" x14ac:dyDescent="0.35">
      <c r="A1089" s="3" t="s">
        <v>487</v>
      </c>
      <c r="B1089" s="3" t="s">
        <v>488</v>
      </c>
      <c r="C1089" s="3" t="s">
        <v>113</v>
      </c>
      <c r="D1089" s="3" t="s">
        <v>114</v>
      </c>
      <c r="E1089" s="3" t="s">
        <v>115</v>
      </c>
      <c r="F1089" s="3" t="s">
        <v>116</v>
      </c>
      <c r="G1089" s="3" t="s">
        <v>117</v>
      </c>
      <c r="H1089" s="3" t="s">
        <v>48</v>
      </c>
      <c r="I1089" s="3" t="s">
        <v>49</v>
      </c>
      <c r="J1089" s="3" t="s">
        <v>50</v>
      </c>
      <c r="K1089" s="3" t="s">
        <v>33</v>
      </c>
      <c r="L1089" s="3" t="s">
        <v>51</v>
      </c>
      <c r="M1089" s="3" t="s">
        <v>118</v>
      </c>
      <c r="N1089" s="3" t="s">
        <v>119</v>
      </c>
      <c r="O1089" s="3" t="s">
        <v>37</v>
      </c>
      <c r="P1089" s="3" t="s">
        <v>38</v>
      </c>
      <c r="Q1089" s="3" t="s">
        <v>39</v>
      </c>
      <c r="R1089" s="3" t="s">
        <v>40</v>
      </c>
      <c r="S1089" s="55">
        <v>4082.8</v>
      </c>
      <c r="T1089" s="55">
        <v>3256.9695000000002</v>
      </c>
      <c r="U1089" s="55">
        <v>2000.2739999999999</v>
      </c>
      <c r="V1089" s="55">
        <v>825.83050000000003</v>
      </c>
      <c r="W1089" s="3">
        <v>80</v>
      </c>
    </row>
    <row r="1090" spans="1:23" x14ac:dyDescent="0.35">
      <c r="A1090" s="3" t="s">
        <v>487</v>
      </c>
      <c r="B1090" s="3" t="s">
        <v>488</v>
      </c>
      <c r="C1090" s="3" t="s">
        <v>120</v>
      </c>
      <c r="D1090" s="3" t="s">
        <v>114</v>
      </c>
      <c r="E1090" s="3" t="s">
        <v>115</v>
      </c>
      <c r="F1090" s="3" t="s">
        <v>116</v>
      </c>
      <c r="G1090" s="3" t="s">
        <v>117</v>
      </c>
      <c r="H1090" s="3" t="s">
        <v>48</v>
      </c>
      <c r="I1090" s="3" t="s">
        <v>49</v>
      </c>
      <c r="J1090" s="3" t="s">
        <v>50</v>
      </c>
      <c r="K1090" s="3" t="s">
        <v>33</v>
      </c>
      <c r="L1090" s="3" t="s">
        <v>51</v>
      </c>
      <c r="M1090" s="3" t="s">
        <v>118</v>
      </c>
      <c r="N1090" s="3" t="s">
        <v>119</v>
      </c>
      <c r="O1090" s="3" t="s">
        <v>42</v>
      </c>
      <c r="P1090" s="3" t="s">
        <v>43</v>
      </c>
      <c r="Q1090" s="3" t="s">
        <v>39</v>
      </c>
      <c r="R1090" s="3" t="s">
        <v>40</v>
      </c>
      <c r="S1090" s="55">
        <v>8518.1</v>
      </c>
      <c r="T1090" s="55">
        <v>264.81889999999999</v>
      </c>
      <c r="U1090" s="55">
        <v>0</v>
      </c>
      <c r="V1090" s="55">
        <v>8253.2811000000002</v>
      </c>
      <c r="W1090" s="3">
        <v>3</v>
      </c>
    </row>
    <row r="1091" spans="1:23" x14ac:dyDescent="0.35">
      <c r="A1091" s="3" t="s">
        <v>487</v>
      </c>
      <c r="B1091" s="3" t="s">
        <v>488</v>
      </c>
      <c r="C1091" s="3" t="s">
        <v>121</v>
      </c>
      <c r="D1091" s="3" t="s">
        <v>114</v>
      </c>
      <c r="E1091" s="3" t="s">
        <v>115</v>
      </c>
      <c r="F1091" s="3" t="s">
        <v>116</v>
      </c>
      <c r="G1091" s="3" t="s">
        <v>117</v>
      </c>
      <c r="H1091" s="3" t="s">
        <v>48</v>
      </c>
      <c r="I1091" s="3" t="s">
        <v>49</v>
      </c>
      <c r="J1091" s="3" t="s">
        <v>50</v>
      </c>
      <c r="K1091" s="3" t="s">
        <v>33</v>
      </c>
      <c r="L1091" s="3" t="s">
        <v>51</v>
      </c>
      <c r="M1091" s="3" t="s">
        <v>118</v>
      </c>
      <c r="N1091" s="3" t="s">
        <v>119</v>
      </c>
      <c r="O1091" s="3" t="s">
        <v>122</v>
      </c>
      <c r="P1091" s="3" t="s">
        <v>123</v>
      </c>
      <c r="Q1091" s="3" t="s">
        <v>39</v>
      </c>
      <c r="R1091" s="3" t="s">
        <v>40</v>
      </c>
      <c r="S1091" s="55">
        <v>5312.2</v>
      </c>
      <c r="T1091" s="55">
        <v>4513.5222000000003</v>
      </c>
      <c r="U1091" s="55">
        <v>1798.973</v>
      </c>
      <c r="V1091" s="55">
        <v>798.67780000000005</v>
      </c>
      <c r="W1091" s="3">
        <v>85</v>
      </c>
    </row>
    <row r="1092" spans="1:23" x14ac:dyDescent="0.35">
      <c r="A1092" s="3" t="s">
        <v>487</v>
      </c>
      <c r="B1092" s="3" t="s">
        <v>488</v>
      </c>
      <c r="C1092" s="3" t="s">
        <v>124</v>
      </c>
      <c r="D1092" s="3" t="s">
        <v>114</v>
      </c>
      <c r="E1092" s="3" t="s">
        <v>115</v>
      </c>
      <c r="F1092" s="3" t="s">
        <v>116</v>
      </c>
      <c r="G1092" s="3" t="s">
        <v>117</v>
      </c>
      <c r="H1092" s="3" t="s">
        <v>48</v>
      </c>
      <c r="I1092" s="3" t="s">
        <v>49</v>
      </c>
      <c r="J1092" s="3" t="s">
        <v>50</v>
      </c>
      <c r="K1092" s="3" t="s">
        <v>33</v>
      </c>
      <c r="L1092" s="3" t="s">
        <v>51</v>
      </c>
      <c r="M1092" s="3" t="s">
        <v>118</v>
      </c>
      <c r="N1092" s="3" t="s">
        <v>119</v>
      </c>
      <c r="O1092" s="3" t="s">
        <v>125</v>
      </c>
      <c r="P1092" s="3" t="s">
        <v>126</v>
      </c>
      <c r="Q1092" s="3" t="s">
        <v>39</v>
      </c>
      <c r="R1092" s="3" t="s">
        <v>40</v>
      </c>
      <c r="S1092" s="55">
        <v>1748.2</v>
      </c>
      <c r="T1092" s="55">
        <v>1339.3568</v>
      </c>
      <c r="U1092" s="55">
        <v>246.38650000000001</v>
      </c>
      <c r="V1092" s="55">
        <v>408.84320000000002</v>
      </c>
      <c r="W1092" s="3">
        <v>77</v>
      </c>
    </row>
    <row r="1093" spans="1:23" x14ac:dyDescent="0.35">
      <c r="A1093" s="3" t="s">
        <v>487</v>
      </c>
      <c r="B1093" s="3" t="s">
        <v>488</v>
      </c>
      <c r="C1093" s="3" t="s">
        <v>130</v>
      </c>
      <c r="D1093" s="3" t="s">
        <v>131</v>
      </c>
      <c r="E1093" s="3" t="s">
        <v>115</v>
      </c>
      <c r="F1093" s="3" t="s">
        <v>132</v>
      </c>
      <c r="G1093" s="3" t="s">
        <v>133</v>
      </c>
      <c r="H1093" s="3" t="s">
        <v>48</v>
      </c>
      <c r="I1093" s="3" t="s">
        <v>49</v>
      </c>
      <c r="J1093" s="3" t="s">
        <v>50</v>
      </c>
      <c r="K1093" s="3" t="s">
        <v>33</v>
      </c>
      <c r="L1093" s="3" t="s">
        <v>51</v>
      </c>
      <c r="M1093" s="3" t="s">
        <v>134</v>
      </c>
      <c r="N1093" s="3" t="s">
        <v>135</v>
      </c>
      <c r="O1093" s="3" t="s">
        <v>37</v>
      </c>
      <c r="P1093" s="3" t="s">
        <v>38</v>
      </c>
      <c r="Q1093" s="3" t="s">
        <v>39</v>
      </c>
      <c r="R1093" s="3" t="s">
        <v>40</v>
      </c>
      <c r="S1093" s="55">
        <v>22.1</v>
      </c>
      <c r="T1093" s="55">
        <v>11.1165</v>
      </c>
      <c r="U1093" s="55">
        <v>11.1165</v>
      </c>
      <c r="V1093" s="55">
        <v>10.983499999999999</v>
      </c>
      <c r="W1093" s="3">
        <v>50</v>
      </c>
    </row>
    <row r="1094" spans="1:23" x14ac:dyDescent="0.35">
      <c r="A1094" s="3" t="s">
        <v>487</v>
      </c>
      <c r="B1094" s="3" t="s">
        <v>488</v>
      </c>
      <c r="C1094" s="3" t="s">
        <v>448</v>
      </c>
      <c r="D1094" s="3" t="s">
        <v>137</v>
      </c>
      <c r="E1094" s="3" t="s">
        <v>138</v>
      </c>
      <c r="F1094" s="3" t="s">
        <v>139</v>
      </c>
      <c r="G1094" s="3" t="s">
        <v>140</v>
      </c>
      <c r="H1094" s="3" t="s">
        <v>48</v>
      </c>
      <c r="I1094" s="3" t="s">
        <v>49</v>
      </c>
      <c r="J1094" s="3" t="s">
        <v>50</v>
      </c>
      <c r="K1094" s="3" t="s">
        <v>33</v>
      </c>
      <c r="L1094" s="3" t="s">
        <v>51</v>
      </c>
      <c r="M1094" s="3" t="s">
        <v>446</v>
      </c>
      <c r="N1094" s="3" t="s">
        <v>447</v>
      </c>
      <c r="O1094" s="3" t="s">
        <v>197</v>
      </c>
      <c r="P1094" s="3" t="s">
        <v>198</v>
      </c>
      <c r="Q1094" s="3" t="s">
        <v>39</v>
      </c>
      <c r="R1094" s="3" t="s">
        <v>40</v>
      </c>
      <c r="S1094" s="55">
        <v>33219</v>
      </c>
      <c r="T1094" s="55">
        <v>264.53699999999998</v>
      </c>
      <c r="U1094" s="55">
        <v>264.53699999999998</v>
      </c>
      <c r="V1094" s="55">
        <v>32954.463000000003</v>
      </c>
      <c r="W1094" s="3">
        <v>1</v>
      </c>
    </row>
    <row r="1095" spans="1:23" x14ac:dyDescent="0.35">
      <c r="A1095" s="3" t="s">
        <v>487</v>
      </c>
      <c r="B1095" s="3" t="s">
        <v>488</v>
      </c>
      <c r="C1095" s="3" t="s">
        <v>136</v>
      </c>
      <c r="D1095" s="3" t="s">
        <v>137</v>
      </c>
      <c r="E1095" s="3" t="s">
        <v>138</v>
      </c>
      <c r="F1095" s="3" t="s">
        <v>139</v>
      </c>
      <c r="G1095" s="3" t="s">
        <v>140</v>
      </c>
      <c r="H1095" s="3" t="s">
        <v>30</v>
      </c>
      <c r="I1095" s="3" t="s">
        <v>31</v>
      </c>
      <c r="J1095" s="3" t="s">
        <v>32</v>
      </c>
      <c r="K1095" s="3" t="s">
        <v>33</v>
      </c>
      <c r="L1095" s="3" t="s">
        <v>51</v>
      </c>
      <c r="M1095" s="3" t="s">
        <v>141</v>
      </c>
      <c r="N1095" s="3" t="s">
        <v>142</v>
      </c>
      <c r="O1095" s="3" t="s">
        <v>83</v>
      </c>
      <c r="P1095" s="3" t="s">
        <v>84</v>
      </c>
      <c r="Q1095" s="3" t="s">
        <v>39</v>
      </c>
      <c r="R1095" s="3" t="s">
        <v>40</v>
      </c>
      <c r="S1095" s="55">
        <v>5402.8</v>
      </c>
      <c r="T1095" s="55">
        <v>2698.5666000000001</v>
      </c>
      <c r="U1095" s="55">
        <v>182.8526</v>
      </c>
      <c r="V1095" s="55">
        <v>2704.2334000000001</v>
      </c>
      <c r="W1095" s="3">
        <v>50</v>
      </c>
    </row>
    <row r="1096" spans="1:23" x14ac:dyDescent="0.35">
      <c r="A1096" s="3" t="s">
        <v>487</v>
      </c>
      <c r="B1096" s="3" t="s">
        <v>488</v>
      </c>
      <c r="C1096" s="3" t="s">
        <v>143</v>
      </c>
      <c r="D1096" s="3" t="s">
        <v>144</v>
      </c>
      <c r="E1096" s="3" t="s">
        <v>145</v>
      </c>
      <c r="F1096" s="3" t="s">
        <v>146</v>
      </c>
      <c r="G1096" s="3" t="s">
        <v>147</v>
      </c>
      <c r="H1096" s="3" t="s">
        <v>116</v>
      </c>
      <c r="I1096" s="3" t="s">
        <v>148</v>
      </c>
      <c r="J1096" s="3" t="s">
        <v>149</v>
      </c>
      <c r="K1096" s="3" t="s">
        <v>33</v>
      </c>
      <c r="L1096" s="3" t="s">
        <v>51</v>
      </c>
      <c r="M1096" s="3" t="s">
        <v>150</v>
      </c>
      <c r="N1096" s="3" t="s">
        <v>151</v>
      </c>
      <c r="O1096" s="3" t="s">
        <v>37</v>
      </c>
      <c r="P1096" s="3" t="s">
        <v>38</v>
      </c>
      <c r="Q1096" s="3" t="s">
        <v>39</v>
      </c>
      <c r="R1096" s="3" t="s">
        <v>40</v>
      </c>
      <c r="S1096" s="55">
        <v>5247.5</v>
      </c>
      <c r="T1096" s="55">
        <v>4719.3203999999996</v>
      </c>
      <c r="U1096" s="55">
        <v>1821.462</v>
      </c>
      <c r="V1096" s="55">
        <v>528.17960000000005</v>
      </c>
      <c r="W1096" s="3">
        <v>90</v>
      </c>
    </row>
    <row r="1097" spans="1:23" x14ac:dyDescent="0.35">
      <c r="A1097" s="3" t="s">
        <v>487</v>
      </c>
      <c r="B1097" s="3" t="s">
        <v>488</v>
      </c>
      <c r="C1097" s="3" t="s">
        <v>152</v>
      </c>
      <c r="D1097" s="3" t="s">
        <v>144</v>
      </c>
      <c r="E1097" s="3" t="s">
        <v>145</v>
      </c>
      <c r="F1097" s="3" t="s">
        <v>146</v>
      </c>
      <c r="G1097" s="3" t="s">
        <v>147</v>
      </c>
      <c r="H1097" s="3" t="s">
        <v>116</v>
      </c>
      <c r="I1097" s="3" t="s">
        <v>148</v>
      </c>
      <c r="J1097" s="3" t="s">
        <v>149</v>
      </c>
      <c r="K1097" s="3" t="s">
        <v>33</v>
      </c>
      <c r="L1097" s="3" t="s">
        <v>51</v>
      </c>
      <c r="M1097" s="3" t="s">
        <v>153</v>
      </c>
      <c r="N1097" s="3" t="s">
        <v>154</v>
      </c>
      <c r="O1097" s="3" t="s">
        <v>37</v>
      </c>
      <c r="P1097" s="3" t="s">
        <v>38</v>
      </c>
      <c r="Q1097" s="3" t="s">
        <v>39</v>
      </c>
      <c r="R1097" s="3" t="s">
        <v>40</v>
      </c>
      <c r="S1097" s="55">
        <v>58395.199999999997</v>
      </c>
      <c r="T1097" s="55">
        <v>88.846699999999998</v>
      </c>
      <c r="U1097" s="55">
        <v>0</v>
      </c>
      <c r="V1097" s="55">
        <v>58306.353300000002</v>
      </c>
      <c r="W1097" s="3">
        <v>0</v>
      </c>
    </row>
    <row r="1098" spans="1:23" x14ac:dyDescent="0.35">
      <c r="A1098" s="3" t="s">
        <v>487</v>
      </c>
      <c r="B1098" s="3" t="s">
        <v>488</v>
      </c>
      <c r="C1098" s="3" t="s">
        <v>155</v>
      </c>
      <c r="D1098" s="3" t="s">
        <v>144</v>
      </c>
      <c r="E1098" s="3" t="s">
        <v>145</v>
      </c>
      <c r="F1098" s="3" t="s">
        <v>146</v>
      </c>
      <c r="G1098" s="3" t="s">
        <v>147</v>
      </c>
      <c r="H1098" s="3" t="s">
        <v>116</v>
      </c>
      <c r="I1098" s="3" t="s">
        <v>148</v>
      </c>
      <c r="J1098" s="3" t="s">
        <v>149</v>
      </c>
      <c r="K1098" s="3" t="s">
        <v>33</v>
      </c>
      <c r="L1098" s="3" t="s">
        <v>51</v>
      </c>
      <c r="M1098" s="3" t="s">
        <v>156</v>
      </c>
      <c r="N1098" s="3" t="s">
        <v>157</v>
      </c>
      <c r="O1098" s="3" t="s">
        <v>37</v>
      </c>
      <c r="P1098" s="3" t="s">
        <v>38</v>
      </c>
      <c r="Q1098" s="3" t="s">
        <v>39</v>
      </c>
      <c r="R1098" s="3" t="s">
        <v>40</v>
      </c>
      <c r="S1098" s="55">
        <v>2291.9</v>
      </c>
      <c r="T1098" s="55">
        <v>400.46890000000002</v>
      </c>
      <c r="U1098" s="55">
        <v>88.581000000000003</v>
      </c>
      <c r="V1098" s="55">
        <v>1891.4311</v>
      </c>
      <c r="W1098" s="3">
        <v>17</v>
      </c>
    </row>
    <row r="1099" spans="1:23" x14ac:dyDescent="0.35">
      <c r="A1099" s="3" t="s">
        <v>487</v>
      </c>
      <c r="B1099" s="3" t="s">
        <v>488</v>
      </c>
      <c r="C1099" s="3" t="s">
        <v>158</v>
      </c>
      <c r="D1099" s="3" t="s">
        <v>144</v>
      </c>
      <c r="E1099" s="3" t="s">
        <v>145</v>
      </c>
      <c r="F1099" s="3" t="s">
        <v>146</v>
      </c>
      <c r="G1099" s="3" t="s">
        <v>147</v>
      </c>
      <c r="H1099" s="3" t="s">
        <v>116</v>
      </c>
      <c r="I1099" s="3" t="s">
        <v>148</v>
      </c>
      <c r="J1099" s="3" t="s">
        <v>149</v>
      </c>
      <c r="K1099" s="3" t="s">
        <v>33</v>
      </c>
      <c r="L1099" s="3" t="s">
        <v>51</v>
      </c>
      <c r="M1099" s="3" t="s">
        <v>156</v>
      </c>
      <c r="N1099" s="3" t="s">
        <v>157</v>
      </c>
      <c r="O1099" s="3" t="s">
        <v>125</v>
      </c>
      <c r="P1099" s="3" t="s">
        <v>126</v>
      </c>
      <c r="Q1099" s="3" t="s">
        <v>39</v>
      </c>
      <c r="R1099" s="3" t="s">
        <v>40</v>
      </c>
      <c r="S1099" s="55">
        <v>105638.8</v>
      </c>
      <c r="T1099" s="55">
        <v>52631.239399999999</v>
      </c>
      <c r="U1099" s="55">
        <v>9828.2075000000004</v>
      </c>
      <c r="V1099" s="55">
        <v>53007.560599999997</v>
      </c>
      <c r="W1099" s="3">
        <v>50</v>
      </c>
    </row>
    <row r="1100" spans="1:23" x14ac:dyDescent="0.35">
      <c r="A1100" s="3" t="s">
        <v>487</v>
      </c>
      <c r="B1100" s="3" t="s">
        <v>488</v>
      </c>
      <c r="C1100" s="3" t="s">
        <v>159</v>
      </c>
      <c r="D1100" s="3" t="s">
        <v>144</v>
      </c>
      <c r="E1100" s="3" t="s">
        <v>145</v>
      </c>
      <c r="F1100" s="3" t="s">
        <v>146</v>
      </c>
      <c r="G1100" s="3" t="s">
        <v>147</v>
      </c>
      <c r="H1100" s="3" t="s">
        <v>116</v>
      </c>
      <c r="I1100" s="3" t="s">
        <v>148</v>
      </c>
      <c r="J1100" s="3" t="s">
        <v>149</v>
      </c>
      <c r="K1100" s="3" t="s">
        <v>33</v>
      </c>
      <c r="L1100" s="3" t="s">
        <v>51</v>
      </c>
      <c r="M1100" s="3" t="s">
        <v>160</v>
      </c>
      <c r="N1100" s="3" t="s">
        <v>161</v>
      </c>
      <c r="O1100" s="3" t="s">
        <v>37</v>
      </c>
      <c r="P1100" s="3" t="s">
        <v>38</v>
      </c>
      <c r="Q1100" s="3" t="s">
        <v>39</v>
      </c>
      <c r="R1100" s="3" t="s">
        <v>40</v>
      </c>
      <c r="S1100" s="55">
        <v>16844.5</v>
      </c>
      <c r="T1100" s="55">
        <v>9954.7235000000001</v>
      </c>
      <c r="U1100" s="55">
        <v>3534.4195</v>
      </c>
      <c r="V1100" s="55">
        <v>6889.7764999999999</v>
      </c>
      <c r="W1100" s="3">
        <v>59</v>
      </c>
    </row>
    <row r="1101" spans="1:23" x14ac:dyDescent="0.35">
      <c r="A1101" s="3" t="s">
        <v>487</v>
      </c>
      <c r="B1101" s="3" t="s">
        <v>488</v>
      </c>
      <c r="C1101" s="3" t="s">
        <v>162</v>
      </c>
      <c r="D1101" s="3" t="s">
        <v>144</v>
      </c>
      <c r="E1101" s="3" t="s">
        <v>145</v>
      </c>
      <c r="F1101" s="3" t="s">
        <v>146</v>
      </c>
      <c r="G1101" s="3" t="s">
        <v>147</v>
      </c>
      <c r="H1101" s="3" t="s">
        <v>116</v>
      </c>
      <c r="I1101" s="3" t="s">
        <v>148</v>
      </c>
      <c r="J1101" s="3" t="s">
        <v>149</v>
      </c>
      <c r="K1101" s="3" t="s">
        <v>33</v>
      </c>
      <c r="L1101" s="3" t="s">
        <v>51</v>
      </c>
      <c r="M1101" s="3" t="s">
        <v>160</v>
      </c>
      <c r="N1101" s="3" t="s">
        <v>161</v>
      </c>
      <c r="O1101" s="3" t="s">
        <v>42</v>
      </c>
      <c r="P1101" s="3" t="s">
        <v>43</v>
      </c>
      <c r="Q1101" s="3" t="s">
        <v>39</v>
      </c>
      <c r="R1101" s="3" t="s">
        <v>40</v>
      </c>
      <c r="S1101" s="55">
        <v>6321.4</v>
      </c>
      <c r="T1101" s="55">
        <v>0</v>
      </c>
      <c r="U1101" s="55">
        <v>0</v>
      </c>
      <c r="V1101" s="55">
        <v>6321.4</v>
      </c>
      <c r="W1101" s="3">
        <v>0</v>
      </c>
    </row>
    <row r="1102" spans="1:23" x14ac:dyDescent="0.35">
      <c r="A1102" s="3" t="s">
        <v>487</v>
      </c>
      <c r="B1102" s="3" t="s">
        <v>488</v>
      </c>
      <c r="C1102" s="3" t="s">
        <v>163</v>
      </c>
      <c r="D1102" s="3" t="s">
        <v>144</v>
      </c>
      <c r="E1102" s="3" t="s">
        <v>145</v>
      </c>
      <c r="F1102" s="3" t="s">
        <v>146</v>
      </c>
      <c r="G1102" s="3" t="s">
        <v>147</v>
      </c>
      <c r="H1102" s="3" t="s">
        <v>116</v>
      </c>
      <c r="I1102" s="3" t="s">
        <v>148</v>
      </c>
      <c r="J1102" s="3" t="s">
        <v>149</v>
      </c>
      <c r="K1102" s="3" t="s">
        <v>33</v>
      </c>
      <c r="L1102" s="3" t="s">
        <v>51</v>
      </c>
      <c r="M1102" s="3" t="s">
        <v>160</v>
      </c>
      <c r="N1102" s="3" t="s">
        <v>161</v>
      </c>
      <c r="O1102" s="3" t="s">
        <v>125</v>
      </c>
      <c r="P1102" s="3" t="s">
        <v>126</v>
      </c>
      <c r="Q1102" s="3" t="s">
        <v>39</v>
      </c>
      <c r="R1102" s="3" t="s">
        <v>40</v>
      </c>
      <c r="S1102" s="55">
        <v>4785.7</v>
      </c>
      <c r="T1102" s="55">
        <v>2647.8735000000001</v>
      </c>
      <c r="U1102" s="55">
        <v>399.17809999999997</v>
      </c>
      <c r="V1102" s="55">
        <v>2137.8265000000001</v>
      </c>
      <c r="W1102" s="3">
        <v>55</v>
      </c>
    </row>
    <row r="1103" spans="1:23" x14ac:dyDescent="0.35">
      <c r="A1103" s="3" t="s">
        <v>487</v>
      </c>
      <c r="B1103" s="3" t="s">
        <v>488</v>
      </c>
      <c r="C1103" s="3" t="s">
        <v>423</v>
      </c>
      <c r="D1103" s="3" t="s">
        <v>165</v>
      </c>
      <c r="E1103" s="3" t="s">
        <v>145</v>
      </c>
      <c r="F1103" s="3" t="s">
        <v>28</v>
      </c>
      <c r="G1103" s="3" t="s">
        <v>166</v>
      </c>
      <c r="H1103" s="3" t="s">
        <v>139</v>
      </c>
      <c r="I1103" s="3" t="s">
        <v>167</v>
      </c>
      <c r="J1103" s="3" t="s">
        <v>168</v>
      </c>
      <c r="K1103" s="3" t="s">
        <v>33</v>
      </c>
      <c r="L1103" s="3" t="s">
        <v>51</v>
      </c>
      <c r="M1103" s="3" t="s">
        <v>424</v>
      </c>
      <c r="N1103" s="3" t="s">
        <v>507</v>
      </c>
      <c r="O1103" s="3" t="s">
        <v>37</v>
      </c>
      <c r="P1103" s="3" t="s">
        <v>38</v>
      </c>
      <c r="Q1103" s="3" t="s">
        <v>39</v>
      </c>
      <c r="R1103" s="3" t="s">
        <v>40</v>
      </c>
      <c r="S1103" s="55">
        <v>1249.3</v>
      </c>
      <c r="T1103" s="55">
        <v>340</v>
      </c>
      <c r="U1103" s="55">
        <v>340</v>
      </c>
      <c r="V1103" s="55">
        <v>909.3</v>
      </c>
      <c r="W1103" s="3">
        <v>27</v>
      </c>
    </row>
    <row r="1104" spans="1:23" x14ac:dyDescent="0.35">
      <c r="A1104" s="3" t="s">
        <v>487</v>
      </c>
      <c r="B1104" s="3" t="s">
        <v>488</v>
      </c>
      <c r="C1104" s="3" t="s">
        <v>560</v>
      </c>
      <c r="D1104" s="3" t="s">
        <v>165</v>
      </c>
      <c r="E1104" s="3" t="s">
        <v>145</v>
      </c>
      <c r="F1104" s="3" t="s">
        <v>28</v>
      </c>
      <c r="G1104" s="3" t="s">
        <v>166</v>
      </c>
      <c r="H1104" s="3" t="s">
        <v>139</v>
      </c>
      <c r="I1104" s="3" t="s">
        <v>167</v>
      </c>
      <c r="J1104" s="3" t="s">
        <v>168</v>
      </c>
      <c r="K1104" s="3" t="s">
        <v>33</v>
      </c>
      <c r="L1104" s="3" t="s">
        <v>51</v>
      </c>
      <c r="M1104" s="3" t="s">
        <v>424</v>
      </c>
      <c r="N1104" s="3" t="s">
        <v>507</v>
      </c>
      <c r="O1104" s="3" t="s">
        <v>125</v>
      </c>
      <c r="P1104" s="3" t="s">
        <v>126</v>
      </c>
      <c r="Q1104" s="3" t="s">
        <v>39</v>
      </c>
      <c r="R1104" s="3" t="s">
        <v>40</v>
      </c>
      <c r="S1104" s="55">
        <v>250.7</v>
      </c>
      <c r="T1104" s="55">
        <v>250.65</v>
      </c>
      <c r="U1104" s="55">
        <v>0</v>
      </c>
      <c r="V1104" s="55">
        <v>0.05</v>
      </c>
      <c r="W1104" s="3">
        <v>100</v>
      </c>
    </row>
    <row r="1105" spans="1:23" x14ac:dyDescent="0.35">
      <c r="A1105" s="3" t="s">
        <v>487</v>
      </c>
      <c r="B1105" s="3" t="s">
        <v>488</v>
      </c>
      <c r="C1105" s="3" t="s">
        <v>164</v>
      </c>
      <c r="D1105" s="3" t="s">
        <v>165</v>
      </c>
      <c r="E1105" s="3" t="s">
        <v>145</v>
      </c>
      <c r="F1105" s="3" t="s">
        <v>28</v>
      </c>
      <c r="G1105" s="3" t="s">
        <v>166</v>
      </c>
      <c r="H1105" s="3" t="s">
        <v>139</v>
      </c>
      <c r="I1105" s="3" t="s">
        <v>167</v>
      </c>
      <c r="J1105" s="3" t="s">
        <v>168</v>
      </c>
      <c r="K1105" s="3" t="s">
        <v>33</v>
      </c>
      <c r="L1105" s="3" t="s">
        <v>51</v>
      </c>
      <c r="M1105" s="3" t="s">
        <v>169</v>
      </c>
      <c r="N1105" s="3" t="s">
        <v>170</v>
      </c>
      <c r="O1105" s="3" t="s">
        <v>37</v>
      </c>
      <c r="P1105" s="3" t="s">
        <v>38</v>
      </c>
      <c r="Q1105" s="3" t="s">
        <v>39</v>
      </c>
      <c r="R1105" s="3" t="s">
        <v>40</v>
      </c>
      <c r="S1105" s="55">
        <v>52212.9</v>
      </c>
      <c r="T1105" s="55">
        <v>6019.0825000000004</v>
      </c>
      <c r="U1105" s="55">
        <v>892.82989999999995</v>
      </c>
      <c r="V1105" s="55">
        <v>46193.817499999997</v>
      </c>
      <c r="W1105" s="3">
        <v>12</v>
      </c>
    </row>
    <row r="1106" spans="1:23" x14ac:dyDescent="0.35">
      <c r="A1106" s="3" t="s">
        <v>487</v>
      </c>
      <c r="B1106" s="3" t="s">
        <v>488</v>
      </c>
      <c r="C1106" s="3" t="s">
        <v>561</v>
      </c>
      <c r="D1106" s="3" t="s">
        <v>165</v>
      </c>
      <c r="E1106" s="3" t="s">
        <v>145</v>
      </c>
      <c r="F1106" s="3" t="s">
        <v>28</v>
      </c>
      <c r="G1106" s="3" t="s">
        <v>166</v>
      </c>
      <c r="H1106" s="3" t="s">
        <v>139</v>
      </c>
      <c r="I1106" s="3" t="s">
        <v>167</v>
      </c>
      <c r="J1106" s="3" t="s">
        <v>168</v>
      </c>
      <c r="K1106" s="3" t="s">
        <v>33</v>
      </c>
      <c r="L1106" s="3" t="s">
        <v>51</v>
      </c>
      <c r="M1106" s="3" t="s">
        <v>169</v>
      </c>
      <c r="N1106" s="3" t="s">
        <v>170</v>
      </c>
      <c r="O1106" s="3" t="s">
        <v>125</v>
      </c>
      <c r="P1106" s="3" t="s">
        <v>126</v>
      </c>
      <c r="Q1106" s="3" t="s">
        <v>39</v>
      </c>
      <c r="R1106" s="3" t="s">
        <v>40</v>
      </c>
      <c r="S1106" s="55">
        <v>406.8</v>
      </c>
      <c r="T1106" s="55">
        <v>406.8</v>
      </c>
      <c r="U1106" s="55">
        <v>0</v>
      </c>
      <c r="V1106" s="55">
        <v>0</v>
      </c>
      <c r="W1106" s="3">
        <v>100</v>
      </c>
    </row>
    <row r="1107" spans="1:23" x14ac:dyDescent="0.35">
      <c r="A1107" s="3" t="s">
        <v>487</v>
      </c>
      <c r="B1107" s="3" t="s">
        <v>488</v>
      </c>
      <c r="C1107" s="3" t="s">
        <v>171</v>
      </c>
      <c r="D1107" s="3" t="s">
        <v>165</v>
      </c>
      <c r="E1107" s="3" t="s">
        <v>145</v>
      </c>
      <c r="F1107" s="3" t="s">
        <v>28</v>
      </c>
      <c r="G1107" s="3" t="s">
        <v>166</v>
      </c>
      <c r="H1107" s="3" t="s">
        <v>139</v>
      </c>
      <c r="I1107" s="3" t="s">
        <v>167</v>
      </c>
      <c r="J1107" s="3" t="s">
        <v>168</v>
      </c>
      <c r="K1107" s="3" t="s">
        <v>33</v>
      </c>
      <c r="L1107" s="3" t="s">
        <v>51</v>
      </c>
      <c r="M1107" s="3" t="s">
        <v>172</v>
      </c>
      <c r="N1107" s="3" t="s">
        <v>173</v>
      </c>
      <c r="O1107" s="3" t="s">
        <v>37</v>
      </c>
      <c r="P1107" s="3" t="s">
        <v>38</v>
      </c>
      <c r="Q1107" s="3" t="s">
        <v>39</v>
      </c>
      <c r="R1107" s="3" t="s">
        <v>40</v>
      </c>
      <c r="S1107" s="55">
        <v>152084.6</v>
      </c>
      <c r="T1107" s="55">
        <v>3509.1210999999998</v>
      </c>
      <c r="U1107" s="55">
        <v>2926.1210999999998</v>
      </c>
      <c r="V1107" s="55">
        <v>148575.47889999999</v>
      </c>
      <c r="W1107" s="3">
        <v>2</v>
      </c>
    </row>
    <row r="1108" spans="1:23" x14ac:dyDescent="0.35">
      <c r="A1108" s="3" t="s">
        <v>487</v>
      </c>
      <c r="B1108" s="3" t="s">
        <v>488</v>
      </c>
      <c r="C1108" s="3" t="s">
        <v>562</v>
      </c>
      <c r="D1108" s="3" t="s">
        <v>165</v>
      </c>
      <c r="E1108" s="3" t="s">
        <v>145</v>
      </c>
      <c r="F1108" s="3" t="s">
        <v>28</v>
      </c>
      <c r="G1108" s="3" t="s">
        <v>166</v>
      </c>
      <c r="H1108" s="3" t="s">
        <v>139</v>
      </c>
      <c r="I1108" s="3" t="s">
        <v>167</v>
      </c>
      <c r="J1108" s="3" t="s">
        <v>168</v>
      </c>
      <c r="K1108" s="3" t="s">
        <v>33</v>
      </c>
      <c r="L1108" s="3" t="s">
        <v>51</v>
      </c>
      <c r="M1108" s="3" t="s">
        <v>172</v>
      </c>
      <c r="N1108" s="3" t="s">
        <v>173</v>
      </c>
      <c r="O1108" s="3" t="s">
        <v>125</v>
      </c>
      <c r="P1108" s="3" t="s">
        <v>126</v>
      </c>
      <c r="Q1108" s="3" t="s">
        <v>39</v>
      </c>
      <c r="R1108" s="3" t="s">
        <v>40</v>
      </c>
      <c r="S1108" s="55">
        <v>2086.8000000000002</v>
      </c>
      <c r="T1108" s="55">
        <v>2086.8000000000002</v>
      </c>
      <c r="U1108" s="55">
        <v>0</v>
      </c>
      <c r="V1108" s="55">
        <v>0</v>
      </c>
      <c r="W1108" s="3">
        <v>100</v>
      </c>
    </row>
    <row r="1109" spans="1:23" x14ac:dyDescent="0.35">
      <c r="A1109" s="3" t="s">
        <v>487</v>
      </c>
      <c r="B1109" s="3" t="s">
        <v>488</v>
      </c>
      <c r="C1109" s="3" t="s">
        <v>174</v>
      </c>
      <c r="D1109" s="3" t="s">
        <v>175</v>
      </c>
      <c r="E1109" s="3" t="s">
        <v>145</v>
      </c>
      <c r="F1109" s="3" t="s">
        <v>176</v>
      </c>
      <c r="G1109" s="3" t="s">
        <v>177</v>
      </c>
      <c r="H1109" s="3" t="s">
        <v>116</v>
      </c>
      <c r="I1109" s="3" t="s">
        <v>148</v>
      </c>
      <c r="J1109" s="3" t="s">
        <v>149</v>
      </c>
      <c r="K1109" s="3" t="s">
        <v>33</v>
      </c>
      <c r="L1109" s="3" t="s">
        <v>51</v>
      </c>
      <c r="M1109" s="3" t="s">
        <v>178</v>
      </c>
      <c r="N1109" s="3" t="s">
        <v>179</v>
      </c>
      <c r="O1109" s="3" t="s">
        <v>96</v>
      </c>
      <c r="P1109" s="3" t="s">
        <v>97</v>
      </c>
      <c r="Q1109" s="3" t="s">
        <v>39</v>
      </c>
      <c r="R1109" s="3" t="s">
        <v>40</v>
      </c>
      <c r="S1109" s="55">
        <v>484074.8</v>
      </c>
      <c r="T1109" s="55">
        <v>258486.84909999999</v>
      </c>
      <c r="U1109" s="55">
        <v>35258.228900000002</v>
      </c>
      <c r="V1109" s="55">
        <v>225587.9509</v>
      </c>
      <c r="W1109" s="3">
        <v>53</v>
      </c>
    </row>
    <row r="1110" spans="1:23" x14ac:dyDescent="0.35">
      <c r="A1110" s="3" t="s">
        <v>487</v>
      </c>
      <c r="B1110" s="3" t="s">
        <v>488</v>
      </c>
      <c r="C1110" s="3" t="s">
        <v>180</v>
      </c>
      <c r="D1110" s="3" t="s">
        <v>175</v>
      </c>
      <c r="E1110" s="3" t="s">
        <v>145</v>
      </c>
      <c r="F1110" s="3" t="s">
        <v>176</v>
      </c>
      <c r="G1110" s="3" t="s">
        <v>177</v>
      </c>
      <c r="H1110" s="3" t="s">
        <v>116</v>
      </c>
      <c r="I1110" s="3" t="s">
        <v>148</v>
      </c>
      <c r="J1110" s="3" t="s">
        <v>149</v>
      </c>
      <c r="K1110" s="3" t="s">
        <v>33</v>
      </c>
      <c r="L1110" s="3" t="s">
        <v>51</v>
      </c>
      <c r="M1110" s="3" t="s">
        <v>178</v>
      </c>
      <c r="N1110" s="3" t="s">
        <v>179</v>
      </c>
      <c r="O1110" s="3" t="s">
        <v>99</v>
      </c>
      <c r="P1110" s="3" t="s">
        <v>100</v>
      </c>
      <c r="Q1110" s="3" t="s">
        <v>39</v>
      </c>
      <c r="R1110" s="3" t="s">
        <v>40</v>
      </c>
      <c r="S1110" s="55">
        <v>145129.20000000001</v>
      </c>
      <c r="T1110" s="55">
        <v>77327.315000000002</v>
      </c>
      <c r="U1110" s="55">
        <v>10654.6466</v>
      </c>
      <c r="V1110" s="55">
        <v>67801.884999999995</v>
      </c>
      <c r="W1110" s="3">
        <v>53</v>
      </c>
    </row>
    <row r="1111" spans="1:23" x14ac:dyDescent="0.35">
      <c r="A1111" s="3" t="s">
        <v>487</v>
      </c>
      <c r="B1111" s="3" t="s">
        <v>488</v>
      </c>
      <c r="C1111" s="3" t="s">
        <v>181</v>
      </c>
      <c r="D1111" s="3" t="s">
        <v>175</v>
      </c>
      <c r="E1111" s="3" t="s">
        <v>145</v>
      </c>
      <c r="F1111" s="3" t="s">
        <v>176</v>
      </c>
      <c r="G1111" s="3" t="s">
        <v>177</v>
      </c>
      <c r="H1111" s="3" t="s">
        <v>116</v>
      </c>
      <c r="I1111" s="3" t="s">
        <v>148</v>
      </c>
      <c r="J1111" s="3" t="s">
        <v>149</v>
      </c>
      <c r="K1111" s="3" t="s">
        <v>33</v>
      </c>
      <c r="L1111" s="3" t="s">
        <v>51</v>
      </c>
      <c r="M1111" s="3" t="s">
        <v>178</v>
      </c>
      <c r="N1111" s="3" t="s">
        <v>179</v>
      </c>
      <c r="O1111" s="3" t="s">
        <v>37</v>
      </c>
      <c r="P1111" s="3" t="s">
        <v>38</v>
      </c>
      <c r="Q1111" s="3" t="s">
        <v>39</v>
      </c>
      <c r="R1111" s="3" t="s">
        <v>40</v>
      </c>
      <c r="S1111" s="55">
        <v>106091.5</v>
      </c>
      <c r="T1111" s="55">
        <v>39378.158499999998</v>
      </c>
      <c r="U1111" s="55">
        <v>5142.5442000000003</v>
      </c>
      <c r="V1111" s="55">
        <v>66713.341499999995</v>
      </c>
      <c r="W1111" s="3">
        <v>37</v>
      </c>
    </row>
    <row r="1112" spans="1:23" x14ac:dyDescent="0.35">
      <c r="A1112" s="3" t="s">
        <v>487</v>
      </c>
      <c r="B1112" s="3" t="s">
        <v>488</v>
      </c>
      <c r="C1112" s="3" t="s">
        <v>182</v>
      </c>
      <c r="D1112" s="3" t="s">
        <v>175</v>
      </c>
      <c r="E1112" s="3" t="s">
        <v>145</v>
      </c>
      <c r="F1112" s="3" t="s">
        <v>176</v>
      </c>
      <c r="G1112" s="3" t="s">
        <v>177</v>
      </c>
      <c r="H1112" s="3" t="s">
        <v>116</v>
      </c>
      <c r="I1112" s="3" t="s">
        <v>148</v>
      </c>
      <c r="J1112" s="3" t="s">
        <v>149</v>
      </c>
      <c r="K1112" s="3" t="s">
        <v>33</v>
      </c>
      <c r="L1112" s="3" t="s">
        <v>51</v>
      </c>
      <c r="M1112" s="3" t="s">
        <v>178</v>
      </c>
      <c r="N1112" s="3" t="s">
        <v>179</v>
      </c>
      <c r="O1112" s="3" t="s">
        <v>42</v>
      </c>
      <c r="P1112" s="3" t="s">
        <v>43</v>
      </c>
      <c r="Q1112" s="3" t="s">
        <v>39</v>
      </c>
      <c r="R1112" s="3" t="s">
        <v>40</v>
      </c>
      <c r="S1112" s="55">
        <v>5728.8</v>
      </c>
      <c r="T1112" s="55">
        <v>1576.2217000000001</v>
      </c>
      <c r="U1112" s="55">
        <v>156.71350000000001</v>
      </c>
      <c r="V1112" s="55">
        <v>4152.5783000000001</v>
      </c>
      <c r="W1112" s="3">
        <v>28</v>
      </c>
    </row>
    <row r="1113" spans="1:23" x14ac:dyDescent="0.35">
      <c r="A1113" s="3" t="s">
        <v>487</v>
      </c>
      <c r="B1113" s="3" t="s">
        <v>488</v>
      </c>
      <c r="C1113" s="3" t="s">
        <v>486</v>
      </c>
      <c r="D1113" s="3" t="s">
        <v>175</v>
      </c>
      <c r="E1113" s="3" t="s">
        <v>145</v>
      </c>
      <c r="F1113" s="3" t="s">
        <v>176</v>
      </c>
      <c r="G1113" s="3" t="s">
        <v>177</v>
      </c>
      <c r="H1113" s="3" t="s">
        <v>116</v>
      </c>
      <c r="I1113" s="3" t="s">
        <v>148</v>
      </c>
      <c r="J1113" s="3" t="s">
        <v>149</v>
      </c>
      <c r="K1113" s="3" t="s">
        <v>33</v>
      </c>
      <c r="L1113" s="3" t="s">
        <v>51</v>
      </c>
      <c r="M1113" s="3" t="s">
        <v>178</v>
      </c>
      <c r="N1113" s="3" t="s">
        <v>179</v>
      </c>
      <c r="O1113" s="3" t="s">
        <v>91</v>
      </c>
      <c r="P1113" s="3" t="s">
        <v>92</v>
      </c>
      <c r="Q1113" s="3" t="s">
        <v>39</v>
      </c>
      <c r="R1113" s="3" t="s">
        <v>40</v>
      </c>
      <c r="S1113" s="55">
        <v>284.7</v>
      </c>
      <c r="T1113" s="55">
        <v>280.87279999999998</v>
      </c>
      <c r="U1113" s="55">
        <v>0</v>
      </c>
      <c r="V1113" s="55">
        <v>3.8271999999999999</v>
      </c>
      <c r="W1113" s="3">
        <v>99</v>
      </c>
    </row>
    <row r="1114" spans="1:23" x14ac:dyDescent="0.35">
      <c r="A1114" s="3" t="s">
        <v>487</v>
      </c>
      <c r="B1114" s="3" t="s">
        <v>488</v>
      </c>
      <c r="C1114" s="3" t="s">
        <v>183</v>
      </c>
      <c r="D1114" s="3" t="s">
        <v>175</v>
      </c>
      <c r="E1114" s="3" t="s">
        <v>145</v>
      </c>
      <c r="F1114" s="3" t="s">
        <v>176</v>
      </c>
      <c r="G1114" s="3" t="s">
        <v>177</v>
      </c>
      <c r="H1114" s="3" t="s">
        <v>116</v>
      </c>
      <c r="I1114" s="3" t="s">
        <v>148</v>
      </c>
      <c r="J1114" s="3" t="s">
        <v>149</v>
      </c>
      <c r="K1114" s="3" t="s">
        <v>33</v>
      </c>
      <c r="L1114" s="3" t="s">
        <v>51</v>
      </c>
      <c r="M1114" s="3" t="s">
        <v>178</v>
      </c>
      <c r="N1114" s="3" t="s">
        <v>179</v>
      </c>
      <c r="O1114" s="3" t="s">
        <v>122</v>
      </c>
      <c r="P1114" s="3" t="s">
        <v>123</v>
      </c>
      <c r="Q1114" s="3" t="s">
        <v>39</v>
      </c>
      <c r="R1114" s="3" t="s">
        <v>40</v>
      </c>
      <c r="S1114" s="55">
        <v>1454.5</v>
      </c>
      <c r="T1114" s="55">
        <v>91.74</v>
      </c>
      <c r="U1114" s="55">
        <v>45.798000000000002</v>
      </c>
      <c r="V1114" s="55">
        <v>1362.76</v>
      </c>
      <c r="W1114" s="3">
        <v>6</v>
      </c>
    </row>
    <row r="1115" spans="1:23" x14ac:dyDescent="0.35">
      <c r="A1115" s="3" t="s">
        <v>487</v>
      </c>
      <c r="B1115" s="3" t="s">
        <v>488</v>
      </c>
      <c r="C1115" s="3" t="s">
        <v>184</v>
      </c>
      <c r="D1115" s="3" t="s">
        <v>175</v>
      </c>
      <c r="E1115" s="3" t="s">
        <v>145</v>
      </c>
      <c r="F1115" s="3" t="s">
        <v>176</v>
      </c>
      <c r="G1115" s="3" t="s">
        <v>177</v>
      </c>
      <c r="H1115" s="3" t="s">
        <v>116</v>
      </c>
      <c r="I1115" s="3" t="s">
        <v>148</v>
      </c>
      <c r="J1115" s="3" t="s">
        <v>149</v>
      </c>
      <c r="K1115" s="3" t="s">
        <v>33</v>
      </c>
      <c r="L1115" s="3" t="s">
        <v>51</v>
      </c>
      <c r="M1115" s="3" t="s">
        <v>178</v>
      </c>
      <c r="N1115" s="3" t="s">
        <v>179</v>
      </c>
      <c r="O1115" s="3" t="s">
        <v>103</v>
      </c>
      <c r="P1115" s="3" t="s">
        <v>104</v>
      </c>
      <c r="Q1115" s="3" t="s">
        <v>39</v>
      </c>
      <c r="R1115" s="3" t="s">
        <v>40</v>
      </c>
      <c r="S1115" s="55">
        <v>675.8</v>
      </c>
      <c r="T1115" s="55">
        <v>321.7817</v>
      </c>
      <c r="U1115" s="55">
        <v>73.667000000000002</v>
      </c>
      <c r="V1115" s="55">
        <v>354.01830000000001</v>
      </c>
      <c r="W1115" s="3">
        <v>48</v>
      </c>
    </row>
    <row r="1116" spans="1:23" x14ac:dyDescent="0.35">
      <c r="A1116" s="3" t="s">
        <v>487</v>
      </c>
      <c r="B1116" s="3" t="s">
        <v>488</v>
      </c>
      <c r="C1116" s="3" t="s">
        <v>563</v>
      </c>
      <c r="D1116" s="3" t="s">
        <v>175</v>
      </c>
      <c r="E1116" s="3" t="s">
        <v>145</v>
      </c>
      <c r="F1116" s="3" t="s">
        <v>176</v>
      </c>
      <c r="G1116" s="3" t="s">
        <v>177</v>
      </c>
      <c r="H1116" s="3" t="s">
        <v>116</v>
      </c>
      <c r="I1116" s="3" t="s">
        <v>148</v>
      </c>
      <c r="J1116" s="3" t="s">
        <v>149</v>
      </c>
      <c r="K1116" s="3" t="s">
        <v>33</v>
      </c>
      <c r="L1116" s="3" t="s">
        <v>51</v>
      </c>
      <c r="M1116" s="3" t="s">
        <v>178</v>
      </c>
      <c r="N1116" s="3" t="s">
        <v>179</v>
      </c>
      <c r="O1116" s="3" t="s">
        <v>125</v>
      </c>
      <c r="P1116" s="3" t="s">
        <v>126</v>
      </c>
      <c r="Q1116" s="3" t="s">
        <v>39</v>
      </c>
      <c r="R1116" s="3" t="s">
        <v>40</v>
      </c>
      <c r="S1116" s="55">
        <v>185</v>
      </c>
      <c r="T1116" s="55">
        <v>185</v>
      </c>
      <c r="U1116" s="55">
        <v>0</v>
      </c>
      <c r="V1116" s="55">
        <v>0</v>
      </c>
      <c r="W1116" s="3">
        <v>100</v>
      </c>
    </row>
    <row r="1117" spans="1:23" x14ac:dyDescent="0.35">
      <c r="A1117" s="3" t="s">
        <v>487</v>
      </c>
      <c r="B1117" s="3" t="s">
        <v>488</v>
      </c>
      <c r="C1117" s="3" t="s">
        <v>473</v>
      </c>
      <c r="D1117" s="3" t="s">
        <v>175</v>
      </c>
      <c r="E1117" s="3" t="s">
        <v>145</v>
      </c>
      <c r="F1117" s="3" t="s">
        <v>176</v>
      </c>
      <c r="G1117" s="3" t="s">
        <v>177</v>
      </c>
      <c r="H1117" s="3" t="s">
        <v>116</v>
      </c>
      <c r="I1117" s="3" t="s">
        <v>148</v>
      </c>
      <c r="J1117" s="3" t="s">
        <v>149</v>
      </c>
      <c r="K1117" s="3" t="s">
        <v>33</v>
      </c>
      <c r="L1117" s="3" t="s">
        <v>51</v>
      </c>
      <c r="M1117" s="3" t="s">
        <v>474</v>
      </c>
      <c r="N1117" s="3" t="s">
        <v>475</v>
      </c>
      <c r="O1117" s="3" t="s">
        <v>37</v>
      </c>
      <c r="P1117" s="3" t="s">
        <v>38</v>
      </c>
      <c r="Q1117" s="3" t="s">
        <v>39</v>
      </c>
      <c r="R1117" s="3" t="s">
        <v>40</v>
      </c>
      <c r="S1117" s="55">
        <v>3157.5</v>
      </c>
      <c r="T1117" s="55">
        <v>0</v>
      </c>
      <c r="U1117" s="55">
        <v>0</v>
      </c>
      <c r="V1117" s="55">
        <v>3157.5</v>
      </c>
      <c r="W1117" s="3">
        <v>0</v>
      </c>
    </row>
    <row r="1118" spans="1:23" x14ac:dyDescent="0.35">
      <c r="A1118" s="3" t="s">
        <v>487</v>
      </c>
      <c r="B1118" s="3" t="s">
        <v>488</v>
      </c>
      <c r="C1118" s="3" t="s">
        <v>185</v>
      </c>
      <c r="D1118" s="3" t="s">
        <v>186</v>
      </c>
      <c r="E1118" s="3" t="s">
        <v>187</v>
      </c>
      <c r="F1118" s="3" t="s">
        <v>146</v>
      </c>
      <c r="G1118" s="3" t="s">
        <v>188</v>
      </c>
      <c r="H1118" s="3" t="s">
        <v>189</v>
      </c>
      <c r="I1118" s="3" t="s">
        <v>190</v>
      </c>
      <c r="J1118" s="3" t="s">
        <v>191</v>
      </c>
      <c r="K1118" s="3" t="s">
        <v>33</v>
      </c>
      <c r="L1118" s="3" t="s">
        <v>51</v>
      </c>
      <c r="M1118" s="3" t="s">
        <v>192</v>
      </c>
      <c r="N1118" s="3" t="s">
        <v>193</v>
      </c>
      <c r="O1118" s="3" t="s">
        <v>108</v>
      </c>
      <c r="P1118" s="3" t="s">
        <v>109</v>
      </c>
      <c r="Q1118" s="3" t="s">
        <v>39</v>
      </c>
      <c r="R1118" s="3" t="s">
        <v>40</v>
      </c>
      <c r="S1118" s="55">
        <v>4988386</v>
      </c>
      <c r="T1118" s="55">
        <v>2851907.6228</v>
      </c>
      <c r="U1118" s="55">
        <v>439588.64970000001</v>
      </c>
      <c r="V1118" s="55">
        <v>2136478.3772</v>
      </c>
      <c r="W1118" s="3">
        <v>57</v>
      </c>
    </row>
    <row r="1119" spans="1:23" x14ac:dyDescent="0.35">
      <c r="A1119" s="3" t="s">
        <v>487</v>
      </c>
      <c r="B1119" s="3" t="s">
        <v>488</v>
      </c>
      <c r="C1119" s="3" t="s">
        <v>508</v>
      </c>
      <c r="D1119" s="3" t="s">
        <v>186</v>
      </c>
      <c r="E1119" s="3" t="s">
        <v>187</v>
      </c>
      <c r="F1119" s="3" t="s">
        <v>146</v>
      </c>
      <c r="G1119" s="3" t="s">
        <v>188</v>
      </c>
      <c r="H1119" s="3" t="s">
        <v>189</v>
      </c>
      <c r="I1119" s="3" t="s">
        <v>190</v>
      </c>
      <c r="J1119" s="3" t="s">
        <v>191</v>
      </c>
      <c r="K1119" s="3" t="s">
        <v>33</v>
      </c>
      <c r="L1119" s="3" t="s">
        <v>51</v>
      </c>
      <c r="M1119" s="3" t="s">
        <v>227</v>
      </c>
      <c r="N1119" s="3" t="s">
        <v>228</v>
      </c>
      <c r="O1119" s="3" t="s">
        <v>197</v>
      </c>
      <c r="P1119" s="3" t="s">
        <v>198</v>
      </c>
      <c r="Q1119" s="3" t="s">
        <v>39</v>
      </c>
      <c r="R1119" s="3" t="s">
        <v>40</v>
      </c>
      <c r="S1119" s="55">
        <v>29473.1</v>
      </c>
      <c r="T1119" s="55">
        <v>32.4</v>
      </c>
      <c r="U1119" s="55">
        <v>0</v>
      </c>
      <c r="V1119" s="55">
        <v>29440.7</v>
      </c>
      <c r="W1119" s="3">
        <v>0</v>
      </c>
    </row>
    <row r="1120" spans="1:23" x14ac:dyDescent="0.35">
      <c r="A1120" s="3" t="s">
        <v>487</v>
      </c>
      <c r="B1120" s="3" t="s">
        <v>488</v>
      </c>
      <c r="C1120" s="3" t="s">
        <v>194</v>
      </c>
      <c r="D1120" s="3" t="s">
        <v>186</v>
      </c>
      <c r="E1120" s="3" t="s">
        <v>187</v>
      </c>
      <c r="F1120" s="3" t="s">
        <v>146</v>
      </c>
      <c r="G1120" s="3" t="s">
        <v>188</v>
      </c>
      <c r="H1120" s="3" t="s">
        <v>189</v>
      </c>
      <c r="I1120" s="3" t="s">
        <v>190</v>
      </c>
      <c r="J1120" s="3" t="s">
        <v>191</v>
      </c>
      <c r="K1120" s="3" t="s">
        <v>33</v>
      </c>
      <c r="L1120" s="3" t="s">
        <v>51</v>
      </c>
      <c r="M1120" s="3" t="s">
        <v>195</v>
      </c>
      <c r="N1120" s="3" t="s">
        <v>509</v>
      </c>
      <c r="O1120" s="3" t="s">
        <v>197</v>
      </c>
      <c r="P1120" s="3" t="s">
        <v>198</v>
      </c>
      <c r="Q1120" s="3" t="s">
        <v>39</v>
      </c>
      <c r="R1120" s="3" t="s">
        <v>40</v>
      </c>
      <c r="S1120" s="55">
        <v>34664.6</v>
      </c>
      <c r="T1120" s="55">
        <v>19447.616399999999</v>
      </c>
      <c r="U1120" s="55">
        <v>3991.5770000000002</v>
      </c>
      <c r="V1120" s="55">
        <v>15216.9836</v>
      </c>
      <c r="W1120" s="3">
        <v>56</v>
      </c>
    </row>
    <row r="1121" spans="1:23" x14ac:dyDescent="0.35">
      <c r="A1121" s="3" t="s">
        <v>487</v>
      </c>
      <c r="B1121" s="3" t="s">
        <v>488</v>
      </c>
      <c r="C1121" s="3" t="s">
        <v>510</v>
      </c>
      <c r="D1121" s="3" t="s">
        <v>200</v>
      </c>
      <c r="E1121" s="3" t="s">
        <v>187</v>
      </c>
      <c r="F1121" s="3" t="s">
        <v>189</v>
      </c>
      <c r="G1121" s="3" t="s">
        <v>201</v>
      </c>
      <c r="H1121" s="3" t="s">
        <v>189</v>
      </c>
      <c r="I1121" s="3" t="s">
        <v>190</v>
      </c>
      <c r="J1121" s="3" t="s">
        <v>202</v>
      </c>
      <c r="K1121" s="3" t="s">
        <v>23</v>
      </c>
      <c r="L1121" s="3" t="s">
        <v>203</v>
      </c>
      <c r="M1121" s="3" t="s">
        <v>511</v>
      </c>
      <c r="N1121" s="3" t="s">
        <v>205</v>
      </c>
      <c r="O1121" s="3" t="s">
        <v>197</v>
      </c>
      <c r="P1121" s="3" t="s">
        <v>198</v>
      </c>
      <c r="Q1121" s="3" t="s">
        <v>39</v>
      </c>
      <c r="R1121" s="3" t="s">
        <v>40</v>
      </c>
      <c r="S1121" s="55">
        <v>21148</v>
      </c>
      <c r="T1121" s="55">
        <v>14098.5764</v>
      </c>
      <c r="U1121" s="55">
        <v>0</v>
      </c>
      <c r="V1121" s="55">
        <v>7049.4236000000001</v>
      </c>
      <c r="W1121" s="3">
        <v>67</v>
      </c>
    </row>
    <row r="1122" spans="1:23" x14ac:dyDescent="0.35">
      <c r="A1122" s="3" t="s">
        <v>487</v>
      </c>
      <c r="B1122" s="3" t="s">
        <v>488</v>
      </c>
      <c r="C1122" s="3" t="s">
        <v>512</v>
      </c>
      <c r="D1122" s="3" t="s">
        <v>200</v>
      </c>
      <c r="E1122" s="3" t="s">
        <v>187</v>
      </c>
      <c r="F1122" s="3" t="s">
        <v>189</v>
      </c>
      <c r="G1122" s="3" t="s">
        <v>201</v>
      </c>
      <c r="H1122" s="3" t="s">
        <v>189</v>
      </c>
      <c r="I1122" s="3" t="s">
        <v>190</v>
      </c>
      <c r="J1122" s="3" t="s">
        <v>202</v>
      </c>
      <c r="K1122" s="3" t="s">
        <v>23</v>
      </c>
      <c r="L1122" s="3" t="s">
        <v>203</v>
      </c>
      <c r="M1122" s="3" t="s">
        <v>513</v>
      </c>
      <c r="N1122" s="3" t="s">
        <v>514</v>
      </c>
      <c r="O1122" s="3" t="s">
        <v>197</v>
      </c>
      <c r="P1122" s="3" t="s">
        <v>198</v>
      </c>
      <c r="Q1122" s="3" t="s">
        <v>39</v>
      </c>
      <c r="R1122" s="3" t="s">
        <v>40</v>
      </c>
      <c r="S1122" s="55">
        <v>1977.2</v>
      </c>
      <c r="T1122" s="55">
        <v>1819.3683000000001</v>
      </c>
      <c r="U1122" s="55">
        <v>0</v>
      </c>
      <c r="V1122" s="55">
        <v>157.83170000000001</v>
      </c>
      <c r="W1122" s="3">
        <v>92</v>
      </c>
    </row>
    <row r="1123" spans="1:23" x14ac:dyDescent="0.35">
      <c r="A1123" s="3" t="s">
        <v>487</v>
      </c>
      <c r="B1123" s="3" t="s">
        <v>488</v>
      </c>
      <c r="C1123" s="3" t="s">
        <v>209</v>
      </c>
      <c r="D1123" s="3" t="s">
        <v>200</v>
      </c>
      <c r="E1123" s="3" t="s">
        <v>187</v>
      </c>
      <c r="F1123" s="3" t="s">
        <v>189</v>
      </c>
      <c r="G1123" s="3" t="s">
        <v>201</v>
      </c>
      <c r="H1123" s="3" t="s">
        <v>189</v>
      </c>
      <c r="I1123" s="3" t="s">
        <v>190</v>
      </c>
      <c r="J1123" s="3" t="s">
        <v>191</v>
      </c>
      <c r="K1123" s="3" t="s">
        <v>33</v>
      </c>
      <c r="L1123" s="3" t="s">
        <v>51</v>
      </c>
      <c r="M1123" s="3" t="s">
        <v>210</v>
      </c>
      <c r="N1123" s="3" t="s">
        <v>211</v>
      </c>
      <c r="O1123" s="3" t="s">
        <v>108</v>
      </c>
      <c r="P1123" s="3" t="s">
        <v>109</v>
      </c>
      <c r="Q1123" s="3" t="s">
        <v>39</v>
      </c>
      <c r="R1123" s="3" t="s">
        <v>40</v>
      </c>
      <c r="S1123" s="55">
        <v>4853107.2</v>
      </c>
      <c r="T1123" s="55">
        <v>3040198.1480999999</v>
      </c>
      <c r="U1123" s="55">
        <v>364788.91</v>
      </c>
      <c r="V1123" s="55">
        <v>1812909.0519000001</v>
      </c>
      <c r="W1123" s="3">
        <v>63</v>
      </c>
    </row>
    <row r="1124" spans="1:23" x14ac:dyDescent="0.35">
      <c r="A1124" s="3" t="s">
        <v>487</v>
      </c>
      <c r="B1124" s="3" t="s">
        <v>488</v>
      </c>
      <c r="C1124" s="3" t="s">
        <v>212</v>
      </c>
      <c r="D1124" s="3" t="s">
        <v>200</v>
      </c>
      <c r="E1124" s="3" t="s">
        <v>187</v>
      </c>
      <c r="F1124" s="3" t="s">
        <v>189</v>
      </c>
      <c r="G1124" s="3" t="s">
        <v>201</v>
      </c>
      <c r="H1124" s="3" t="s">
        <v>189</v>
      </c>
      <c r="I1124" s="3" t="s">
        <v>190</v>
      </c>
      <c r="J1124" s="3" t="s">
        <v>191</v>
      </c>
      <c r="K1124" s="3" t="s">
        <v>33</v>
      </c>
      <c r="L1124" s="3" t="s">
        <v>51</v>
      </c>
      <c r="M1124" s="3" t="s">
        <v>213</v>
      </c>
      <c r="N1124" s="3" t="s">
        <v>214</v>
      </c>
      <c r="O1124" s="3" t="s">
        <v>108</v>
      </c>
      <c r="P1124" s="3" t="s">
        <v>109</v>
      </c>
      <c r="Q1124" s="3" t="s">
        <v>39</v>
      </c>
      <c r="R1124" s="3" t="s">
        <v>40</v>
      </c>
      <c r="S1124" s="55">
        <v>168859</v>
      </c>
      <c r="T1124" s="55">
        <v>94411.176399999997</v>
      </c>
      <c r="U1124" s="55">
        <v>12215.397300000001</v>
      </c>
      <c r="V1124" s="55">
        <v>74447.823600000003</v>
      </c>
      <c r="W1124" s="3">
        <v>56</v>
      </c>
    </row>
    <row r="1125" spans="1:23" x14ac:dyDescent="0.35">
      <c r="A1125" s="3" t="s">
        <v>487</v>
      </c>
      <c r="B1125" s="3" t="s">
        <v>488</v>
      </c>
      <c r="C1125" s="3" t="s">
        <v>215</v>
      </c>
      <c r="D1125" s="3" t="s">
        <v>200</v>
      </c>
      <c r="E1125" s="3" t="s">
        <v>187</v>
      </c>
      <c r="F1125" s="3" t="s">
        <v>189</v>
      </c>
      <c r="G1125" s="3" t="s">
        <v>201</v>
      </c>
      <c r="H1125" s="3" t="s">
        <v>189</v>
      </c>
      <c r="I1125" s="3" t="s">
        <v>190</v>
      </c>
      <c r="J1125" s="3" t="s">
        <v>191</v>
      </c>
      <c r="K1125" s="3" t="s">
        <v>33</v>
      </c>
      <c r="L1125" s="3" t="s">
        <v>51</v>
      </c>
      <c r="M1125" s="3" t="s">
        <v>216</v>
      </c>
      <c r="N1125" s="3" t="s">
        <v>217</v>
      </c>
      <c r="O1125" s="3" t="s">
        <v>108</v>
      </c>
      <c r="P1125" s="3" t="s">
        <v>109</v>
      </c>
      <c r="Q1125" s="3" t="s">
        <v>39</v>
      </c>
      <c r="R1125" s="3" t="s">
        <v>40</v>
      </c>
      <c r="S1125" s="55">
        <v>81930.899999999994</v>
      </c>
      <c r="T1125" s="55">
        <v>49389.077700000002</v>
      </c>
      <c r="U1125" s="55">
        <v>7626.5650999999998</v>
      </c>
      <c r="V1125" s="55">
        <v>32541.8223</v>
      </c>
      <c r="W1125" s="3">
        <v>60</v>
      </c>
    </row>
    <row r="1126" spans="1:23" x14ac:dyDescent="0.35">
      <c r="A1126" s="3" t="s">
        <v>487</v>
      </c>
      <c r="B1126" s="3" t="s">
        <v>488</v>
      </c>
      <c r="C1126" s="3" t="s">
        <v>476</v>
      </c>
      <c r="D1126" s="3" t="s">
        <v>200</v>
      </c>
      <c r="E1126" s="3" t="s">
        <v>187</v>
      </c>
      <c r="F1126" s="3" t="s">
        <v>189</v>
      </c>
      <c r="G1126" s="3" t="s">
        <v>201</v>
      </c>
      <c r="H1126" s="3" t="s">
        <v>189</v>
      </c>
      <c r="I1126" s="3" t="s">
        <v>190</v>
      </c>
      <c r="J1126" s="3" t="s">
        <v>191</v>
      </c>
      <c r="K1126" s="3" t="s">
        <v>33</v>
      </c>
      <c r="L1126" s="3" t="s">
        <v>51</v>
      </c>
      <c r="M1126" s="3" t="s">
        <v>219</v>
      </c>
      <c r="N1126" s="3" t="s">
        <v>220</v>
      </c>
      <c r="O1126" s="3" t="s">
        <v>477</v>
      </c>
      <c r="P1126" s="3" t="s">
        <v>478</v>
      </c>
      <c r="Q1126" s="3" t="s">
        <v>39</v>
      </c>
      <c r="R1126" s="3" t="s">
        <v>40</v>
      </c>
      <c r="S1126" s="55">
        <v>1102.9000000000001</v>
      </c>
      <c r="T1126" s="55">
        <v>0</v>
      </c>
      <c r="U1126" s="55">
        <v>0</v>
      </c>
      <c r="V1126" s="55">
        <v>1102.9000000000001</v>
      </c>
      <c r="W1126" s="3">
        <v>0</v>
      </c>
    </row>
    <row r="1127" spans="1:23" x14ac:dyDescent="0.35">
      <c r="A1127" s="3" t="s">
        <v>487</v>
      </c>
      <c r="B1127" s="3" t="s">
        <v>488</v>
      </c>
      <c r="C1127" s="3" t="s">
        <v>223</v>
      </c>
      <c r="D1127" s="3" t="s">
        <v>200</v>
      </c>
      <c r="E1127" s="3" t="s">
        <v>187</v>
      </c>
      <c r="F1127" s="3" t="s">
        <v>189</v>
      </c>
      <c r="G1127" s="3" t="s">
        <v>201</v>
      </c>
      <c r="H1127" s="3" t="s">
        <v>189</v>
      </c>
      <c r="I1127" s="3" t="s">
        <v>190</v>
      </c>
      <c r="J1127" s="3" t="s">
        <v>191</v>
      </c>
      <c r="K1127" s="3" t="s">
        <v>33</v>
      </c>
      <c r="L1127" s="3" t="s">
        <v>51</v>
      </c>
      <c r="M1127" s="3" t="s">
        <v>224</v>
      </c>
      <c r="N1127" s="3" t="s">
        <v>564</v>
      </c>
      <c r="O1127" s="3" t="s">
        <v>197</v>
      </c>
      <c r="P1127" s="3" t="s">
        <v>198</v>
      </c>
      <c r="Q1127" s="3" t="s">
        <v>39</v>
      </c>
      <c r="R1127" s="3" t="s">
        <v>40</v>
      </c>
      <c r="S1127" s="55">
        <v>107676.4</v>
      </c>
      <c r="T1127" s="55">
        <v>52311.364000000001</v>
      </c>
      <c r="U1127" s="55">
        <v>11013.458699999999</v>
      </c>
      <c r="V1127" s="55">
        <v>55365.036</v>
      </c>
      <c r="W1127" s="3">
        <v>49</v>
      </c>
    </row>
    <row r="1128" spans="1:23" x14ac:dyDescent="0.35">
      <c r="A1128" s="3" t="s">
        <v>487</v>
      </c>
      <c r="B1128" s="3" t="s">
        <v>488</v>
      </c>
      <c r="C1128" s="3" t="s">
        <v>432</v>
      </c>
      <c r="D1128" s="3" t="s">
        <v>200</v>
      </c>
      <c r="E1128" s="3" t="s">
        <v>187</v>
      </c>
      <c r="F1128" s="3" t="s">
        <v>189</v>
      </c>
      <c r="G1128" s="3" t="s">
        <v>201</v>
      </c>
      <c r="H1128" s="3" t="s">
        <v>189</v>
      </c>
      <c r="I1128" s="3" t="s">
        <v>190</v>
      </c>
      <c r="J1128" s="3" t="s">
        <v>191</v>
      </c>
      <c r="K1128" s="3" t="s">
        <v>33</v>
      </c>
      <c r="L1128" s="3" t="s">
        <v>51</v>
      </c>
      <c r="M1128" s="3" t="s">
        <v>427</v>
      </c>
      <c r="N1128" s="3" t="s">
        <v>565</v>
      </c>
      <c r="O1128" s="3" t="s">
        <v>197</v>
      </c>
      <c r="P1128" s="3" t="s">
        <v>198</v>
      </c>
      <c r="Q1128" s="3" t="s">
        <v>39</v>
      </c>
      <c r="R1128" s="3" t="s">
        <v>40</v>
      </c>
      <c r="S1128" s="55">
        <v>20000</v>
      </c>
      <c r="T1128" s="55">
        <v>19921.684000000001</v>
      </c>
      <c r="U1128" s="55">
        <v>0</v>
      </c>
      <c r="V1128" s="55">
        <v>78.316000000000003</v>
      </c>
      <c r="W1128" s="3">
        <v>100</v>
      </c>
    </row>
    <row r="1129" spans="1:23" x14ac:dyDescent="0.35">
      <c r="A1129" s="3" t="s">
        <v>487</v>
      </c>
      <c r="B1129" s="3" t="s">
        <v>488</v>
      </c>
      <c r="C1129" s="3" t="s">
        <v>515</v>
      </c>
      <c r="D1129" s="3" t="s">
        <v>200</v>
      </c>
      <c r="E1129" s="3" t="s">
        <v>187</v>
      </c>
      <c r="F1129" s="3" t="s">
        <v>189</v>
      </c>
      <c r="G1129" s="3" t="s">
        <v>201</v>
      </c>
      <c r="H1129" s="3" t="s">
        <v>189</v>
      </c>
      <c r="I1129" s="3" t="s">
        <v>190</v>
      </c>
      <c r="J1129" s="3" t="s">
        <v>191</v>
      </c>
      <c r="K1129" s="3" t="s">
        <v>33</v>
      </c>
      <c r="L1129" s="3" t="s">
        <v>51</v>
      </c>
      <c r="M1129" s="3" t="s">
        <v>516</v>
      </c>
      <c r="N1129" s="3" t="s">
        <v>517</v>
      </c>
      <c r="O1129" s="3" t="s">
        <v>197</v>
      </c>
      <c r="P1129" s="3" t="s">
        <v>198</v>
      </c>
      <c r="Q1129" s="3" t="s">
        <v>39</v>
      </c>
      <c r="R1129" s="3" t="s">
        <v>40</v>
      </c>
      <c r="S1129" s="55">
        <v>8490.7000000000007</v>
      </c>
      <c r="T1129" s="55">
        <v>0</v>
      </c>
      <c r="U1129" s="55">
        <v>0</v>
      </c>
      <c r="V1129" s="55">
        <v>8490.7000000000007</v>
      </c>
      <c r="W1129" s="3">
        <v>0</v>
      </c>
    </row>
    <row r="1130" spans="1:23" x14ac:dyDescent="0.35">
      <c r="A1130" s="3" t="s">
        <v>487</v>
      </c>
      <c r="B1130" s="3" t="s">
        <v>488</v>
      </c>
      <c r="C1130" s="3" t="s">
        <v>226</v>
      </c>
      <c r="D1130" s="3" t="s">
        <v>200</v>
      </c>
      <c r="E1130" s="3" t="s">
        <v>187</v>
      </c>
      <c r="F1130" s="3" t="s">
        <v>189</v>
      </c>
      <c r="G1130" s="3" t="s">
        <v>201</v>
      </c>
      <c r="H1130" s="3" t="s">
        <v>189</v>
      </c>
      <c r="I1130" s="3" t="s">
        <v>190</v>
      </c>
      <c r="J1130" s="3" t="s">
        <v>191</v>
      </c>
      <c r="K1130" s="3" t="s">
        <v>33</v>
      </c>
      <c r="L1130" s="3" t="s">
        <v>51</v>
      </c>
      <c r="M1130" s="3" t="s">
        <v>227</v>
      </c>
      <c r="N1130" s="3" t="s">
        <v>228</v>
      </c>
      <c r="O1130" s="3" t="s">
        <v>197</v>
      </c>
      <c r="P1130" s="3" t="s">
        <v>198</v>
      </c>
      <c r="Q1130" s="3" t="s">
        <v>39</v>
      </c>
      <c r="R1130" s="3" t="s">
        <v>40</v>
      </c>
      <c r="S1130" s="55">
        <v>127820.2</v>
      </c>
      <c r="T1130" s="55">
        <v>4663.1127999999999</v>
      </c>
      <c r="U1130" s="55">
        <v>1425.0318</v>
      </c>
      <c r="V1130" s="55">
        <v>123157.08719999999</v>
      </c>
      <c r="W1130" s="3">
        <v>4</v>
      </c>
    </row>
    <row r="1131" spans="1:23" x14ac:dyDescent="0.35">
      <c r="A1131" s="3" t="s">
        <v>487</v>
      </c>
      <c r="B1131" s="3" t="s">
        <v>488</v>
      </c>
      <c r="C1131" s="3" t="s">
        <v>229</v>
      </c>
      <c r="D1131" s="3" t="s">
        <v>200</v>
      </c>
      <c r="E1131" s="3" t="s">
        <v>187</v>
      </c>
      <c r="F1131" s="3" t="s">
        <v>189</v>
      </c>
      <c r="G1131" s="3" t="s">
        <v>201</v>
      </c>
      <c r="H1131" s="3" t="s">
        <v>189</v>
      </c>
      <c r="I1131" s="3" t="s">
        <v>190</v>
      </c>
      <c r="J1131" s="3" t="s">
        <v>191</v>
      </c>
      <c r="K1131" s="3" t="s">
        <v>33</v>
      </c>
      <c r="L1131" s="3" t="s">
        <v>51</v>
      </c>
      <c r="M1131" s="3" t="s">
        <v>195</v>
      </c>
      <c r="N1131" s="3" t="s">
        <v>509</v>
      </c>
      <c r="O1131" s="3" t="s">
        <v>197</v>
      </c>
      <c r="P1131" s="3" t="s">
        <v>198</v>
      </c>
      <c r="Q1131" s="3" t="s">
        <v>39</v>
      </c>
      <c r="R1131" s="3" t="s">
        <v>40</v>
      </c>
      <c r="S1131" s="55">
        <v>28422.3</v>
      </c>
      <c r="T1131" s="55">
        <v>15447.468000000001</v>
      </c>
      <c r="U1131" s="55">
        <v>2944.2091</v>
      </c>
      <c r="V1131" s="55">
        <v>12974.832</v>
      </c>
      <c r="W1131" s="3">
        <v>54</v>
      </c>
    </row>
    <row r="1132" spans="1:23" x14ac:dyDescent="0.35">
      <c r="A1132" s="3" t="s">
        <v>487</v>
      </c>
      <c r="B1132" s="3" t="s">
        <v>488</v>
      </c>
      <c r="C1132" s="3" t="s">
        <v>433</v>
      </c>
      <c r="D1132" s="3" t="s">
        <v>200</v>
      </c>
      <c r="E1132" s="3" t="s">
        <v>187</v>
      </c>
      <c r="F1132" s="3" t="s">
        <v>189</v>
      </c>
      <c r="G1132" s="3" t="s">
        <v>201</v>
      </c>
      <c r="H1132" s="3" t="s">
        <v>189</v>
      </c>
      <c r="I1132" s="3" t="s">
        <v>190</v>
      </c>
      <c r="J1132" s="3" t="s">
        <v>191</v>
      </c>
      <c r="K1132" s="3" t="s">
        <v>33</v>
      </c>
      <c r="L1132" s="3" t="s">
        <v>51</v>
      </c>
      <c r="M1132" s="3" t="s">
        <v>434</v>
      </c>
      <c r="N1132" s="3" t="s">
        <v>435</v>
      </c>
      <c r="O1132" s="3" t="s">
        <v>197</v>
      </c>
      <c r="P1132" s="3" t="s">
        <v>198</v>
      </c>
      <c r="Q1132" s="3" t="s">
        <v>39</v>
      </c>
      <c r="R1132" s="3" t="s">
        <v>40</v>
      </c>
      <c r="S1132" s="55">
        <v>2923.6</v>
      </c>
      <c r="T1132" s="55">
        <v>0</v>
      </c>
      <c r="U1132" s="55">
        <v>0</v>
      </c>
      <c r="V1132" s="55">
        <v>2923.6</v>
      </c>
      <c r="W1132" s="3">
        <v>0</v>
      </c>
    </row>
    <row r="1133" spans="1:23" x14ac:dyDescent="0.35">
      <c r="A1133" s="3" t="s">
        <v>487</v>
      </c>
      <c r="B1133" s="3" t="s">
        <v>488</v>
      </c>
      <c r="C1133" s="3" t="s">
        <v>518</v>
      </c>
      <c r="D1133" s="3" t="s">
        <v>200</v>
      </c>
      <c r="E1133" s="3" t="s">
        <v>187</v>
      </c>
      <c r="F1133" s="3" t="s">
        <v>189</v>
      </c>
      <c r="G1133" s="3" t="s">
        <v>201</v>
      </c>
      <c r="H1133" s="3" t="s">
        <v>189</v>
      </c>
      <c r="I1133" s="3" t="s">
        <v>190</v>
      </c>
      <c r="J1133" s="3" t="s">
        <v>191</v>
      </c>
      <c r="K1133" s="3" t="s">
        <v>33</v>
      </c>
      <c r="L1133" s="3" t="s">
        <v>51</v>
      </c>
      <c r="M1133" s="3" t="s">
        <v>519</v>
      </c>
      <c r="N1133" s="3" t="s">
        <v>208</v>
      </c>
      <c r="O1133" s="3" t="s">
        <v>197</v>
      </c>
      <c r="P1133" s="3" t="s">
        <v>198</v>
      </c>
      <c r="Q1133" s="3" t="s">
        <v>39</v>
      </c>
      <c r="R1133" s="3" t="s">
        <v>40</v>
      </c>
      <c r="S1133" s="55">
        <v>104515.5</v>
      </c>
      <c r="T1133" s="55">
        <v>73036.77</v>
      </c>
      <c r="U1133" s="55">
        <v>0</v>
      </c>
      <c r="V1133" s="55">
        <v>31478.73</v>
      </c>
      <c r="W1133" s="3">
        <v>70</v>
      </c>
    </row>
    <row r="1134" spans="1:23" x14ac:dyDescent="0.35">
      <c r="A1134" s="3" t="s">
        <v>487</v>
      </c>
      <c r="B1134" s="3" t="s">
        <v>488</v>
      </c>
      <c r="C1134" s="3" t="s">
        <v>230</v>
      </c>
      <c r="D1134" s="3" t="s">
        <v>200</v>
      </c>
      <c r="E1134" s="3" t="s">
        <v>187</v>
      </c>
      <c r="F1134" s="3" t="s">
        <v>189</v>
      </c>
      <c r="G1134" s="3" t="s">
        <v>201</v>
      </c>
      <c r="H1134" s="3" t="s">
        <v>28</v>
      </c>
      <c r="I1134" s="3" t="s">
        <v>231</v>
      </c>
      <c r="J1134" s="3" t="s">
        <v>232</v>
      </c>
      <c r="K1134" s="3" t="s">
        <v>33</v>
      </c>
      <c r="L1134" s="3" t="s">
        <v>51</v>
      </c>
      <c r="M1134" s="3" t="s">
        <v>233</v>
      </c>
      <c r="N1134" s="3" t="s">
        <v>234</v>
      </c>
      <c r="O1134" s="3" t="s">
        <v>197</v>
      </c>
      <c r="P1134" s="3" t="s">
        <v>198</v>
      </c>
      <c r="Q1134" s="3" t="s">
        <v>39</v>
      </c>
      <c r="R1134" s="3" t="s">
        <v>40</v>
      </c>
      <c r="S1134" s="55">
        <v>261384</v>
      </c>
      <c r="T1134" s="55">
        <v>168817.9166</v>
      </c>
      <c r="U1134" s="55">
        <v>1710.1995999999999</v>
      </c>
      <c r="V1134" s="55">
        <v>92566.083400000003</v>
      </c>
      <c r="W1134" s="3">
        <v>65</v>
      </c>
    </row>
    <row r="1135" spans="1:23" x14ac:dyDescent="0.35">
      <c r="A1135" s="3" t="s">
        <v>487</v>
      </c>
      <c r="B1135" s="3" t="s">
        <v>488</v>
      </c>
      <c r="C1135" s="3" t="s">
        <v>235</v>
      </c>
      <c r="D1135" s="3" t="s">
        <v>200</v>
      </c>
      <c r="E1135" s="3" t="s">
        <v>187</v>
      </c>
      <c r="F1135" s="3" t="s">
        <v>189</v>
      </c>
      <c r="G1135" s="3" t="s">
        <v>201</v>
      </c>
      <c r="H1135" s="3" t="s">
        <v>28</v>
      </c>
      <c r="I1135" s="3" t="s">
        <v>231</v>
      </c>
      <c r="J1135" s="3" t="s">
        <v>232</v>
      </c>
      <c r="K1135" s="3" t="s">
        <v>33</v>
      </c>
      <c r="L1135" s="3" t="s">
        <v>51</v>
      </c>
      <c r="M1135" s="3" t="s">
        <v>236</v>
      </c>
      <c r="N1135" s="3" t="s">
        <v>237</v>
      </c>
      <c r="O1135" s="3" t="s">
        <v>197</v>
      </c>
      <c r="P1135" s="3" t="s">
        <v>198</v>
      </c>
      <c r="Q1135" s="3" t="s">
        <v>39</v>
      </c>
      <c r="R1135" s="3" t="s">
        <v>40</v>
      </c>
      <c r="S1135" s="55">
        <v>179288</v>
      </c>
      <c r="T1135" s="55">
        <v>114042.567</v>
      </c>
      <c r="U1135" s="55">
        <v>0</v>
      </c>
      <c r="V1135" s="55">
        <v>65245.432999999997</v>
      </c>
      <c r="W1135" s="3">
        <v>64</v>
      </c>
    </row>
    <row r="1136" spans="1:23" x14ac:dyDescent="0.35">
      <c r="A1136" s="3" t="s">
        <v>487</v>
      </c>
      <c r="B1136" s="3" t="s">
        <v>488</v>
      </c>
      <c r="C1136" s="3" t="s">
        <v>238</v>
      </c>
      <c r="D1136" s="3" t="s">
        <v>239</v>
      </c>
      <c r="E1136" s="3" t="s">
        <v>187</v>
      </c>
      <c r="F1136" s="3" t="s">
        <v>28</v>
      </c>
      <c r="G1136" s="3" t="s">
        <v>240</v>
      </c>
      <c r="H1136" s="3" t="s">
        <v>189</v>
      </c>
      <c r="I1136" s="3" t="s">
        <v>190</v>
      </c>
      <c r="J1136" s="3" t="s">
        <v>191</v>
      </c>
      <c r="K1136" s="3" t="s">
        <v>33</v>
      </c>
      <c r="L1136" s="3" t="s">
        <v>51</v>
      </c>
      <c r="M1136" s="3" t="s">
        <v>241</v>
      </c>
      <c r="N1136" s="3" t="s">
        <v>242</v>
      </c>
      <c r="O1136" s="3" t="s">
        <v>108</v>
      </c>
      <c r="P1136" s="3" t="s">
        <v>109</v>
      </c>
      <c r="Q1136" s="3" t="s">
        <v>39</v>
      </c>
      <c r="R1136" s="3" t="s">
        <v>40</v>
      </c>
      <c r="S1136" s="55">
        <v>253526.6</v>
      </c>
      <c r="T1136" s="55">
        <v>156148.99549999999</v>
      </c>
      <c r="U1136" s="55">
        <v>22900.384699999999</v>
      </c>
      <c r="V1136" s="55">
        <v>97377.604500000001</v>
      </c>
      <c r="W1136" s="3">
        <v>62</v>
      </c>
    </row>
    <row r="1137" spans="1:23" x14ac:dyDescent="0.35">
      <c r="A1137" s="3" t="s">
        <v>487</v>
      </c>
      <c r="B1137" s="3" t="s">
        <v>488</v>
      </c>
      <c r="C1137" s="3" t="s">
        <v>520</v>
      </c>
      <c r="D1137" s="3" t="s">
        <v>239</v>
      </c>
      <c r="E1137" s="3" t="s">
        <v>187</v>
      </c>
      <c r="F1137" s="3" t="s">
        <v>28</v>
      </c>
      <c r="G1137" s="3" t="s">
        <v>240</v>
      </c>
      <c r="H1137" s="3" t="s">
        <v>189</v>
      </c>
      <c r="I1137" s="3" t="s">
        <v>190</v>
      </c>
      <c r="J1137" s="3" t="s">
        <v>191</v>
      </c>
      <c r="K1137" s="3" t="s">
        <v>33</v>
      </c>
      <c r="L1137" s="3" t="s">
        <v>51</v>
      </c>
      <c r="M1137" s="3" t="s">
        <v>521</v>
      </c>
      <c r="N1137" s="3" t="s">
        <v>522</v>
      </c>
      <c r="O1137" s="3" t="s">
        <v>523</v>
      </c>
      <c r="P1137" s="3" t="s">
        <v>524</v>
      </c>
      <c r="Q1137" s="3" t="s">
        <v>39</v>
      </c>
      <c r="R1137" s="3" t="s">
        <v>40</v>
      </c>
      <c r="S1137" s="55">
        <v>100</v>
      </c>
      <c r="T1137" s="55">
        <v>0</v>
      </c>
      <c r="U1137" s="55">
        <v>0</v>
      </c>
      <c r="V1137" s="55">
        <v>100</v>
      </c>
      <c r="W1137" s="3">
        <v>0</v>
      </c>
    </row>
    <row r="1138" spans="1:23" x14ac:dyDescent="0.35">
      <c r="A1138" s="3" t="s">
        <v>487</v>
      </c>
      <c r="B1138" s="3" t="s">
        <v>488</v>
      </c>
      <c r="C1138" s="3" t="s">
        <v>525</v>
      </c>
      <c r="D1138" s="3" t="s">
        <v>526</v>
      </c>
      <c r="E1138" s="3" t="s">
        <v>187</v>
      </c>
      <c r="F1138" s="3" t="s">
        <v>176</v>
      </c>
      <c r="G1138" s="3" t="s">
        <v>527</v>
      </c>
      <c r="H1138" s="3" t="s">
        <v>189</v>
      </c>
      <c r="I1138" s="3" t="s">
        <v>190</v>
      </c>
      <c r="J1138" s="3" t="s">
        <v>191</v>
      </c>
      <c r="K1138" s="3" t="s">
        <v>33</v>
      </c>
      <c r="L1138" s="3" t="s">
        <v>51</v>
      </c>
      <c r="M1138" s="3" t="s">
        <v>528</v>
      </c>
      <c r="N1138" s="3" t="s">
        <v>529</v>
      </c>
      <c r="O1138" s="3" t="s">
        <v>197</v>
      </c>
      <c r="P1138" s="3" t="s">
        <v>198</v>
      </c>
      <c r="Q1138" s="3" t="s">
        <v>39</v>
      </c>
      <c r="R1138" s="3" t="s">
        <v>40</v>
      </c>
      <c r="S1138" s="55">
        <v>1003.3</v>
      </c>
      <c r="T1138" s="55">
        <v>592.40049999999997</v>
      </c>
      <c r="U1138" s="55">
        <v>118.0033</v>
      </c>
      <c r="V1138" s="55">
        <v>410.89949999999999</v>
      </c>
      <c r="W1138" s="3">
        <v>59</v>
      </c>
    </row>
    <row r="1139" spans="1:23" x14ac:dyDescent="0.35">
      <c r="A1139" s="3" t="s">
        <v>487</v>
      </c>
      <c r="B1139" s="3" t="s">
        <v>488</v>
      </c>
      <c r="C1139" s="3" t="s">
        <v>243</v>
      </c>
      <c r="D1139" s="3" t="s">
        <v>244</v>
      </c>
      <c r="E1139" s="3" t="s">
        <v>187</v>
      </c>
      <c r="F1139" s="3" t="s">
        <v>245</v>
      </c>
      <c r="G1139" s="3" t="s">
        <v>246</v>
      </c>
      <c r="H1139" s="3" t="s">
        <v>66</v>
      </c>
      <c r="I1139" s="3" t="s">
        <v>67</v>
      </c>
      <c r="J1139" s="3" t="s">
        <v>68</v>
      </c>
      <c r="K1139" s="3" t="s">
        <v>33</v>
      </c>
      <c r="L1139" s="3" t="s">
        <v>51</v>
      </c>
      <c r="M1139" s="3" t="s">
        <v>247</v>
      </c>
      <c r="N1139" s="3" t="s">
        <v>248</v>
      </c>
      <c r="O1139" s="3" t="s">
        <v>108</v>
      </c>
      <c r="P1139" s="3" t="s">
        <v>109</v>
      </c>
      <c r="Q1139" s="3" t="s">
        <v>39</v>
      </c>
      <c r="R1139" s="3" t="s">
        <v>40</v>
      </c>
      <c r="S1139" s="55">
        <v>224582.9</v>
      </c>
      <c r="T1139" s="55">
        <v>107229.6192</v>
      </c>
      <c r="U1139" s="55">
        <v>17651.999100000001</v>
      </c>
      <c r="V1139" s="55">
        <v>117353.28079999999</v>
      </c>
      <c r="W1139" s="3">
        <v>48</v>
      </c>
    </row>
    <row r="1140" spans="1:23" x14ac:dyDescent="0.35">
      <c r="A1140" s="3" t="s">
        <v>487</v>
      </c>
      <c r="B1140" s="3" t="s">
        <v>488</v>
      </c>
      <c r="C1140" s="3" t="s">
        <v>249</v>
      </c>
      <c r="D1140" s="3" t="s">
        <v>244</v>
      </c>
      <c r="E1140" s="3" t="s">
        <v>187</v>
      </c>
      <c r="F1140" s="3" t="s">
        <v>245</v>
      </c>
      <c r="G1140" s="3" t="s">
        <v>246</v>
      </c>
      <c r="H1140" s="3" t="s">
        <v>66</v>
      </c>
      <c r="I1140" s="3" t="s">
        <v>67</v>
      </c>
      <c r="J1140" s="3" t="s">
        <v>68</v>
      </c>
      <c r="K1140" s="3" t="s">
        <v>33</v>
      </c>
      <c r="L1140" s="3" t="s">
        <v>51</v>
      </c>
      <c r="M1140" s="3" t="s">
        <v>250</v>
      </c>
      <c r="N1140" s="3" t="s">
        <v>251</v>
      </c>
      <c r="O1140" s="3" t="s">
        <v>197</v>
      </c>
      <c r="P1140" s="3" t="s">
        <v>198</v>
      </c>
      <c r="Q1140" s="3" t="s">
        <v>39</v>
      </c>
      <c r="R1140" s="3" t="s">
        <v>40</v>
      </c>
      <c r="S1140" s="55">
        <v>9320.5</v>
      </c>
      <c r="T1140" s="55">
        <v>0</v>
      </c>
      <c r="U1140" s="55">
        <v>0</v>
      </c>
      <c r="V1140" s="55">
        <v>9320.5</v>
      </c>
      <c r="W1140" s="3">
        <v>0</v>
      </c>
    </row>
    <row r="1141" spans="1:23" x14ac:dyDescent="0.35">
      <c r="A1141" s="3" t="s">
        <v>487</v>
      </c>
      <c r="B1141" s="3" t="s">
        <v>488</v>
      </c>
      <c r="C1141" s="3" t="s">
        <v>252</v>
      </c>
      <c r="D1141" s="3" t="s">
        <v>244</v>
      </c>
      <c r="E1141" s="3" t="s">
        <v>187</v>
      </c>
      <c r="F1141" s="3" t="s">
        <v>245</v>
      </c>
      <c r="G1141" s="3" t="s">
        <v>246</v>
      </c>
      <c r="H1141" s="3" t="s">
        <v>66</v>
      </c>
      <c r="I1141" s="3" t="s">
        <v>67</v>
      </c>
      <c r="J1141" s="3" t="s">
        <v>68</v>
      </c>
      <c r="K1141" s="3" t="s">
        <v>33</v>
      </c>
      <c r="L1141" s="3" t="s">
        <v>51</v>
      </c>
      <c r="M1141" s="3" t="s">
        <v>253</v>
      </c>
      <c r="N1141" s="3" t="s">
        <v>254</v>
      </c>
      <c r="O1141" s="3" t="s">
        <v>197</v>
      </c>
      <c r="P1141" s="3" t="s">
        <v>198</v>
      </c>
      <c r="Q1141" s="3" t="s">
        <v>39</v>
      </c>
      <c r="R1141" s="3" t="s">
        <v>40</v>
      </c>
      <c r="S1141" s="55">
        <v>1648.3</v>
      </c>
      <c r="T1141" s="55">
        <v>0</v>
      </c>
      <c r="U1141" s="55">
        <v>0</v>
      </c>
      <c r="V1141" s="55">
        <v>1648.3</v>
      </c>
      <c r="W1141" s="3">
        <v>0</v>
      </c>
    </row>
    <row r="1142" spans="1:23" x14ac:dyDescent="0.35">
      <c r="A1142" s="3" t="s">
        <v>487</v>
      </c>
      <c r="B1142" s="3" t="s">
        <v>488</v>
      </c>
      <c r="C1142" s="3" t="s">
        <v>255</v>
      </c>
      <c r="D1142" s="3" t="s">
        <v>244</v>
      </c>
      <c r="E1142" s="3" t="s">
        <v>187</v>
      </c>
      <c r="F1142" s="3" t="s">
        <v>245</v>
      </c>
      <c r="G1142" s="3" t="s">
        <v>246</v>
      </c>
      <c r="H1142" s="3" t="s">
        <v>66</v>
      </c>
      <c r="I1142" s="3" t="s">
        <v>67</v>
      </c>
      <c r="J1142" s="3" t="s">
        <v>68</v>
      </c>
      <c r="K1142" s="3" t="s">
        <v>33</v>
      </c>
      <c r="L1142" s="3" t="s">
        <v>51</v>
      </c>
      <c r="M1142" s="3" t="s">
        <v>256</v>
      </c>
      <c r="N1142" s="3" t="s">
        <v>257</v>
      </c>
      <c r="O1142" s="3" t="s">
        <v>197</v>
      </c>
      <c r="P1142" s="3" t="s">
        <v>198</v>
      </c>
      <c r="Q1142" s="3" t="s">
        <v>39</v>
      </c>
      <c r="R1142" s="3" t="s">
        <v>40</v>
      </c>
      <c r="S1142" s="55">
        <v>12658.4</v>
      </c>
      <c r="T1142" s="55">
        <v>1943.5233000000001</v>
      </c>
      <c r="U1142" s="55">
        <v>0</v>
      </c>
      <c r="V1142" s="55">
        <v>10714.876700000001</v>
      </c>
      <c r="W1142" s="3">
        <v>15</v>
      </c>
    </row>
    <row r="1143" spans="1:23" x14ac:dyDescent="0.35">
      <c r="A1143" s="3" t="s">
        <v>487</v>
      </c>
      <c r="B1143" s="3" t="s">
        <v>488</v>
      </c>
      <c r="C1143" s="3" t="s">
        <v>566</v>
      </c>
      <c r="D1143" s="3" t="s">
        <v>259</v>
      </c>
      <c r="E1143" s="3" t="s">
        <v>187</v>
      </c>
      <c r="F1143" s="3" t="s">
        <v>116</v>
      </c>
      <c r="G1143" s="3" t="s">
        <v>260</v>
      </c>
      <c r="H1143" s="3" t="s">
        <v>189</v>
      </c>
      <c r="I1143" s="3" t="s">
        <v>190</v>
      </c>
      <c r="J1143" s="3" t="s">
        <v>202</v>
      </c>
      <c r="K1143" s="3" t="s">
        <v>23</v>
      </c>
      <c r="L1143" s="3" t="s">
        <v>203</v>
      </c>
      <c r="M1143" s="3" t="s">
        <v>567</v>
      </c>
      <c r="N1143" s="3" t="s">
        <v>568</v>
      </c>
      <c r="O1143" s="3" t="s">
        <v>197</v>
      </c>
      <c r="P1143" s="3" t="s">
        <v>198</v>
      </c>
      <c r="Q1143" s="3" t="s">
        <v>39</v>
      </c>
      <c r="R1143" s="3" t="s">
        <v>40</v>
      </c>
      <c r="S1143" s="55">
        <v>13914.4</v>
      </c>
      <c r="T1143" s="55">
        <v>13914.3143</v>
      </c>
      <c r="U1143" s="55">
        <v>0</v>
      </c>
      <c r="V1143" s="55">
        <v>8.5699999999999998E-2</v>
      </c>
      <c r="W1143" s="3">
        <v>100</v>
      </c>
    </row>
    <row r="1144" spans="1:23" x14ac:dyDescent="0.35">
      <c r="A1144" s="3" t="s">
        <v>487</v>
      </c>
      <c r="B1144" s="3" t="s">
        <v>488</v>
      </c>
      <c r="C1144" s="3" t="s">
        <v>569</v>
      </c>
      <c r="D1144" s="3" t="s">
        <v>259</v>
      </c>
      <c r="E1144" s="3" t="s">
        <v>187</v>
      </c>
      <c r="F1144" s="3" t="s">
        <v>116</v>
      </c>
      <c r="G1144" s="3" t="s">
        <v>260</v>
      </c>
      <c r="H1144" s="3" t="s">
        <v>189</v>
      </c>
      <c r="I1144" s="3" t="s">
        <v>190</v>
      </c>
      <c r="J1144" s="3" t="s">
        <v>202</v>
      </c>
      <c r="K1144" s="3" t="s">
        <v>23</v>
      </c>
      <c r="L1144" s="3" t="s">
        <v>203</v>
      </c>
      <c r="M1144" s="3" t="s">
        <v>570</v>
      </c>
      <c r="N1144" s="3" t="s">
        <v>568</v>
      </c>
      <c r="O1144" s="3" t="s">
        <v>197</v>
      </c>
      <c r="P1144" s="3" t="s">
        <v>198</v>
      </c>
      <c r="Q1144" s="3" t="s">
        <v>39</v>
      </c>
      <c r="R1144" s="3" t="s">
        <v>40</v>
      </c>
      <c r="S1144" s="55">
        <v>19077.8</v>
      </c>
      <c r="T1144" s="55">
        <v>11554.774799999999</v>
      </c>
      <c r="U1144" s="55">
        <v>154.9016</v>
      </c>
      <c r="V1144" s="55">
        <v>7523.0252</v>
      </c>
      <c r="W1144" s="3">
        <v>61</v>
      </c>
    </row>
    <row r="1145" spans="1:23" x14ac:dyDescent="0.35">
      <c r="A1145" s="3" t="s">
        <v>487</v>
      </c>
      <c r="B1145" s="3" t="s">
        <v>488</v>
      </c>
      <c r="C1145" s="3" t="s">
        <v>263</v>
      </c>
      <c r="D1145" s="3" t="s">
        <v>259</v>
      </c>
      <c r="E1145" s="3" t="s">
        <v>187</v>
      </c>
      <c r="F1145" s="3" t="s">
        <v>116</v>
      </c>
      <c r="G1145" s="3" t="s">
        <v>260</v>
      </c>
      <c r="H1145" s="3" t="s">
        <v>189</v>
      </c>
      <c r="I1145" s="3" t="s">
        <v>190</v>
      </c>
      <c r="J1145" s="3" t="s">
        <v>191</v>
      </c>
      <c r="K1145" s="3" t="s">
        <v>33</v>
      </c>
      <c r="L1145" s="3" t="s">
        <v>51</v>
      </c>
      <c r="M1145" s="3" t="s">
        <v>264</v>
      </c>
      <c r="N1145" s="3" t="s">
        <v>265</v>
      </c>
      <c r="O1145" s="3" t="s">
        <v>197</v>
      </c>
      <c r="P1145" s="3" t="s">
        <v>198</v>
      </c>
      <c r="Q1145" s="3" t="s">
        <v>39</v>
      </c>
      <c r="R1145" s="3" t="s">
        <v>40</v>
      </c>
      <c r="S1145" s="55">
        <v>1642.6</v>
      </c>
      <c r="T1145" s="55">
        <v>0</v>
      </c>
      <c r="U1145" s="55">
        <v>0</v>
      </c>
      <c r="V1145" s="55">
        <v>1642.6</v>
      </c>
      <c r="W1145" s="3">
        <v>0</v>
      </c>
    </row>
    <row r="1146" spans="1:23" x14ac:dyDescent="0.35">
      <c r="A1146" s="3" t="s">
        <v>487</v>
      </c>
      <c r="B1146" s="3" t="s">
        <v>488</v>
      </c>
      <c r="C1146" s="3" t="s">
        <v>266</v>
      </c>
      <c r="D1146" s="3" t="s">
        <v>259</v>
      </c>
      <c r="E1146" s="3" t="s">
        <v>187</v>
      </c>
      <c r="F1146" s="3" t="s">
        <v>116</v>
      </c>
      <c r="G1146" s="3" t="s">
        <v>260</v>
      </c>
      <c r="H1146" s="3" t="s">
        <v>189</v>
      </c>
      <c r="I1146" s="3" t="s">
        <v>190</v>
      </c>
      <c r="J1146" s="3" t="s">
        <v>191</v>
      </c>
      <c r="K1146" s="3" t="s">
        <v>33</v>
      </c>
      <c r="L1146" s="3" t="s">
        <v>51</v>
      </c>
      <c r="M1146" s="3" t="s">
        <v>267</v>
      </c>
      <c r="N1146" s="3" t="s">
        <v>268</v>
      </c>
      <c r="O1146" s="3" t="s">
        <v>37</v>
      </c>
      <c r="P1146" s="3" t="s">
        <v>38</v>
      </c>
      <c r="Q1146" s="3" t="s">
        <v>39</v>
      </c>
      <c r="R1146" s="3" t="s">
        <v>40</v>
      </c>
      <c r="S1146" s="55">
        <v>92351.4</v>
      </c>
      <c r="T1146" s="55">
        <v>46477.05</v>
      </c>
      <c r="U1146" s="55">
        <v>44237.463000000003</v>
      </c>
      <c r="V1146" s="55">
        <v>45874.35</v>
      </c>
      <c r="W1146" s="3">
        <v>50</v>
      </c>
    </row>
    <row r="1147" spans="1:23" x14ac:dyDescent="0.35">
      <c r="A1147" s="3" t="s">
        <v>487</v>
      </c>
      <c r="B1147" s="3" t="s">
        <v>488</v>
      </c>
      <c r="C1147" s="3" t="s">
        <v>269</v>
      </c>
      <c r="D1147" s="3" t="s">
        <v>259</v>
      </c>
      <c r="E1147" s="3" t="s">
        <v>187</v>
      </c>
      <c r="F1147" s="3" t="s">
        <v>116</v>
      </c>
      <c r="G1147" s="3" t="s">
        <v>260</v>
      </c>
      <c r="H1147" s="3" t="s">
        <v>189</v>
      </c>
      <c r="I1147" s="3" t="s">
        <v>190</v>
      </c>
      <c r="J1147" s="3" t="s">
        <v>191</v>
      </c>
      <c r="K1147" s="3" t="s">
        <v>33</v>
      </c>
      <c r="L1147" s="3" t="s">
        <v>51</v>
      </c>
      <c r="M1147" s="3" t="s">
        <v>267</v>
      </c>
      <c r="N1147" s="3" t="s">
        <v>268</v>
      </c>
      <c r="O1147" s="3" t="s">
        <v>197</v>
      </c>
      <c r="P1147" s="3" t="s">
        <v>198</v>
      </c>
      <c r="Q1147" s="3" t="s">
        <v>39</v>
      </c>
      <c r="R1147" s="3" t="s">
        <v>40</v>
      </c>
      <c r="S1147" s="55">
        <v>14681.8</v>
      </c>
      <c r="T1147" s="55">
        <v>11757.213299999999</v>
      </c>
      <c r="U1147" s="55">
        <v>8122.5622999999996</v>
      </c>
      <c r="V1147" s="55">
        <v>2924.5866999999998</v>
      </c>
      <c r="W1147" s="3">
        <v>80</v>
      </c>
    </row>
    <row r="1148" spans="1:23" x14ac:dyDescent="0.35">
      <c r="A1148" s="3" t="s">
        <v>487</v>
      </c>
      <c r="B1148" s="3" t="s">
        <v>488</v>
      </c>
      <c r="C1148" s="3" t="s">
        <v>270</v>
      </c>
      <c r="D1148" s="3" t="s">
        <v>259</v>
      </c>
      <c r="E1148" s="3" t="s">
        <v>187</v>
      </c>
      <c r="F1148" s="3" t="s">
        <v>116</v>
      </c>
      <c r="G1148" s="3" t="s">
        <v>260</v>
      </c>
      <c r="H1148" s="3" t="s">
        <v>189</v>
      </c>
      <c r="I1148" s="3" t="s">
        <v>190</v>
      </c>
      <c r="J1148" s="3" t="s">
        <v>191</v>
      </c>
      <c r="K1148" s="3" t="s">
        <v>33</v>
      </c>
      <c r="L1148" s="3" t="s">
        <v>51</v>
      </c>
      <c r="M1148" s="3" t="s">
        <v>271</v>
      </c>
      <c r="N1148" s="3" t="s">
        <v>272</v>
      </c>
      <c r="O1148" s="3" t="s">
        <v>108</v>
      </c>
      <c r="P1148" s="3" t="s">
        <v>109</v>
      </c>
      <c r="Q1148" s="3" t="s">
        <v>39</v>
      </c>
      <c r="R1148" s="3" t="s">
        <v>40</v>
      </c>
      <c r="S1148" s="55">
        <v>43320.4</v>
      </c>
      <c r="T1148" s="55">
        <v>27159.1391</v>
      </c>
      <c r="U1148" s="55">
        <v>3946.5439999999999</v>
      </c>
      <c r="V1148" s="55">
        <v>16161.260899999999</v>
      </c>
      <c r="W1148" s="3">
        <v>63</v>
      </c>
    </row>
    <row r="1149" spans="1:23" x14ac:dyDescent="0.35">
      <c r="A1149" s="3" t="s">
        <v>487</v>
      </c>
      <c r="B1149" s="3" t="s">
        <v>488</v>
      </c>
      <c r="C1149" s="3" t="s">
        <v>273</v>
      </c>
      <c r="D1149" s="3" t="s">
        <v>259</v>
      </c>
      <c r="E1149" s="3" t="s">
        <v>187</v>
      </c>
      <c r="F1149" s="3" t="s">
        <v>116</v>
      </c>
      <c r="G1149" s="3" t="s">
        <v>260</v>
      </c>
      <c r="H1149" s="3" t="s">
        <v>189</v>
      </c>
      <c r="I1149" s="3" t="s">
        <v>190</v>
      </c>
      <c r="J1149" s="3" t="s">
        <v>191</v>
      </c>
      <c r="K1149" s="3" t="s">
        <v>33</v>
      </c>
      <c r="L1149" s="3" t="s">
        <v>51</v>
      </c>
      <c r="M1149" s="3" t="s">
        <v>274</v>
      </c>
      <c r="N1149" s="3" t="s">
        <v>275</v>
      </c>
      <c r="O1149" s="3" t="s">
        <v>108</v>
      </c>
      <c r="P1149" s="3" t="s">
        <v>109</v>
      </c>
      <c r="Q1149" s="3" t="s">
        <v>39</v>
      </c>
      <c r="R1149" s="3" t="s">
        <v>40</v>
      </c>
      <c r="S1149" s="55">
        <v>59928.7</v>
      </c>
      <c r="T1149" s="55">
        <v>36833.078300000001</v>
      </c>
      <c r="U1149" s="55">
        <v>5949.3119999999999</v>
      </c>
      <c r="V1149" s="55">
        <v>23095.6217</v>
      </c>
      <c r="W1149" s="3">
        <v>61</v>
      </c>
    </row>
    <row r="1150" spans="1:23" x14ac:dyDescent="0.35">
      <c r="A1150" s="3" t="s">
        <v>487</v>
      </c>
      <c r="B1150" s="3" t="s">
        <v>488</v>
      </c>
      <c r="C1150" s="3" t="s">
        <v>530</v>
      </c>
      <c r="D1150" s="3" t="s">
        <v>259</v>
      </c>
      <c r="E1150" s="3" t="s">
        <v>187</v>
      </c>
      <c r="F1150" s="3" t="s">
        <v>116</v>
      </c>
      <c r="G1150" s="3" t="s">
        <v>260</v>
      </c>
      <c r="H1150" s="3" t="s">
        <v>189</v>
      </c>
      <c r="I1150" s="3" t="s">
        <v>190</v>
      </c>
      <c r="J1150" s="3" t="s">
        <v>191</v>
      </c>
      <c r="K1150" s="3" t="s">
        <v>33</v>
      </c>
      <c r="L1150" s="3" t="s">
        <v>51</v>
      </c>
      <c r="M1150" s="3" t="s">
        <v>531</v>
      </c>
      <c r="N1150" s="3" t="s">
        <v>532</v>
      </c>
      <c r="O1150" s="3" t="s">
        <v>197</v>
      </c>
      <c r="P1150" s="3" t="s">
        <v>198</v>
      </c>
      <c r="Q1150" s="3" t="s">
        <v>39</v>
      </c>
      <c r="R1150" s="3" t="s">
        <v>40</v>
      </c>
      <c r="S1150" s="55">
        <v>7028.9</v>
      </c>
      <c r="T1150" s="55">
        <v>7027.2</v>
      </c>
      <c r="U1150" s="55">
        <v>0</v>
      </c>
      <c r="V1150" s="55">
        <v>1.7</v>
      </c>
      <c r="W1150" s="3">
        <v>100</v>
      </c>
    </row>
    <row r="1151" spans="1:23" x14ac:dyDescent="0.35">
      <c r="A1151" s="3" t="s">
        <v>487</v>
      </c>
      <c r="B1151" s="3" t="s">
        <v>488</v>
      </c>
      <c r="C1151" s="3" t="s">
        <v>460</v>
      </c>
      <c r="D1151" s="3" t="s">
        <v>259</v>
      </c>
      <c r="E1151" s="3" t="s">
        <v>187</v>
      </c>
      <c r="F1151" s="3" t="s">
        <v>116</v>
      </c>
      <c r="G1151" s="3" t="s">
        <v>260</v>
      </c>
      <c r="H1151" s="3" t="s">
        <v>189</v>
      </c>
      <c r="I1151" s="3" t="s">
        <v>190</v>
      </c>
      <c r="J1151" s="3" t="s">
        <v>191</v>
      </c>
      <c r="K1151" s="3" t="s">
        <v>33</v>
      </c>
      <c r="L1151" s="3" t="s">
        <v>51</v>
      </c>
      <c r="M1151" s="3" t="s">
        <v>461</v>
      </c>
      <c r="N1151" s="3" t="s">
        <v>462</v>
      </c>
      <c r="O1151" s="3" t="s">
        <v>197</v>
      </c>
      <c r="P1151" s="3" t="s">
        <v>198</v>
      </c>
      <c r="Q1151" s="3" t="s">
        <v>39</v>
      </c>
      <c r="R1151" s="3" t="s">
        <v>40</v>
      </c>
      <c r="S1151" s="55">
        <v>19787.3</v>
      </c>
      <c r="T1151" s="55">
        <v>7350.4872999999998</v>
      </c>
      <c r="U1151" s="55">
        <v>5721.1320999999998</v>
      </c>
      <c r="V1151" s="55">
        <v>12436.8127</v>
      </c>
      <c r="W1151" s="3">
        <v>37</v>
      </c>
    </row>
    <row r="1152" spans="1:23" x14ac:dyDescent="0.35">
      <c r="A1152" s="3" t="s">
        <v>487</v>
      </c>
      <c r="B1152" s="3" t="s">
        <v>488</v>
      </c>
      <c r="C1152" s="3" t="s">
        <v>276</v>
      </c>
      <c r="D1152" s="3" t="s">
        <v>259</v>
      </c>
      <c r="E1152" s="3" t="s">
        <v>187</v>
      </c>
      <c r="F1152" s="3" t="s">
        <v>116</v>
      </c>
      <c r="G1152" s="3" t="s">
        <v>260</v>
      </c>
      <c r="H1152" s="3" t="s">
        <v>189</v>
      </c>
      <c r="I1152" s="3" t="s">
        <v>190</v>
      </c>
      <c r="J1152" s="3" t="s">
        <v>191</v>
      </c>
      <c r="K1152" s="3" t="s">
        <v>33</v>
      </c>
      <c r="L1152" s="3" t="s">
        <v>51</v>
      </c>
      <c r="M1152" s="3" t="s">
        <v>277</v>
      </c>
      <c r="N1152" s="3" t="s">
        <v>533</v>
      </c>
      <c r="O1152" s="3" t="s">
        <v>197</v>
      </c>
      <c r="P1152" s="3" t="s">
        <v>198</v>
      </c>
      <c r="Q1152" s="3" t="s">
        <v>39</v>
      </c>
      <c r="R1152" s="3" t="s">
        <v>40</v>
      </c>
      <c r="S1152" s="55">
        <v>44012.1</v>
      </c>
      <c r="T1152" s="55">
        <v>6534.4057000000003</v>
      </c>
      <c r="U1152" s="55">
        <v>6534.4057000000003</v>
      </c>
      <c r="V1152" s="55">
        <v>37477.694300000003</v>
      </c>
      <c r="W1152" s="3">
        <v>15</v>
      </c>
    </row>
    <row r="1153" spans="1:23" x14ac:dyDescent="0.35">
      <c r="A1153" s="3" t="s">
        <v>487</v>
      </c>
      <c r="B1153" s="3" t="s">
        <v>488</v>
      </c>
      <c r="C1153" s="3" t="s">
        <v>571</v>
      </c>
      <c r="D1153" s="3" t="s">
        <v>259</v>
      </c>
      <c r="E1153" s="3" t="s">
        <v>187</v>
      </c>
      <c r="F1153" s="3" t="s">
        <v>116</v>
      </c>
      <c r="G1153" s="3" t="s">
        <v>260</v>
      </c>
      <c r="H1153" s="3" t="s">
        <v>189</v>
      </c>
      <c r="I1153" s="3" t="s">
        <v>190</v>
      </c>
      <c r="J1153" s="3" t="s">
        <v>191</v>
      </c>
      <c r="K1153" s="3" t="s">
        <v>33</v>
      </c>
      <c r="L1153" s="3" t="s">
        <v>51</v>
      </c>
      <c r="M1153" s="3" t="s">
        <v>572</v>
      </c>
      <c r="N1153" s="3" t="s">
        <v>262</v>
      </c>
      <c r="O1153" s="3" t="s">
        <v>197</v>
      </c>
      <c r="P1153" s="3" t="s">
        <v>198</v>
      </c>
      <c r="Q1153" s="3" t="s">
        <v>39</v>
      </c>
      <c r="R1153" s="3" t="s">
        <v>40</v>
      </c>
      <c r="S1153" s="55">
        <v>1142.5</v>
      </c>
      <c r="T1153" s="55">
        <v>0</v>
      </c>
      <c r="U1153" s="55">
        <v>0</v>
      </c>
      <c r="V1153" s="55">
        <v>1142.5</v>
      </c>
      <c r="W1153" s="3">
        <v>0</v>
      </c>
    </row>
    <row r="1154" spans="1:23" x14ac:dyDescent="0.35">
      <c r="A1154" s="3" t="s">
        <v>487</v>
      </c>
      <c r="B1154" s="3" t="s">
        <v>488</v>
      </c>
      <c r="C1154" s="3" t="s">
        <v>282</v>
      </c>
      <c r="D1154" s="3" t="s">
        <v>259</v>
      </c>
      <c r="E1154" s="3" t="s">
        <v>187</v>
      </c>
      <c r="F1154" s="3" t="s">
        <v>116</v>
      </c>
      <c r="G1154" s="3" t="s">
        <v>260</v>
      </c>
      <c r="H1154" s="3" t="s">
        <v>66</v>
      </c>
      <c r="I1154" s="3" t="s">
        <v>67</v>
      </c>
      <c r="J1154" s="3" t="s">
        <v>68</v>
      </c>
      <c r="K1154" s="3" t="s">
        <v>33</v>
      </c>
      <c r="L1154" s="3" t="s">
        <v>51</v>
      </c>
      <c r="M1154" s="3" t="s">
        <v>283</v>
      </c>
      <c r="N1154" s="3" t="s">
        <v>284</v>
      </c>
      <c r="O1154" s="3" t="s">
        <v>197</v>
      </c>
      <c r="P1154" s="3" t="s">
        <v>198</v>
      </c>
      <c r="Q1154" s="3" t="s">
        <v>39</v>
      </c>
      <c r="R1154" s="3" t="s">
        <v>40</v>
      </c>
      <c r="S1154" s="55">
        <v>500</v>
      </c>
      <c r="T1154" s="55">
        <v>285</v>
      </c>
      <c r="U1154" s="55">
        <v>0</v>
      </c>
      <c r="V1154" s="55">
        <v>215</v>
      </c>
      <c r="W1154" s="3">
        <v>57</v>
      </c>
    </row>
    <row r="1155" spans="1:23" x14ac:dyDescent="0.35">
      <c r="A1155" s="3" t="s">
        <v>487</v>
      </c>
      <c r="B1155" s="3" t="s">
        <v>488</v>
      </c>
      <c r="C1155" s="3" t="s">
        <v>289</v>
      </c>
      <c r="D1155" s="3" t="s">
        <v>290</v>
      </c>
      <c r="E1155" s="3" t="s">
        <v>291</v>
      </c>
      <c r="F1155" s="3" t="s">
        <v>146</v>
      </c>
      <c r="G1155" s="3" t="s">
        <v>534</v>
      </c>
      <c r="H1155" s="3" t="s">
        <v>293</v>
      </c>
      <c r="I1155" s="3" t="s">
        <v>294</v>
      </c>
      <c r="J1155" s="3" t="s">
        <v>295</v>
      </c>
      <c r="K1155" s="3" t="s">
        <v>33</v>
      </c>
      <c r="L1155" s="3" t="s">
        <v>51</v>
      </c>
      <c r="M1155" s="3" t="s">
        <v>296</v>
      </c>
      <c r="N1155" s="3" t="s">
        <v>535</v>
      </c>
      <c r="O1155" s="3" t="s">
        <v>108</v>
      </c>
      <c r="P1155" s="3" t="s">
        <v>109</v>
      </c>
      <c r="Q1155" s="3" t="s">
        <v>39</v>
      </c>
      <c r="R1155" s="3" t="s">
        <v>40</v>
      </c>
      <c r="S1155" s="55">
        <v>232056</v>
      </c>
      <c r="T1155" s="55">
        <v>144533.5362</v>
      </c>
      <c r="U1155" s="55">
        <v>20182.2945</v>
      </c>
      <c r="V1155" s="55">
        <v>87522.463799999998</v>
      </c>
      <c r="W1155" s="3">
        <v>62</v>
      </c>
    </row>
    <row r="1156" spans="1:23" x14ac:dyDescent="0.35">
      <c r="A1156" s="3" t="s">
        <v>487</v>
      </c>
      <c r="B1156" s="3" t="s">
        <v>488</v>
      </c>
      <c r="C1156" s="3" t="s">
        <v>298</v>
      </c>
      <c r="D1156" s="3" t="s">
        <v>290</v>
      </c>
      <c r="E1156" s="3" t="s">
        <v>291</v>
      </c>
      <c r="F1156" s="3" t="s">
        <v>146</v>
      </c>
      <c r="G1156" s="3" t="s">
        <v>534</v>
      </c>
      <c r="H1156" s="3" t="s">
        <v>293</v>
      </c>
      <c r="I1156" s="3" t="s">
        <v>294</v>
      </c>
      <c r="J1156" s="3" t="s">
        <v>295</v>
      </c>
      <c r="K1156" s="3" t="s">
        <v>33</v>
      </c>
      <c r="L1156" s="3" t="s">
        <v>51</v>
      </c>
      <c r="M1156" s="3" t="s">
        <v>299</v>
      </c>
      <c r="N1156" s="3" t="s">
        <v>536</v>
      </c>
      <c r="O1156" s="3" t="s">
        <v>108</v>
      </c>
      <c r="P1156" s="3" t="s">
        <v>109</v>
      </c>
      <c r="Q1156" s="3" t="s">
        <v>39</v>
      </c>
      <c r="R1156" s="3" t="s">
        <v>40</v>
      </c>
      <c r="S1156" s="55">
        <v>86322.7</v>
      </c>
      <c r="T1156" s="55">
        <v>46510.649400000002</v>
      </c>
      <c r="U1156" s="55">
        <v>6817.3144000000002</v>
      </c>
      <c r="V1156" s="55">
        <v>39812.050600000002</v>
      </c>
      <c r="W1156" s="3">
        <v>54</v>
      </c>
    </row>
    <row r="1157" spans="1:23" x14ac:dyDescent="0.35">
      <c r="A1157" s="3" t="s">
        <v>487</v>
      </c>
      <c r="B1157" s="3" t="s">
        <v>488</v>
      </c>
      <c r="C1157" s="3" t="s">
        <v>301</v>
      </c>
      <c r="D1157" s="3" t="s">
        <v>290</v>
      </c>
      <c r="E1157" s="3" t="s">
        <v>291</v>
      </c>
      <c r="F1157" s="3" t="s">
        <v>146</v>
      </c>
      <c r="G1157" s="3" t="s">
        <v>534</v>
      </c>
      <c r="H1157" s="3" t="s">
        <v>293</v>
      </c>
      <c r="I1157" s="3" t="s">
        <v>294</v>
      </c>
      <c r="J1157" s="3" t="s">
        <v>295</v>
      </c>
      <c r="K1157" s="3" t="s">
        <v>33</v>
      </c>
      <c r="L1157" s="3" t="s">
        <v>51</v>
      </c>
      <c r="M1157" s="3" t="s">
        <v>302</v>
      </c>
      <c r="N1157" s="3" t="s">
        <v>537</v>
      </c>
      <c r="O1157" s="3" t="s">
        <v>108</v>
      </c>
      <c r="P1157" s="3" t="s">
        <v>109</v>
      </c>
      <c r="Q1157" s="3" t="s">
        <v>39</v>
      </c>
      <c r="R1157" s="3" t="s">
        <v>40</v>
      </c>
      <c r="S1157" s="55">
        <v>192328.9</v>
      </c>
      <c r="T1157" s="55">
        <v>105896.03569999999</v>
      </c>
      <c r="U1157" s="55">
        <v>18902.833999999999</v>
      </c>
      <c r="V1157" s="55">
        <v>86432.864300000001</v>
      </c>
      <c r="W1157" s="3">
        <v>55</v>
      </c>
    </row>
    <row r="1158" spans="1:23" x14ac:dyDescent="0.35">
      <c r="A1158" s="3" t="s">
        <v>487</v>
      </c>
      <c r="B1158" s="3" t="s">
        <v>488</v>
      </c>
      <c r="C1158" s="3" t="s">
        <v>304</v>
      </c>
      <c r="D1158" s="3" t="s">
        <v>290</v>
      </c>
      <c r="E1158" s="3" t="s">
        <v>291</v>
      </c>
      <c r="F1158" s="3" t="s">
        <v>146</v>
      </c>
      <c r="G1158" s="3" t="s">
        <v>534</v>
      </c>
      <c r="H1158" s="3" t="s">
        <v>293</v>
      </c>
      <c r="I1158" s="3" t="s">
        <v>294</v>
      </c>
      <c r="J1158" s="3" t="s">
        <v>295</v>
      </c>
      <c r="K1158" s="3" t="s">
        <v>33</v>
      </c>
      <c r="L1158" s="3" t="s">
        <v>51</v>
      </c>
      <c r="M1158" s="3" t="s">
        <v>305</v>
      </c>
      <c r="N1158" s="3" t="s">
        <v>538</v>
      </c>
      <c r="O1158" s="3" t="s">
        <v>108</v>
      </c>
      <c r="P1158" s="3" t="s">
        <v>109</v>
      </c>
      <c r="Q1158" s="3" t="s">
        <v>39</v>
      </c>
      <c r="R1158" s="3" t="s">
        <v>40</v>
      </c>
      <c r="S1158" s="55">
        <v>73563</v>
      </c>
      <c r="T1158" s="55">
        <v>41247.806400000001</v>
      </c>
      <c r="U1158" s="55">
        <v>4094.3525</v>
      </c>
      <c r="V1158" s="55">
        <v>32315.193599999999</v>
      </c>
      <c r="W1158" s="3">
        <v>56</v>
      </c>
    </row>
    <row r="1159" spans="1:23" x14ac:dyDescent="0.35">
      <c r="A1159" s="3" t="s">
        <v>487</v>
      </c>
      <c r="B1159" s="3" t="s">
        <v>488</v>
      </c>
      <c r="C1159" s="3" t="s">
        <v>307</v>
      </c>
      <c r="D1159" s="3" t="s">
        <v>290</v>
      </c>
      <c r="E1159" s="3" t="s">
        <v>291</v>
      </c>
      <c r="F1159" s="3" t="s">
        <v>146</v>
      </c>
      <c r="G1159" s="3" t="s">
        <v>534</v>
      </c>
      <c r="H1159" s="3" t="s">
        <v>293</v>
      </c>
      <c r="I1159" s="3" t="s">
        <v>294</v>
      </c>
      <c r="J1159" s="3" t="s">
        <v>295</v>
      </c>
      <c r="K1159" s="3" t="s">
        <v>33</v>
      </c>
      <c r="L1159" s="3" t="s">
        <v>51</v>
      </c>
      <c r="M1159" s="3" t="s">
        <v>308</v>
      </c>
      <c r="N1159" s="3" t="s">
        <v>309</v>
      </c>
      <c r="O1159" s="3" t="s">
        <v>37</v>
      </c>
      <c r="P1159" s="3" t="s">
        <v>38</v>
      </c>
      <c r="Q1159" s="3" t="s">
        <v>39</v>
      </c>
      <c r="R1159" s="3" t="s">
        <v>40</v>
      </c>
      <c r="S1159" s="55">
        <v>7870.9</v>
      </c>
      <c r="T1159" s="55">
        <v>3170</v>
      </c>
      <c r="U1159" s="55">
        <v>850</v>
      </c>
      <c r="V1159" s="55">
        <v>4700.8999999999996</v>
      </c>
      <c r="W1159" s="3">
        <v>40</v>
      </c>
    </row>
    <row r="1160" spans="1:23" x14ac:dyDescent="0.35">
      <c r="A1160" s="3" t="s">
        <v>487</v>
      </c>
      <c r="B1160" s="3" t="s">
        <v>488</v>
      </c>
      <c r="C1160" s="3" t="s">
        <v>436</v>
      </c>
      <c r="D1160" s="3" t="s">
        <v>290</v>
      </c>
      <c r="E1160" s="3" t="s">
        <v>291</v>
      </c>
      <c r="F1160" s="3" t="s">
        <v>146</v>
      </c>
      <c r="G1160" s="3" t="s">
        <v>534</v>
      </c>
      <c r="H1160" s="3" t="s">
        <v>293</v>
      </c>
      <c r="I1160" s="3" t="s">
        <v>294</v>
      </c>
      <c r="J1160" s="3" t="s">
        <v>295</v>
      </c>
      <c r="K1160" s="3" t="s">
        <v>33</v>
      </c>
      <c r="L1160" s="3" t="s">
        <v>51</v>
      </c>
      <c r="M1160" s="3" t="s">
        <v>308</v>
      </c>
      <c r="N1160" s="3" t="s">
        <v>309</v>
      </c>
      <c r="O1160" s="3" t="s">
        <v>197</v>
      </c>
      <c r="P1160" s="3" t="s">
        <v>198</v>
      </c>
      <c r="Q1160" s="3" t="s">
        <v>39</v>
      </c>
      <c r="R1160" s="3" t="s">
        <v>40</v>
      </c>
      <c r="S1160" s="55">
        <v>3639.8</v>
      </c>
      <c r="T1160" s="55">
        <v>1662.32</v>
      </c>
      <c r="U1160" s="55">
        <v>592.79999999999995</v>
      </c>
      <c r="V1160" s="55">
        <v>1977.48</v>
      </c>
      <c r="W1160" s="3">
        <v>46</v>
      </c>
    </row>
    <row r="1161" spans="1:23" x14ac:dyDescent="0.35">
      <c r="A1161" s="3" t="s">
        <v>487</v>
      </c>
      <c r="B1161" s="3" t="s">
        <v>488</v>
      </c>
      <c r="C1161" s="3" t="s">
        <v>310</v>
      </c>
      <c r="D1161" s="3" t="s">
        <v>290</v>
      </c>
      <c r="E1161" s="3" t="s">
        <v>291</v>
      </c>
      <c r="F1161" s="3" t="s">
        <v>146</v>
      </c>
      <c r="G1161" s="3" t="s">
        <v>534</v>
      </c>
      <c r="H1161" s="3" t="s">
        <v>293</v>
      </c>
      <c r="I1161" s="3" t="s">
        <v>294</v>
      </c>
      <c r="J1161" s="3" t="s">
        <v>295</v>
      </c>
      <c r="K1161" s="3" t="s">
        <v>33</v>
      </c>
      <c r="L1161" s="3" t="s">
        <v>51</v>
      </c>
      <c r="M1161" s="3" t="s">
        <v>311</v>
      </c>
      <c r="N1161" s="3" t="s">
        <v>312</v>
      </c>
      <c r="O1161" s="3" t="s">
        <v>197</v>
      </c>
      <c r="P1161" s="3" t="s">
        <v>198</v>
      </c>
      <c r="Q1161" s="3" t="s">
        <v>39</v>
      </c>
      <c r="R1161" s="3" t="s">
        <v>40</v>
      </c>
      <c r="S1161" s="55">
        <v>40101.9</v>
      </c>
      <c r="T1161" s="55">
        <v>35882.404399999999</v>
      </c>
      <c r="U1161" s="55">
        <v>23721.400099999999</v>
      </c>
      <c r="V1161" s="55">
        <v>4219.4956000000002</v>
      </c>
      <c r="W1161" s="3">
        <v>89</v>
      </c>
    </row>
    <row r="1162" spans="1:23" x14ac:dyDescent="0.35">
      <c r="A1162" s="3" t="s">
        <v>487</v>
      </c>
      <c r="B1162" s="3" t="s">
        <v>488</v>
      </c>
      <c r="C1162" s="3" t="s">
        <v>313</v>
      </c>
      <c r="D1162" s="3" t="s">
        <v>290</v>
      </c>
      <c r="E1162" s="3" t="s">
        <v>291</v>
      </c>
      <c r="F1162" s="3" t="s">
        <v>146</v>
      </c>
      <c r="G1162" s="3" t="s">
        <v>534</v>
      </c>
      <c r="H1162" s="3" t="s">
        <v>293</v>
      </c>
      <c r="I1162" s="3" t="s">
        <v>294</v>
      </c>
      <c r="J1162" s="3" t="s">
        <v>295</v>
      </c>
      <c r="K1162" s="3" t="s">
        <v>33</v>
      </c>
      <c r="L1162" s="3" t="s">
        <v>51</v>
      </c>
      <c r="M1162" s="3" t="s">
        <v>314</v>
      </c>
      <c r="N1162" s="3" t="s">
        <v>315</v>
      </c>
      <c r="O1162" s="3" t="s">
        <v>197</v>
      </c>
      <c r="P1162" s="3" t="s">
        <v>198</v>
      </c>
      <c r="Q1162" s="3" t="s">
        <v>39</v>
      </c>
      <c r="R1162" s="3" t="s">
        <v>40</v>
      </c>
      <c r="S1162" s="55">
        <v>712.6</v>
      </c>
      <c r="T1162" s="55">
        <v>0</v>
      </c>
      <c r="U1162" s="55">
        <v>0</v>
      </c>
      <c r="V1162" s="55">
        <v>712.6</v>
      </c>
      <c r="W1162" s="3">
        <v>0</v>
      </c>
    </row>
    <row r="1163" spans="1:23" x14ac:dyDescent="0.35">
      <c r="A1163" s="3" t="s">
        <v>487</v>
      </c>
      <c r="B1163" s="3" t="s">
        <v>488</v>
      </c>
      <c r="C1163" s="3" t="s">
        <v>539</v>
      </c>
      <c r="D1163" s="3" t="s">
        <v>290</v>
      </c>
      <c r="E1163" s="3" t="s">
        <v>291</v>
      </c>
      <c r="F1163" s="3" t="s">
        <v>146</v>
      </c>
      <c r="G1163" s="3" t="s">
        <v>534</v>
      </c>
      <c r="H1163" s="3" t="s">
        <v>293</v>
      </c>
      <c r="I1163" s="3" t="s">
        <v>294</v>
      </c>
      <c r="J1163" s="3" t="s">
        <v>295</v>
      </c>
      <c r="K1163" s="3" t="s">
        <v>33</v>
      </c>
      <c r="L1163" s="3" t="s">
        <v>51</v>
      </c>
      <c r="M1163" s="3" t="s">
        <v>540</v>
      </c>
      <c r="N1163" s="3" t="s">
        <v>541</v>
      </c>
      <c r="O1163" s="3" t="s">
        <v>197</v>
      </c>
      <c r="P1163" s="3" t="s">
        <v>198</v>
      </c>
      <c r="Q1163" s="3" t="s">
        <v>39</v>
      </c>
      <c r="R1163" s="3" t="s">
        <v>40</v>
      </c>
      <c r="S1163" s="55">
        <v>30745.7</v>
      </c>
      <c r="T1163" s="55">
        <v>21451.273399999998</v>
      </c>
      <c r="U1163" s="55">
        <v>9612.4192000000003</v>
      </c>
      <c r="V1163" s="55">
        <v>9294.4266000000007</v>
      </c>
      <c r="W1163" s="3">
        <v>70</v>
      </c>
    </row>
    <row r="1164" spans="1:23" x14ac:dyDescent="0.35">
      <c r="A1164" s="3" t="s">
        <v>487</v>
      </c>
      <c r="B1164" s="3" t="s">
        <v>488</v>
      </c>
      <c r="C1164" s="3" t="s">
        <v>322</v>
      </c>
      <c r="D1164" s="3" t="s">
        <v>317</v>
      </c>
      <c r="E1164" s="3" t="s">
        <v>291</v>
      </c>
      <c r="F1164" s="3" t="s">
        <v>318</v>
      </c>
      <c r="G1164" s="3" t="s">
        <v>319</v>
      </c>
      <c r="H1164" s="3" t="s">
        <v>293</v>
      </c>
      <c r="I1164" s="3" t="s">
        <v>294</v>
      </c>
      <c r="J1164" s="3" t="s">
        <v>295</v>
      </c>
      <c r="K1164" s="3" t="s">
        <v>33</v>
      </c>
      <c r="L1164" s="3" t="s">
        <v>51</v>
      </c>
      <c r="M1164" s="3" t="s">
        <v>323</v>
      </c>
      <c r="N1164" s="3" t="s">
        <v>324</v>
      </c>
      <c r="O1164" s="3" t="s">
        <v>197</v>
      </c>
      <c r="P1164" s="3" t="s">
        <v>198</v>
      </c>
      <c r="Q1164" s="3" t="s">
        <v>39</v>
      </c>
      <c r="R1164" s="3" t="s">
        <v>40</v>
      </c>
      <c r="S1164" s="55">
        <v>12448.4</v>
      </c>
      <c r="T1164" s="55">
        <v>3061.3195999999998</v>
      </c>
      <c r="U1164" s="55">
        <v>0</v>
      </c>
      <c r="V1164" s="55">
        <v>9387.0804000000007</v>
      </c>
      <c r="W1164" s="3">
        <v>25</v>
      </c>
    </row>
    <row r="1165" spans="1:23" x14ac:dyDescent="0.35">
      <c r="A1165" s="3" t="s">
        <v>487</v>
      </c>
      <c r="B1165" s="3" t="s">
        <v>488</v>
      </c>
      <c r="C1165" s="3" t="s">
        <v>325</v>
      </c>
      <c r="D1165" s="3" t="s">
        <v>326</v>
      </c>
      <c r="E1165" s="3" t="s">
        <v>327</v>
      </c>
      <c r="F1165" s="3" t="s">
        <v>189</v>
      </c>
      <c r="G1165" s="3" t="s">
        <v>328</v>
      </c>
      <c r="H1165" s="3" t="s">
        <v>146</v>
      </c>
      <c r="I1165" s="3" t="s">
        <v>329</v>
      </c>
      <c r="J1165" s="3" t="s">
        <v>330</v>
      </c>
      <c r="K1165" s="3" t="s">
        <v>33</v>
      </c>
      <c r="L1165" s="3" t="s">
        <v>51</v>
      </c>
      <c r="M1165" s="3" t="s">
        <v>331</v>
      </c>
      <c r="N1165" s="3" t="s">
        <v>332</v>
      </c>
      <c r="O1165" s="3" t="s">
        <v>108</v>
      </c>
      <c r="P1165" s="3" t="s">
        <v>109</v>
      </c>
      <c r="Q1165" s="3" t="s">
        <v>39</v>
      </c>
      <c r="R1165" s="3" t="s">
        <v>40</v>
      </c>
      <c r="S1165" s="55">
        <v>607335</v>
      </c>
      <c r="T1165" s="55">
        <v>325863.55940000003</v>
      </c>
      <c r="U1165" s="55">
        <v>51749.786399999997</v>
      </c>
      <c r="V1165" s="55">
        <v>281471.44059999997</v>
      </c>
      <c r="W1165" s="3">
        <v>54</v>
      </c>
    </row>
    <row r="1166" spans="1:23" x14ac:dyDescent="0.35">
      <c r="A1166" s="3" t="s">
        <v>487</v>
      </c>
      <c r="B1166" s="3" t="s">
        <v>488</v>
      </c>
      <c r="C1166" s="3" t="s">
        <v>333</v>
      </c>
      <c r="D1166" s="3" t="s">
        <v>326</v>
      </c>
      <c r="E1166" s="3" t="s">
        <v>327</v>
      </c>
      <c r="F1166" s="3" t="s">
        <v>189</v>
      </c>
      <c r="G1166" s="3" t="s">
        <v>328</v>
      </c>
      <c r="H1166" s="3" t="s">
        <v>146</v>
      </c>
      <c r="I1166" s="3" t="s">
        <v>329</v>
      </c>
      <c r="J1166" s="3" t="s">
        <v>330</v>
      </c>
      <c r="K1166" s="3" t="s">
        <v>33</v>
      </c>
      <c r="L1166" s="3" t="s">
        <v>51</v>
      </c>
      <c r="M1166" s="3" t="s">
        <v>331</v>
      </c>
      <c r="N1166" s="3" t="s">
        <v>332</v>
      </c>
      <c r="O1166" s="3" t="s">
        <v>334</v>
      </c>
      <c r="P1166" s="3" t="s">
        <v>335</v>
      </c>
      <c r="Q1166" s="3" t="s">
        <v>39</v>
      </c>
      <c r="R1166" s="3" t="s">
        <v>40</v>
      </c>
      <c r="S1166" s="55">
        <v>5154.6000000000004</v>
      </c>
      <c r="T1166" s="55">
        <v>2390.9647</v>
      </c>
      <c r="U1166" s="55">
        <v>376.46710000000002</v>
      </c>
      <c r="V1166" s="55">
        <v>2763.6352999999999</v>
      </c>
      <c r="W1166" s="3">
        <v>46</v>
      </c>
    </row>
    <row r="1167" spans="1:23" x14ac:dyDescent="0.35">
      <c r="A1167" s="3" t="s">
        <v>487</v>
      </c>
      <c r="B1167" s="3" t="s">
        <v>488</v>
      </c>
      <c r="C1167" s="3" t="s">
        <v>542</v>
      </c>
      <c r="D1167" s="3" t="s">
        <v>337</v>
      </c>
      <c r="E1167" s="3" t="s">
        <v>327</v>
      </c>
      <c r="F1167" s="3" t="s">
        <v>116</v>
      </c>
      <c r="G1167" s="3" t="s">
        <v>338</v>
      </c>
      <c r="H1167" s="3" t="s">
        <v>146</v>
      </c>
      <c r="I1167" s="3" t="s">
        <v>329</v>
      </c>
      <c r="J1167" s="3" t="s">
        <v>339</v>
      </c>
      <c r="K1167" s="3" t="s">
        <v>23</v>
      </c>
      <c r="L1167" s="3" t="s">
        <v>203</v>
      </c>
      <c r="M1167" s="3" t="s">
        <v>543</v>
      </c>
      <c r="N1167" s="3" t="s">
        <v>341</v>
      </c>
      <c r="O1167" s="3" t="s">
        <v>197</v>
      </c>
      <c r="P1167" s="3" t="s">
        <v>198</v>
      </c>
      <c r="Q1167" s="3" t="s">
        <v>39</v>
      </c>
      <c r="R1167" s="3" t="s">
        <v>40</v>
      </c>
      <c r="S1167" s="55">
        <v>79182.8</v>
      </c>
      <c r="T1167" s="55">
        <v>68566.592399999994</v>
      </c>
      <c r="U1167" s="55">
        <v>0</v>
      </c>
      <c r="V1167" s="55">
        <v>10616.2076</v>
      </c>
      <c r="W1167" s="3">
        <v>87</v>
      </c>
    </row>
    <row r="1168" spans="1:23" x14ac:dyDescent="0.35">
      <c r="A1168" s="3" t="s">
        <v>487</v>
      </c>
      <c r="B1168" s="3" t="s">
        <v>488</v>
      </c>
      <c r="C1168" s="3" t="s">
        <v>544</v>
      </c>
      <c r="D1168" s="3" t="s">
        <v>337</v>
      </c>
      <c r="E1168" s="3" t="s">
        <v>327</v>
      </c>
      <c r="F1168" s="3" t="s">
        <v>116</v>
      </c>
      <c r="G1168" s="3" t="s">
        <v>338</v>
      </c>
      <c r="H1168" s="3" t="s">
        <v>146</v>
      </c>
      <c r="I1168" s="3" t="s">
        <v>329</v>
      </c>
      <c r="J1168" s="3" t="s">
        <v>339</v>
      </c>
      <c r="K1168" s="3" t="s">
        <v>23</v>
      </c>
      <c r="L1168" s="3" t="s">
        <v>203</v>
      </c>
      <c r="M1168" s="3" t="s">
        <v>545</v>
      </c>
      <c r="N1168" s="3" t="s">
        <v>359</v>
      </c>
      <c r="O1168" s="3" t="s">
        <v>197</v>
      </c>
      <c r="P1168" s="3" t="s">
        <v>198</v>
      </c>
      <c r="Q1168" s="3" t="s">
        <v>39</v>
      </c>
      <c r="R1168" s="3" t="s">
        <v>40</v>
      </c>
      <c r="S1168" s="55">
        <v>50.1</v>
      </c>
      <c r="T1168" s="55">
        <v>50.1</v>
      </c>
      <c r="U1168" s="55">
        <v>0</v>
      </c>
      <c r="V1168" s="55">
        <v>0</v>
      </c>
      <c r="W1168" s="3">
        <v>100</v>
      </c>
    </row>
    <row r="1169" spans="1:23" x14ac:dyDescent="0.35">
      <c r="A1169" s="3" t="s">
        <v>487</v>
      </c>
      <c r="B1169" s="3" t="s">
        <v>488</v>
      </c>
      <c r="C1169" s="3" t="s">
        <v>437</v>
      </c>
      <c r="D1169" s="3" t="s">
        <v>337</v>
      </c>
      <c r="E1169" s="3" t="s">
        <v>327</v>
      </c>
      <c r="F1169" s="3" t="s">
        <v>116</v>
      </c>
      <c r="G1169" s="3" t="s">
        <v>338</v>
      </c>
      <c r="H1169" s="3" t="s">
        <v>146</v>
      </c>
      <c r="I1169" s="3" t="s">
        <v>329</v>
      </c>
      <c r="J1169" s="3" t="s">
        <v>330</v>
      </c>
      <c r="K1169" s="3" t="s">
        <v>33</v>
      </c>
      <c r="L1169" s="3" t="s">
        <v>51</v>
      </c>
      <c r="M1169" s="3" t="s">
        <v>438</v>
      </c>
      <c r="N1169" s="3" t="s">
        <v>439</v>
      </c>
      <c r="O1169" s="3" t="s">
        <v>197</v>
      </c>
      <c r="P1169" s="3" t="s">
        <v>198</v>
      </c>
      <c r="Q1169" s="3" t="s">
        <v>39</v>
      </c>
      <c r="R1169" s="3" t="s">
        <v>40</v>
      </c>
      <c r="S1169" s="55">
        <v>35585.699999999997</v>
      </c>
      <c r="T1169" s="55">
        <v>15924.1427</v>
      </c>
      <c r="U1169" s="55">
        <v>516.60140000000001</v>
      </c>
      <c r="V1169" s="55">
        <v>19661.5573</v>
      </c>
      <c r="W1169" s="3">
        <v>45</v>
      </c>
    </row>
    <row r="1170" spans="1:23" x14ac:dyDescent="0.35">
      <c r="A1170" s="3" t="s">
        <v>487</v>
      </c>
      <c r="B1170" s="3" t="s">
        <v>488</v>
      </c>
      <c r="C1170" s="3" t="s">
        <v>342</v>
      </c>
      <c r="D1170" s="3" t="s">
        <v>337</v>
      </c>
      <c r="E1170" s="3" t="s">
        <v>327</v>
      </c>
      <c r="F1170" s="3" t="s">
        <v>116</v>
      </c>
      <c r="G1170" s="3" t="s">
        <v>338</v>
      </c>
      <c r="H1170" s="3" t="s">
        <v>146</v>
      </c>
      <c r="I1170" s="3" t="s">
        <v>329</v>
      </c>
      <c r="J1170" s="3" t="s">
        <v>330</v>
      </c>
      <c r="K1170" s="3" t="s">
        <v>33</v>
      </c>
      <c r="L1170" s="3" t="s">
        <v>51</v>
      </c>
      <c r="M1170" s="3" t="s">
        <v>343</v>
      </c>
      <c r="N1170" s="3" t="s">
        <v>344</v>
      </c>
      <c r="O1170" s="3" t="s">
        <v>37</v>
      </c>
      <c r="P1170" s="3" t="s">
        <v>38</v>
      </c>
      <c r="Q1170" s="3" t="s">
        <v>39</v>
      </c>
      <c r="R1170" s="3" t="s">
        <v>40</v>
      </c>
      <c r="S1170" s="55">
        <v>46.1</v>
      </c>
      <c r="T1170" s="55">
        <v>0</v>
      </c>
      <c r="U1170" s="55">
        <v>0</v>
      </c>
      <c r="V1170" s="55">
        <v>46.1</v>
      </c>
      <c r="W1170" s="3">
        <v>0</v>
      </c>
    </row>
    <row r="1171" spans="1:23" x14ac:dyDescent="0.35">
      <c r="A1171" s="3" t="s">
        <v>487</v>
      </c>
      <c r="B1171" s="3" t="s">
        <v>488</v>
      </c>
      <c r="C1171" s="3" t="s">
        <v>345</v>
      </c>
      <c r="D1171" s="3" t="s">
        <v>337</v>
      </c>
      <c r="E1171" s="3" t="s">
        <v>327</v>
      </c>
      <c r="F1171" s="3" t="s">
        <v>116</v>
      </c>
      <c r="G1171" s="3" t="s">
        <v>338</v>
      </c>
      <c r="H1171" s="3" t="s">
        <v>146</v>
      </c>
      <c r="I1171" s="3" t="s">
        <v>329</v>
      </c>
      <c r="J1171" s="3" t="s">
        <v>330</v>
      </c>
      <c r="K1171" s="3" t="s">
        <v>33</v>
      </c>
      <c r="L1171" s="3" t="s">
        <v>51</v>
      </c>
      <c r="M1171" s="3" t="s">
        <v>346</v>
      </c>
      <c r="N1171" s="3" t="s">
        <v>347</v>
      </c>
      <c r="O1171" s="3" t="s">
        <v>197</v>
      </c>
      <c r="P1171" s="3" t="s">
        <v>198</v>
      </c>
      <c r="Q1171" s="3" t="s">
        <v>39</v>
      </c>
      <c r="R1171" s="3" t="s">
        <v>40</v>
      </c>
      <c r="S1171" s="55">
        <v>98282.8</v>
      </c>
      <c r="T1171" s="55">
        <v>0</v>
      </c>
      <c r="U1171" s="55">
        <v>0</v>
      </c>
      <c r="V1171" s="55">
        <v>98282.8</v>
      </c>
      <c r="W1171" s="3">
        <v>0</v>
      </c>
    </row>
    <row r="1172" spans="1:23" x14ac:dyDescent="0.35">
      <c r="A1172" s="3" t="s">
        <v>487</v>
      </c>
      <c r="B1172" s="3" t="s">
        <v>488</v>
      </c>
      <c r="C1172" s="3" t="s">
        <v>489</v>
      </c>
      <c r="D1172" s="3" t="s">
        <v>337</v>
      </c>
      <c r="E1172" s="3" t="s">
        <v>327</v>
      </c>
      <c r="F1172" s="3" t="s">
        <v>116</v>
      </c>
      <c r="G1172" s="3" t="s">
        <v>338</v>
      </c>
      <c r="H1172" s="3" t="s">
        <v>146</v>
      </c>
      <c r="I1172" s="3" t="s">
        <v>329</v>
      </c>
      <c r="J1172" s="3" t="s">
        <v>330</v>
      </c>
      <c r="K1172" s="3" t="s">
        <v>33</v>
      </c>
      <c r="L1172" s="3" t="s">
        <v>51</v>
      </c>
      <c r="M1172" s="3" t="s">
        <v>490</v>
      </c>
      <c r="N1172" s="3" t="s">
        <v>491</v>
      </c>
      <c r="O1172" s="3" t="s">
        <v>197</v>
      </c>
      <c r="P1172" s="3" t="s">
        <v>198</v>
      </c>
      <c r="Q1172" s="3" t="s">
        <v>39</v>
      </c>
      <c r="R1172" s="3" t="s">
        <v>40</v>
      </c>
      <c r="S1172" s="55">
        <v>14237.2</v>
      </c>
      <c r="T1172" s="55">
        <v>0</v>
      </c>
      <c r="U1172" s="55">
        <v>0</v>
      </c>
      <c r="V1172" s="55">
        <v>14237.2</v>
      </c>
      <c r="W1172" s="3">
        <v>0</v>
      </c>
    </row>
    <row r="1173" spans="1:23" x14ac:dyDescent="0.35">
      <c r="A1173" s="3" t="s">
        <v>487</v>
      </c>
      <c r="B1173" s="3" t="s">
        <v>488</v>
      </c>
      <c r="C1173" s="3" t="s">
        <v>348</v>
      </c>
      <c r="D1173" s="3" t="s">
        <v>337</v>
      </c>
      <c r="E1173" s="3" t="s">
        <v>327</v>
      </c>
      <c r="F1173" s="3" t="s">
        <v>116</v>
      </c>
      <c r="G1173" s="3" t="s">
        <v>338</v>
      </c>
      <c r="H1173" s="3" t="s">
        <v>146</v>
      </c>
      <c r="I1173" s="3" t="s">
        <v>329</v>
      </c>
      <c r="J1173" s="3" t="s">
        <v>330</v>
      </c>
      <c r="K1173" s="3" t="s">
        <v>33</v>
      </c>
      <c r="L1173" s="3" t="s">
        <v>51</v>
      </c>
      <c r="M1173" s="3" t="s">
        <v>349</v>
      </c>
      <c r="N1173" s="3" t="s">
        <v>350</v>
      </c>
      <c r="O1173" s="3" t="s">
        <v>197</v>
      </c>
      <c r="P1173" s="3" t="s">
        <v>198</v>
      </c>
      <c r="Q1173" s="3" t="s">
        <v>39</v>
      </c>
      <c r="R1173" s="3" t="s">
        <v>40</v>
      </c>
      <c r="S1173" s="55">
        <v>100</v>
      </c>
      <c r="T1173" s="55">
        <v>0</v>
      </c>
      <c r="U1173" s="55">
        <v>0</v>
      </c>
      <c r="V1173" s="55">
        <v>100</v>
      </c>
      <c r="W1173" s="3">
        <v>0</v>
      </c>
    </row>
    <row r="1174" spans="1:23" x14ac:dyDescent="0.35">
      <c r="A1174" s="3" t="s">
        <v>487</v>
      </c>
      <c r="B1174" s="3" t="s">
        <v>488</v>
      </c>
      <c r="C1174" s="3" t="s">
        <v>546</v>
      </c>
      <c r="D1174" s="3" t="s">
        <v>337</v>
      </c>
      <c r="E1174" s="3" t="s">
        <v>327</v>
      </c>
      <c r="F1174" s="3" t="s">
        <v>116</v>
      </c>
      <c r="G1174" s="3" t="s">
        <v>338</v>
      </c>
      <c r="H1174" s="3" t="s">
        <v>146</v>
      </c>
      <c r="I1174" s="3" t="s">
        <v>329</v>
      </c>
      <c r="J1174" s="3" t="s">
        <v>330</v>
      </c>
      <c r="K1174" s="3" t="s">
        <v>33</v>
      </c>
      <c r="L1174" s="3" t="s">
        <v>51</v>
      </c>
      <c r="M1174" s="3" t="s">
        <v>547</v>
      </c>
      <c r="N1174" s="3" t="s">
        <v>548</v>
      </c>
      <c r="O1174" s="3" t="s">
        <v>197</v>
      </c>
      <c r="P1174" s="3" t="s">
        <v>198</v>
      </c>
      <c r="Q1174" s="3" t="s">
        <v>39</v>
      </c>
      <c r="R1174" s="3" t="s">
        <v>40</v>
      </c>
      <c r="S1174" s="55">
        <v>15384.9</v>
      </c>
      <c r="T1174" s="55">
        <v>0</v>
      </c>
      <c r="U1174" s="55">
        <v>0</v>
      </c>
      <c r="V1174" s="55">
        <v>15384.9</v>
      </c>
      <c r="W1174" s="3">
        <v>0</v>
      </c>
    </row>
    <row r="1175" spans="1:23" x14ac:dyDescent="0.35">
      <c r="A1175" s="3" t="s">
        <v>487</v>
      </c>
      <c r="B1175" s="3" t="s">
        <v>488</v>
      </c>
      <c r="C1175" s="3" t="s">
        <v>455</v>
      </c>
      <c r="D1175" s="3" t="s">
        <v>337</v>
      </c>
      <c r="E1175" s="3" t="s">
        <v>327</v>
      </c>
      <c r="F1175" s="3" t="s">
        <v>116</v>
      </c>
      <c r="G1175" s="3" t="s">
        <v>338</v>
      </c>
      <c r="H1175" s="3" t="s">
        <v>146</v>
      </c>
      <c r="I1175" s="3" t="s">
        <v>329</v>
      </c>
      <c r="J1175" s="3" t="s">
        <v>330</v>
      </c>
      <c r="K1175" s="3" t="s">
        <v>33</v>
      </c>
      <c r="L1175" s="3" t="s">
        <v>51</v>
      </c>
      <c r="M1175" s="3" t="s">
        <v>456</v>
      </c>
      <c r="N1175" s="3" t="s">
        <v>457</v>
      </c>
      <c r="O1175" s="3" t="s">
        <v>197</v>
      </c>
      <c r="P1175" s="3" t="s">
        <v>198</v>
      </c>
      <c r="Q1175" s="3" t="s">
        <v>39</v>
      </c>
      <c r="R1175" s="3" t="s">
        <v>40</v>
      </c>
      <c r="S1175" s="55">
        <v>2903.1</v>
      </c>
      <c r="T1175" s="55">
        <v>1587.6786999999999</v>
      </c>
      <c r="U1175" s="55">
        <v>35.909999999999997</v>
      </c>
      <c r="V1175" s="55">
        <v>1315.4213</v>
      </c>
      <c r="W1175" s="3">
        <v>55</v>
      </c>
    </row>
    <row r="1176" spans="1:23" x14ac:dyDescent="0.35">
      <c r="A1176" s="3" t="s">
        <v>487</v>
      </c>
      <c r="B1176" s="3" t="s">
        <v>488</v>
      </c>
      <c r="C1176" s="3" t="s">
        <v>354</v>
      </c>
      <c r="D1176" s="3" t="s">
        <v>337</v>
      </c>
      <c r="E1176" s="3" t="s">
        <v>327</v>
      </c>
      <c r="F1176" s="3" t="s">
        <v>116</v>
      </c>
      <c r="G1176" s="3" t="s">
        <v>338</v>
      </c>
      <c r="H1176" s="3" t="s">
        <v>146</v>
      </c>
      <c r="I1176" s="3" t="s">
        <v>329</v>
      </c>
      <c r="J1176" s="3" t="s">
        <v>330</v>
      </c>
      <c r="K1176" s="3" t="s">
        <v>33</v>
      </c>
      <c r="L1176" s="3" t="s">
        <v>51</v>
      </c>
      <c r="M1176" s="3" t="s">
        <v>355</v>
      </c>
      <c r="N1176" s="3" t="s">
        <v>356</v>
      </c>
      <c r="O1176" s="3" t="s">
        <v>197</v>
      </c>
      <c r="P1176" s="3" t="s">
        <v>198</v>
      </c>
      <c r="Q1176" s="3" t="s">
        <v>39</v>
      </c>
      <c r="R1176" s="3" t="s">
        <v>40</v>
      </c>
      <c r="S1176" s="55">
        <v>34143.9</v>
      </c>
      <c r="T1176" s="55">
        <v>20276.967799999999</v>
      </c>
      <c r="U1176" s="55">
        <v>4773.7797</v>
      </c>
      <c r="V1176" s="55">
        <v>13866.932199999999</v>
      </c>
      <c r="W1176" s="3">
        <v>59</v>
      </c>
    </row>
    <row r="1177" spans="1:23" x14ac:dyDescent="0.35">
      <c r="A1177" s="3" t="s">
        <v>487</v>
      </c>
      <c r="B1177" s="3" t="s">
        <v>488</v>
      </c>
      <c r="C1177" s="3" t="s">
        <v>463</v>
      </c>
      <c r="D1177" s="3" t="s">
        <v>337</v>
      </c>
      <c r="E1177" s="3" t="s">
        <v>327</v>
      </c>
      <c r="F1177" s="3" t="s">
        <v>116</v>
      </c>
      <c r="G1177" s="3" t="s">
        <v>338</v>
      </c>
      <c r="H1177" s="3" t="s">
        <v>146</v>
      </c>
      <c r="I1177" s="3" t="s">
        <v>329</v>
      </c>
      <c r="J1177" s="3" t="s">
        <v>330</v>
      </c>
      <c r="K1177" s="3" t="s">
        <v>33</v>
      </c>
      <c r="L1177" s="3" t="s">
        <v>51</v>
      </c>
      <c r="M1177" s="3" t="s">
        <v>464</v>
      </c>
      <c r="N1177" s="3" t="s">
        <v>465</v>
      </c>
      <c r="O1177" s="3" t="s">
        <v>197</v>
      </c>
      <c r="P1177" s="3" t="s">
        <v>198</v>
      </c>
      <c r="Q1177" s="3" t="s">
        <v>39</v>
      </c>
      <c r="R1177" s="3" t="s">
        <v>40</v>
      </c>
      <c r="S1177" s="55">
        <v>139457.60000000001</v>
      </c>
      <c r="T1177" s="55">
        <v>2130.9340000000002</v>
      </c>
      <c r="U1177" s="55">
        <v>123.16</v>
      </c>
      <c r="V1177" s="55">
        <v>137326.666</v>
      </c>
      <c r="W1177" s="3">
        <v>2</v>
      </c>
    </row>
    <row r="1178" spans="1:23" x14ac:dyDescent="0.35">
      <c r="A1178" s="3" t="s">
        <v>487</v>
      </c>
      <c r="B1178" s="3" t="s">
        <v>488</v>
      </c>
      <c r="C1178" s="3" t="s">
        <v>363</v>
      </c>
      <c r="D1178" s="3" t="s">
        <v>364</v>
      </c>
      <c r="E1178" s="3" t="s">
        <v>365</v>
      </c>
      <c r="F1178" s="3" t="s">
        <v>189</v>
      </c>
      <c r="G1178" s="3" t="s">
        <v>366</v>
      </c>
      <c r="H1178" s="3" t="s">
        <v>28</v>
      </c>
      <c r="I1178" s="3" t="s">
        <v>231</v>
      </c>
      <c r="J1178" s="3" t="s">
        <v>232</v>
      </c>
      <c r="K1178" s="3" t="s">
        <v>33</v>
      </c>
      <c r="L1178" s="3" t="s">
        <v>51</v>
      </c>
      <c r="M1178" s="3" t="s">
        <v>367</v>
      </c>
      <c r="N1178" s="3" t="s">
        <v>368</v>
      </c>
      <c r="O1178" s="3" t="s">
        <v>108</v>
      </c>
      <c r="P1178" s="3" t="s">
        <v>109</v>
      </c>
      <c r="Q1178" s="3" t="s">
        <v>39</v>
      </c>
      <c r="R1178" s="3" t="s">
        <v>40</v>
      </c>
      <c r="S1178" s="55">
        <v>181890.3</v>
      </c>
      <c r="T1178" s="55">
        <v>112315.06660000001</v>
      </c>
      <c r="U1178" s="55">
        <v>16299.7611</v>
      </c>
      <c r="V1178" s="55">
        <v>69575.233399999997</v>
      </c>
      <c r="W1178" s="3">
        <v>62</v>
      </c>
    </row>
    <row r="1179" spans="1:23" x14ac:dyDescent="0.35">
      <c r="A1179" s="3" t="s">
        <v>487</v>
      </c>
      <c r="B1179" s="3" t="s">
        <v>488</v>
      </c>
      <c r="C1179" s="3" t="s">
        <v>369</v>
      </c>
      <c r="D1179" s="3" t="s">
        <v>364</v>
      </c>
      <c r="E1179" s="3" t="s">
        <v>365</v>
      </c>
      <c r="F1179" s="3" t="s">
        <v>189</v>
      </c>
      <c r="G1179" s="3" t="s">
        <v>366</v>
      </c>
      <c r="H1179" s="3" t="s">
        <v>28</v>
      </c>
      <c r="I1179" s="3" t="s">
        <v>231</v>
      </c>
      <c r="J1179" s="3" t="s">
        <v>232</v>
      </c>
      <c r="K1179" s="3" t="s">
        <v>33</v>
      </c>
      <c r="L1179" s="3" t="s">
        <v>51</v>
      </c>
      <c r="M1179" s="3" t="s">
        <v>367</v>
      </c>
      <c r="N1179" s="3" t="s">
        <v>368</v>
      </c>
      <c r="O1179" s="3" t="s">
        <v>334</v>
      </c>
      <c r="P1179" s="3" t="s">
        <v>335</v>
      </c>
      <c r="Q1179" s="3" t="s">
        <v>39</v>
      </c>
      <c r="R1179" s="3" t="s">
        <v>40</v>
      </c>
      <c r="S1179" s="55">
        <v>18356.2</v>
      </c>
      <c r="T1179" s="55">
        <v>8182.5983999999999</v>
      </c>
      <c r="U1179" s="55">
        <v>1117.6329000000001</v>
      </c>
      <c r="V1179" s="55">
        <v>10173.6016</v>
      </c>
      <c r="W1179" s="3">
        <v>45</v>
      </c>
    </row>
    <row r="1180" spans="1:23" x14ac:dyDescent="0.35">
      <c r="A1180" s="3" t="s">
        <v>487</v>
      </c>
      <c r="B1180" s="3" t="s">
        <v>488</v>
      </c>
      <c r="C1180" s="3" t="s">
        <v>373</v>
      </c>
      <c r="D1180" s="3" t="s">
        <v>364</v>
      </c>
      <c r="E1180" s="3" t="s">
        <v>365</v>
      </c>
      <c r="F1180" s="3" t="s">
        <v>189</v>
      </c>
      <c r="G1180" s="3" t="s">
        <v>366</v>
      </c>
      <c r="H1180" s="3" t="s">
        <v>28</v>
      </c>
      <c r="I1180" s="3" t="s">
        <v>231</v>
      </c>
      <c r="J1180" s="3" t="s">
        <v>232</v>
      </c>
      <c r="K1180" s="3" t="s">
        <v>33</v>
      </c>
      <c r="L1180" s="3" t="s">
        <v>51</v>
      </c>
      <c r="M1180" s="3" t="s">
        <v>371</v>
      </c>
      <c r="N1180" s="3" t="s">
        <v>372</v>
      </c>
      <c r="O1180" s="3" t="s">
        <v>334</v>
      </c>
      <c r="P1180" s="3" t="s">
        <v>335</v>
      </c>
      <c r="Q1180" s="3" t="s">
        <v>39</v>
      </c>
      <c r="R1180" s="3" t="s">
        <v>40</v>
      </c>
      <c r="S1180" s="55">
        <v>109296.5</v>
      </c>
      <c r="T1180" s="55">
        <v>74391.294899999994</v>
      </c>
      <c r="U1180" s="55">
        <v>13179.4913</v>
      </c>
      <c r="V1180" s="55">
        <v>34905.205099999999</v>
      </c>
      <c r="W1180" s="3">
        <v>68</v>
      </c>
    </row>
    <row r="1181" spans="1:23" x14ac:dyDescent="0.35">
      <c r="A1181" s="3" t="s">
        <v>487</v>
      </c>
      <c r="B1181" s="3" t="s">
        <v>488</v>
      </c>
      <c r="C1181" s="3" t="s">
        <v>374</v>
      </c>
      <c r="D1181" s="3" t="s">
        <v>364</v>
      </c>
      <c r="E1181" s="3" t="s">
        <v>365</v>
      </c>
      <c r="F1181" s="3" t="s">
        <v>189</v>
      </c>
      <c r="G1181" s="3" t="s">
        <v>366</v>
      </c>
      <c r="H1181" s="3" t="s">
        <v>28</v>
      </c>
      <c r="I1181" s="3" t="s">
        <v>231</v>
      </c>
      <c r="J1181" s="3" t="s">
        <v>232</v>
      </c>
      <c r="K1181" s="3" t="s">
        <v>33</v>
      </c>
      <c r="L1181" s="3" t="s">
        <v>51</v>
      </c>
      <c r="M1181" s="3" t="s">
        <v>375</v>
      </c>
      <c r="N1181" s="3" t="s">
        <v>376</v>
      </c>
      <c r="O1181" s="3" t="s">
        <v>197</v>
      </c>
      <c r="P1181" s="3" t="s">
        <v>198</v>
      </c>
      <c r="Q1181" s="3" t="s">
        <v>39</v>
      </c>
      <c r="R1181" s="3" t="s">
        <v>40</v>
      </c>
      <c r="S1181" s="55">
        <v>10386</v>
      </c>
      <c r="T1181" s="55">
        <v>0</v>
      </c>
      <c r="U1181" s="55">
        <v>0</v>
      </c>
      <c r="V1181" s="55">
        <v>10386</v>
      </c>
      <c r="W1181" s="3">
        <v>0</v>
      </c>
    </row>
    <row r="1182" spans="1:23" x14ac:dyDescent="0.35">
      <c r="A1182" s="3" t="s">
        <v>487</v>
      </c>
      <c r="B1182" s="3" t="s">
        <v>488</v>
      </c>
      <c r="C1182" s="3" t="s">
        <v>377</v>
      </c>
      <c r="D1182" s="3" t="s">
        <v>364</v>
      </c>
      <c r="E1182" s="3" t="s">
        <v>365</v>
      </c>
      <c r="F1182" s="3" t="s">
        <v>189</v>
      </c>
      <c r="G1182" s="3" t="s">
        <v>366</v>
      </c>
      <c r="H1182" s="3" t="s">
        <v>28</v>
      </c>
      <c r="I1182" s="3" t="s">
        <v>231</v>
      </c>
      <c r="J1182" s="3" t="s">
        <v>232</v>
      </c>
      <c r="K1182" s="3" t="s">
        <v>33</v>
      </c>
      <c r="L1182" s="3" t="s">
        <v>51</v>
      </c>
      <c r="M1182" s="3" t="s">
        <v>378</v>
      </c>
      <c r="N1182" s="3" t="s">
        <v>549</v>
      </c>
      <c r="O1182" s="3" t="s">
        <v>108</v>
      </c>
      <c r="P1182" s="3" t="s">
        <v>109</v>
      </c>
      <c r="Q1182" s="3" t="s">
        <v>39</v>
      </c>
      <c r="R1182" s="3" t="s">
        <v>40</v>
      </c>
      <c r="S1182" s="55">
        <v>12844.7</v>
      </c>
      <c r="T1182" s="55">
        <v>7991.0766999999996</v>
      </c>
      <c r="U1182" s="55">
        <v>1301.4476</v>
      </c>
      <c r="V1182" s="55">
        <v>4853.6233000000002</v>
      </c>
      <c r="W1182" s="3">
        <v>62</v>
      </c>
    </row>
    <row r="1183" spans="1:23" x14ac:dyDescent="0.35">
      <c r="A1183" s="3" t="s">
        <v>487</v>
      </c>
      <c r="B1183" s="3" t="s">
        <v>488</v>
      </c>
      <c r="C1183" s="3" t="s">
        <v>380</v>
      </c>
      <c r="D1183" s="3" t="s">
        <v>364</v>
      </c>
      <c r="E1183" s="3" t="s">
        <v>365</v>
      </c>
      <c r="F1183" s="3" t="s">
        <v>189</v>
      </c>
      <c r="G1183" s="3" t="s">
        <v>366</v>
      </c>
      <c r="H1183" s="3" t="s">
        <v>28</v>
      </c>
      <c r="I1183" s="3" t="s">
        <v>231</v>
      </c>
      <c r="J1183" s="3" t="s">
        <v>232</v>
      </c>
      <c r="K1183" s="3" t="s">
        <v>33</v>
      </c>
      <c r="L1183" s="3" t="s">
        <v>51</v>
      </c>
      <c r="M1183" s="3" t="s">
        <v>378</v>
      </c>
      <c r="N1183" s="3" t="s">
        <v>549</v>
      </c>
      <c r="O1183" s="3" t="s">
        <v>334</v>
      </c>
      <c r="P1183" s="3" t="s">
        <v>335</v>
      </c>
      <c r="Q1183" s="3" t="s">
        <v>39</v>
      </c>
      <c r="R1183" s="3" t="s">
        <v>40</v>
      </c>
      <c r="S1183" s="55">
        <v>443478.3</v>
      </c>
      <c r="T1183" s="55">
        <v>262719.31959999999</v>
      </c>
      <c r="U1183" s="55">
        <v>37291.920599999998</v>
      </c>
      <c r="V1183" s="55">
        <v>180758.9804</v>
      </c>
      <c r="W1183" s="3">
        <v>59</v>
      </c>
    </row>
    <row r="1184" spans="1:23" x14ac:dyDescent="0.35">
      <c r="A1184" s="3" t="s">
        <v>487</v>
      </c>
      <c r="B1184" s="3" t="s">
        <v>488</v>
      </c>
      <c r="C1184" s="3" t="s">
        <v>384</v>
      </c>
      <c r="D1184" s="3" t="s">
        <v>364</v>
      </c>
      <c r="E1184" s="3" t="s">
        <v>365</v>
      </c>
      <c r="F1184" s="3" t="s">
        <v>189</v>
      </c>
      <c r="G1184" s="3" t="s">
        <v>366</v>
      </c>
      <c r="H1184" s="3" t="s">
        <v>28</v>
      </c>
      <c r="I1184" s="3" t="s">
        <v>231</v>
      </c>
      <c r="J1184" s="3" t="s">
        <v>232</v>
      </c>
      <c r="K1184" s="3" t="s">
        <v>33</v>
      </c>
      <c r="L1184" s="3" t="s">
        <v>51</v>
      </c>
      <c r="M1184" s="3" t="s">
        <v>382</v>
      </c>
      <c r="N1184" s="3" t="s">
        <v>383</v>
      </c>
      <c r="O1184" s="3" t="s">
        <v>334</v>
      </c>
      <c r="P1184" s="3" t="s">
        <v>335</v>
      </c>
      <c r="Q1184" s="3" t="s">
        <v>39</v>
      </c>
      <c r="R1184" s="3" t="s">
        <v>40</v>
      </c>
      <c r="S1184" s="55">
        <v>51058.7</v>
      </c>
      <c r="T1184" s="55">
        <v>31126.235700000001</v>
      </c>
      <c r="U1184" s="55">
        <v>5253.4096</v>
      </c>
      <c r="V1184" s="55">
        <v>19932.4643</v>
      </c>
      <c r="W1184" s="3">
        <v>61</v>
      </c>
    </row>
    <row r="1185" spans="1:23" x14ac:dyDescent="0.35">
      <c r="A1185" s="3" t="s">
        <v>487</v>
      </c>
      <c r="B1185" s="3" t="s">
        <v>488</v>
      </c>
      <c r="C1185" s="3" t="s">
        <v>391</v>
      </c>
      <c r="D1185" s="3" t="s">
        <v>392</v>
      </c>
      <c r="E1185" s="3" t="s">
        <v>365</v>
      </c>
      <c r="F1185" s="3" t="s">
        <v>28</v>
      </c>
      <c r="G1185" s="3" t="s">
        <v>393</v>
      </c>
      <c r="H1185" s="3" t="s">
        <v>28</v>
      </c>
      <c r="I1185" s="3" t="s">
        <v>231</v>
      </c>
      <c r="J1185" s="3" t="s">
        <v>232</v>
      </c>
      <c r="K1185" s="3" t="s">
        <v>33</v>
      </c>
      <c r="L1185" s="3" t="s">
        <v>51</v>
      </c>
      <c r="M1185" s="3" t="s">
        <v>394</v>
      </c>
      <c r="N1185" s="3" t="s">
        <v>395</v>
      </c>
      <c r="O1185" s="3" t="s">
        <v>197</v>
      </c>
      <c r="P1185" s="3" t="s">
        <v>198</v>
      </c>
      <c r="Q1185" s="3" t="s">
        <v>39</v>
      </c>
      <c r="R1185" s="3" t="s">
        <v>40</v>
      </c>
      <c r="S1185" s="55">
        <v>48948.800000000003</v>
      </c>
      <c r="T1185" s="55">
        <v>40697.602500000001</v>
      </c>
      <c r="U1185" s="55">
        <v>1413.5284999999999</v>
      </c>
      <c r="V1185" s="55">
        <v>8251.1975000000002</v>
      </c>
      <c r="W1185" s="3">
        <v>83</v>
      </c>
    </row>
    <row r="1186" spans="1:23" x14ac:dyDescent="0.35">
      <c r="A1186" s="3" t="s">
        <v>487</v>
      </c>
      <c r="B1186" s="3" t="s">
        <v>488</v>
      </c>
      <c r="C1186" s="3" t="s">
        <v>550</v>
      </c>
      <c r="D1186" s="3" t="s">
        <v>397</v>
      </c>
      <c r="E1186" s="3" t="s">
        <v>365</v>
      </c>
      <c r="F1186" s="3" t="s">
        <v>318</v>
      </c>
      <c r="G1186" s="3" t="s">
        <v>398</v>
      </c>
      <c r="H1186" s="3" t="s">
        <v>28</v>
      </c>
      <c r="I1186" s="3" t="s">
        <v>231</v>
      </c>
      <c r="J1186" s="3" t="s">
        <v>232</v>
      </c>
      <c r="K1186" s="3" t="s">
        <v>33</v>
      </c>
      <c r="L1186" s="3" t="s">
        <v>51</v>
      </c>
      <c r="M1186" s="3" t="s">
        <v>551</v>
      </c>
      <c r="N1186" s="3" t="s">
        <v>552</v>
      </c>
      <c r="O1186" s="3" t="s">
        <v>108</v>
      </c>
      <c r="P1186" s="3" t="s">
        <v>109</v>
      </c>
      <c r="Q1186" s="3" t="s">
        <v>39</v>
      </c>
      <c r="R1186" s="3" t="s">
        <v>40</v>
      </c>
      <c r="S1186" s="55">
        <v>32359.3</v>
      </c>
      <c r="T1186" s="55">
        <v>14896.7605</v>
      </c>
      <c r="U1186" s="55">
        <v>3649.8553999999999</v>
      </c>
      <c r="V1186" s="55">
        <v>17462.539499999999</v>
      </c>
      <c r="W1186" s="3">
        <v>46</v>
      </c>
    </row>
    <row r="1187" spans="1:23" x14ac:dyDescent="0.35">
      <c r="A1187" s="3" t="s">
        <v>487</v>
      </c>
      <c r="B1187" s="3" t="s">
        <v>488</v>
      </c>
      <c r="C1187" s="3" t="s">
        <v>553</v>
      </c>
      <c r="D1187" s="3" t="s">
        <v>404</v>
      </c>
      <c r="E1187" s="3" t="s">
        <v>405</v>
      </c>
      <c r="F1187" s="3" t="s">
        <v>146</v>
      </c>
      <c r="G1187" s="3" t="s">
        <v>406</v>
      </c>
      <c r="H1187" s="3" t="s">
        <v>318</v>
      </c>
      <c r="I1187" s="3" t="s">
        <v>407</v>
      </c>
      <c r="J1187" s="3" t="s">
        <v>554</v>
      </c>
      <c r="K1187" s="3" t="s">
        <v>23</v>
      </c>
      <c r="L1187" s="3" t="s">
        <v>203</v>
      </c>
      <c r="M1187" s="3" t="s">
        <v>555</v>
      </c>
      <c r="N1187" s="3" t="s">
        <v>442</v>
      </c>
      <c r="O1187" s="3" t="s">
        <v>197</v>
      </c>
      <c r="P1187" s="3" t="s">
        <v>198</v>
      </c>
      <c r="Q1187" s="3" t="s">
        <v>39</v>
      </c>
      <c r="R1187" s="3" t="s">
        <v>40</v>
      </c>
      <c r="S1187" s="55">
        <v>9879.5</v>
      </c>
      <c r="T1187" s="55">
        <v>9208.0640999999996</v>
      </c>
      <c r="U1187" s="55">
        <v>8230.4441000000006</v>
      </c>
      <c r="V1187" s="55">
        <v>671.43589999999995</v>
      </c>
      <c r="W1187" s="3">
        <v>93</v>
      </c>
    </row>
    <row r="1188" spans="1:23" x14ac:dyDescent="0.35">
      <c r="A1188" s="3" t="s">
        <v>487</v>
      </c>
      <c r="B1188" s="3" t="s">
        <v>488</v>
      </c>
      <c r="C1188" s="3" t="s">
        <v>403</v>
      </c>
      <c r="D1188" s="3" t="s">
        <v>404</v>
      </c>
      <c r="E1188" s="3" t="s">
        <v>405</v>
      </c>
      <c r="F1188" s="3" t="s">
        <v>146</v>
      </c>
      <c r="G1188" s="3" t="s">
        <v>406</v>
      </c>
      <c r="H1188" s="3" t="s">
        <v>318</v>
      </c>
      <c r="I1188" s="3" t="s">
        <v>407</v>
      </c>
      <c r="J1188" s="3" t="s">
        <v>408</v>
      </c>
      <c r="K1188" s="3" t="s">
        <v>33</v>
      </c>
      <c r="L1188" s="3" t="s">
        <v>51</v>
      </c>
      <c r="M1188" s="3" t="s">
        <v>409</v>
      </c>
      <c r="N1188" s="3" t="s">
        <v>410</v>
      </c>
      <c r="O1188" s="3" t="s">
        <v>108</v>
      </c>
      <c r="P1188" s="3" t="s">
        <v>109</v>
      </c>
      <c r="Q1188" s="3" t="s">
        <v>39</v>
      </c>
      <c r="R1188" s="3" t="s">
        <v>40</v>
      </c>
      <c r="S1188" s="55">
        <v>183125.7</v>
      </c>
      <c r="T1188" s="55">
        <v>106165.4586</v>
      </c>
      <c r="U1188" s="55">
        <v>16059.893599999999</v>
      </c>
      <c r="V1188" s="55">
        <v>76960.241399999999</v>
      </c>
      <c r="W1188" s="3">
        <v>58</v>
      </c>
    </row>
    <row r="1189" spans="1:23" x14ac:dyDescent="0.35">
      <c r="A1189" s="3" t="s">
        <v>487</v>
      </c>
      <c r="B1189" s="3" t="s">
        <v>488</v>
      </c>
      <c r="C1189" s="3" t="s">
        <v>556</v>
      </c>
      <c r="D1189" s="3" t="s">
        <v>412</v>
      </c>
      <c r="E1189" s="3" t="s">
        <v>405</v>
      </c>
      <c r="F1189" s="3" t="s">
        <v>189</v>
      </c>
      <c r="G1189" s="3" t="s">
        <v>413</v>
      </c>
      <c r="H1189" s="3" t="s">
        <v>318</v>
      </c>
      <c r="I1189" s="3" t="s">
        <v>407</v>
      </c>
      <c r="J1189" s="3" t="s">
        <v>554</v>
      </c>
      <c r="K1189" s="3" t="s">
        <v>23</v>
      </c>
      <c r="L1189" s="3" t="s">
        <v>203</v>
      </c>
      <c r="M1189" s="3" t="s">
        <v>557</v>
      </c>
      <c r="N1189" s="3" t="s">
        <v>415</v>
      </c>
      <c r="O1189" s="3" t="s">
        <v>197</v>
      </c>
      <c r="P1189" s="3" t="s">
        <v>198</v>
      </c>
      <c r="Q1189" s="3" t="s">
        <v>39</v>
      </c>
      <c r="R1189" s="3" t="s">
        <v>40</v>
      </c>
      <c r="S1189" s="55">
        <v>3545.6</v>
      </c>
      <c r="T1189" s="55">
        <v>1252.1061</v>
      </c>
      <c r="U1189" s="55">
        <v>217.03309999999999</v>
      </c>
      <c r="V1189" s="55">
        <v>2293.4938999999999</v>
      </c>
      <c r="W1189" s="3">
        <v>35</v>
      </c>
    </row>
    <row r="1190" spans="1:23" x14ac:dyDescent="0.35">
      <c r="A1190" s="3" t="s">
        <v>487</v>
      </c>
      <c r="B1190" s="3" t="s">
        <v>488</v>
      </c>
      <c r="C1190" s="3" t="s">
        <v>416</v>
      </c>
      <c r="D1190" s="3" t="s">
        <v>417</v>
      </c>
      <c r="E1190" s="3" t="s">
        <v>405</v>
      </c>
      <c r="F1190" s="3" t="s">
        <v>28</v>
      </c>
      <c r="G1190" s="3" t="s">
        <v>418</v>
      </c>
      <c r="H1190" s="3" t="s">
        <v>318</v>
      </c>
      <c r="I1190" s="3" t="s">
        <v>407</v>
      </c>
      <c r="J1190" s="3" t="s">
        <v>408</v>
      </c>
      <c r="K1190" s="3" t="s">
        <v>33</v>
      </c>
      <c r="L1190" s="3" t="s">
        <v>51</v>
      </c>
      <c r="M1190" s="3" t="s">
        <v>419</v>
      </c>
      <c r="N1190" s="3" t="s">
        <v>420</v>
      </c>
      <c r="O1190" s="3" t="s">
        <v>108</v>
      </c>
      <c r="P1190" s="3" t="s">
        <v>109</v>
      </c>
      <c r="Q1190" s="3" t="s">
        <v>39</v>
      </c>
      <c r="R1190" s="3" t="s">
        <v>40</v>
      </c>
      <c r="S1190" s="55">
        <v>324843.3</v>
      </c>
      <c r="T1190" s="55">
        <v>186217.0784</v>
      </c>
      <c r="U1190" s="55">
        <v>35086.324699999997</v>
      </c>
      <c r="V1190" s="55">
        <v>138626.22159999999</v>
      </c>
      <c r="W1190" s="3">
        <v>57</v>
      </c>
    </row>
    <row r="1191" spans="1:23" x14ac:dyDescent="0.35">
      <c r="A1191" s="3" t="s">
        <v>492</v>
      </c>
      <c r="B1191" s="3" t="s">
        <v>493</v>
      </c>
      <c r="C1191" s="3" t="s">
        <v>25</v>
      </c>
      <c r="D1191" s="3" t="s">
        <v>26</v>
      </c>
      <c r="E1191" s="3" t="s">
        <v>27</v>
      </c>
      <c r="F1191" s="3" t="s">
        <v>28</v>
      </c>
      <c r="G1191" s="3" t="s">
        <v>29</v>
      </c>
      <c r="H1191" s="3" t="s">
        <v>30</v>
      </c>
      <c r="I1191" s="3" t="s">
        <v>31</v>
      </c>
      <c r="J1191" s="3" t="s">
        <v>32</v>
      </c>
      <c r="K1191" s="3" t="s">
        <v>33</v>
      </c>
      <c r="L1191" s="3" t="s">
        <v>51</v>
      </c>
      <c r="M1191" s="3" t="s">
        <v>35</v>
      </c>
      <c r="N1191" s="3" t="s">
        <v>36</v>
      </c>
      <c r="O1191" s="3" t="s">
        <v>37</v>
      </c>
      <c r="P1191" s="3" t="s">
        <v>38</v>
      </c>
      <c r="Q1191" s="3" t="s">
        <v>39</v>
      </c>
      <c r="R1191" s="3" t="s">
        <v>40</v>
      </c>
      <c r="S1191" s="55">
        <v>3772.6</v>
      </c>
      <c r="T1191" s="55">
        <v>48.716799999999999</v>
      </c>
      <c r="U1191" s="55">
        <v>9.4139999999999997</v>
      </c>
      <c r="V1191" s="55">
        <v>3723.8832000000002</v>
      </c>
      <c r="W1191" s="3">
        <v>1</v>
      </c>
    </row>
    <row r="1192" spans="1:23" x14ac:dyDescent="0.35">
      <c r="A1192" s="3" t="s">
        <v>492</v>
      </c>
      <c r="B1192" s="3" t="s">
        <v>493</v>
      </c>
      <c r="C1192" s="3" t="s">
        <v>41</v>
      </c>
      <c r="D1192" s="3" t="s">
        <v>26</v>
      </c>
      <c r="E1192" s="3" t="s">
        <v>27</v>
      </c>
      <c r="F1192" s="3" t="s">
        <v>28</v>
      </c>
      <c r="G1192" s="3" t="s">
        <v>29</v>
      </c>
      <c r="H1192" s="3" t="s">
        <v>30</v>
      </c>
      <c r="I1192" s="3" t="s">
        <v>31</v>
      </c>
      <c r="J1192" s="3" t="s">
        <v>32</v>
      </c>
      <c r="K1192" s="3" t="s">
        <v>33</v>
      </c>
      <c r="L1192" s="3" t="s">
        <v>51</v>
      </c>
      <c r="M1192" s="3" t="s">
        <v>35</v>
      </c>
      <c r="N1192" s="3" t="s">
        <v>36</v>
      </c>
      <c r="O1192" s="3" t="s">
        <v>42</v>
      </c>
      <c r="P1192" s="3" t="s">
        <v>43</v>
      </c>
      <c r="Q1192" s="3" t="s">
        <v>39</v>
      </c>
      <c r="R1192" s="3" t="s">
        <v>40</v>
      </c>
      <c r="S1192" s="55">
        <v>8.3000000000000007</v>
      </c>
      <c r="T1192" s="55">
        <v>0.92269999999999996</v>
      </c>
      <c r="U1192" s="55">
        <v>0</v>
      </c>
      <c r="V1192" s="55">
        <v>7.3773</v>
      </c>
      <c r="W1192" s="3">
        <v>11</v>
      </c>
    </row>
    <row r="1193" spans="1:23" x14ac:dyDescent="0.35">
      <c r="A1193" s="3" t="s">
        <v>492</v>
      </c>
      <c r="B1193" s="3" t="s">
        <v>493</v>
      </c>
      <c r="C1193" s="3" t="s">
        <v>44</v>
      </c>
      <c r="D1193" s="3" t="s">
        <v>45</v>
      </c>
      <c r="E1193" s="3" t="s">
        <v>27</v>
      </c>
      <c r="F1193" s="3" t="s">
        <v>46</v>
      </c>
      <c r="G1193" s="3" t="s">
        <v>47</v>
      </c>
      <c r="H1193" s="3" t="s">
        <v>48</v>
      </c>
      <c r="I1193" s="3" t="s">
        <v>49</v>
      </c>
      <c r="J1193" s="3" t="s">
        <v>50</v>
      </c>
      <c r="K1193" s="3" t="s">
        <v>33</v>
      </c>
      <c r="L1193" s="3" t="s">
        <v>51</v>
      </c>
      <c r="M1193" s="3" t="s">
        <v>52</v>
      </c>
      <c r="N1193" s="3" t="s">
        <v>53</v>
      </c>
      <c r="O1193" s="3" t="s">
        <v>54</v>
      </c>
      <c r="P1193" s="3" t="s">
        <v>55</v>
      </c>
      <c r="Q1193" s="3" t="s">
        <v>39</v>
      </c>
      <c r="R1193" s="3" t="s">
        <v>40</v>
      </c>
      <c r="S1193" s="55">
        <v>64.400000000000006</v>
      </c>
      <c r="T1193" s="55">
        <v>0</v>
      </c>
      <c r="U1193" s="55">
        <v>0</v>
      </c>
      <c r="V1193" s="55">
        <v>64.400000000000006</v>
      </c>
      <c r="W1193" s="3">
        <v>0</v>
      </c>
    </row>
    <row r="1194" spans="1:23" x14ac:dyDescent="0.35">
      <c r="A1194" s="3" t="s">
        <v>492</v>
      </c>
      <c r="B1194" s="3" t="s">
        <v>493</v>
      </c>
      <c r="C1194" s="3" t="s">
        <v>59</v>
      </c>
      <c r="D1194" s="3" t="s">
        <v>45</v>
      </c>
      <c r="E1194" s="3" t="s">
        <v>27</v>
      </c>
      <c r="F1194" s="3" t="s">
        <v>46</v>
      </c>
      <c r="G1194" s="3" t="s">
        <v>47</v>
      </c>
      <c r="H1194" s="3" t="s">
        <v>60</v>
      </c>
      <c r="I1194" s="3" t="s">
        <v>61</v>
      </c>
      <c r="J1194" s="3" t="s">
        <v>62</v>
      </c>
      <c r="K1194" s="3" t="s">
        <v>33</v>
      </c>
      <c r="L1194" s="3" t="s">
        <v>51</v>
      </c>
      <c r="M1194" s="3" t="s">
        <v>63</v>
      </c>
      <c r="N1194" s="3" t="s">
        <v>64</v>
      </c>
      <c r="O1194" s="3" t="s">
        <v>37</v>
      </c>
      <c r="P1194" s="3" t="s">
        <v>38</v>
      </c>
      <c r="Q1194" s="3" t="s">
        <v>39</v>
      </c>
      <c r="R1194" s="3" t="s">
        <v>40</v>
      </c>
      <c r="S1194" s="55">
        <v>208.2</v>
      </c>
      <c r="T1194" s="55">
        <v>88.49</v>
      </c>
      <c r="U1194" s="55">
        <v>3.3</v>
      </c>
      <c r="V1194" s="55">
        <v>119.71</v>
      </c>
      <c r="W1194" s="3">
        <v>43</v>
      </c>
    </row>
    <row r="1195" spans="1:23" x14ac:dyDescent="0.35">
      <c r="A1195" s="3" t="s">
        <v>492</v>
      </c>
      <c r="B1195" s="3" t="s">
        <v>493</v>
      </c>
      <c r="C1195" s="3" t="s">
        <v>65</v>
      </c>
      <c r="D1195" s="3" t="s">
        <v>45</v>
      </c>
      <c r="E1195" s="3" t="s">
        <v>27</v>
      </c>
      <c r="F1195" s="3" t="s">
        <v>46</v>
      </c>
      <c r="G1195" s="3" t="s">
        <v>47</v>
      </c>
      <c r="H1195" s="3" t="s">
        <v>66</v>
      </c>
      <c r="I1195" s="3" t="s">
        <v>67</v>
      </c>
      <c r="J1195" s="3" t="s">
        <v>68</v>
      </c>
      <c r="K1195" s="3" t="s">
        <v>33</v>
      </c>
      <c r="L1195" s="3" t="s">
        <v>51</v>
      </c>
      <c r="M1195" s="3" t="s">
        <v>69</v>
      </c>
      <c r="N1195" s="3" t="s">
        <v>70</v>
      </c>
      <c r="O1195" s="3" t="s">
        <v>37</v>
      </c>
      <c r="P1195" s="3" t="s">
        <v>38</v>
      </c>
      <c r="Q1195" s="3" t="s">
        <v>39</v>
      </c>
      <c r="R1195" s="3" t="s">
        <v>40</v>
      </c>
      <c r="S1195" s="55">
        <v>567.9</v>
      </c>
      <c r="T1195" s="55">
        <v>211.66390000000001</v>
      </c>
      <c r="U1195" s="55">
        <v>0</v>
      </c>
      <c r="V1195" s="55">
        <v>356.23610000000002</v>
      </c>
      <c r="W1195" s="3">
        <v>37</v>
      </c>
    </row>
    <row r="1196" spans="1:23" x14ac:dyDescent="0.35">
      <c r="A1196" s="3" t="s">
        <v>492</v>
      </c>
      <c r="B1196" s="3" t="s">
        <v>493</v>
      </c>
      <c r="C1196" s="3" t="s">
        <v>71</v>
      </c>
      <c r="D1196" s="3" t="s">
        <v>45</v>
      </c>
      <c r="E1196" s="3" t="s">
        <v>27</v>
      </c>
      <c r="F1196" s="3" t="s">
        <v>46</v>
      </c>
      <c r="G1196" s="3" t="s">
        <v>47</v>
      </c>
      <c r="H1196" s="3" t="s">
        <v>30</v>
      </c>
      <c r="I1196" s="3" t="s">
        <v>31</v>
      </c>
      <c r="J1196" s="3" t="s">
        <v>32</v>
      </c>
      <c r="K1196" s="3" t="s">
        <v>33</v>
      </c>
      <c r="L1196" s="3" t="s">
        <v>51</v>
      </c>
      <c r="M1196" s="3" t="s">
        <v>72</v>
      </c>
      <c r="N1196" s="3" t="s">
        <v>73</v>
      </c>
      <c r="O1196" s="3" t="s">
        <v>74</v>
      </c>
      <c r="P1196" s="3" t="s">
        <v>75</v>
      </c>
      <c r="Q1196" s="3" t="s">
        <v>39</v>
      </c>
      <c r="R1196" s="3" t="s">
        <v>40</v>
      </c>
      <c r="S1196" s="55">
        <v>246128.1</v>
      </c>
      <c r="T1196" s="55">
        <v>162091.00649999999</v>
      </c>
      <c r="U1196" s="55">
        <v>15890.437</v>
      </c>
      <c r="V1196" s="55">
        <v>84037.093500000003</v>
      </c>
      <c r="W1196" s="3">
        <v>66</v>
      </c>
    </row>
    <row r="1197" spans="1:23" x14ac:dyDescent="0.35">
      <c r="A1197" s="3" t="s">
        <v>492</v>
      </c>
      <c r="B1197" s="3" t="s">
        <v>493</v>
      </c>
      <c r="C1197" s="3" t="s">
        <v>76</v>
      </c>
      <c r="D1197" s="3" t="s">
        <v>45</v>
      </c>
      <c r="E1197" s="3" t="s">
        <v>27</v>
      </c>
      <c r="F1197" s="3" t="s">
        <v>46</v>
      </c>
      <c r="G1197" s="3" t="s">
        <v>47</v>
      </c>
      <c r="H1197" s="3" t="s">
        <v>30</v>
      </c>
      <c r="I1197" s="3" t="s">
        <v>31</v>
      </c>
      <c r="J1197" s="3" t="s">
        <v>32</v>
      </c>
      <c r="K1197" s="3" t="s">
        <v>33</v>
      </c>
      <c r="L1197" s="3" t="s">
        <v>51</v>
      </c>
      <c r="M1197" s="3" t="s">
        <v>72</v>
      </c>
      <c r="N1197" s="3" t="s">
        <v>73</v>
      </c>
      <c r="O1197" s="3" t="s">
        <v>77</v>
      </c>
      <c r="P1197" s="3" t="s">
        <v>78</v>
      </c>
      <c r="Q1197" s="3" t="s">
        <v>39</v>
      </c>
      <c r="R1197" s="3" t="s">
        <v>40</v>
      </c>
      <c r="S1197" s="55">
        <v>140.5</v>
      </c>
      <c r="T1197" s="55">
        <v>78.436000000000007</v>
      </c>
      <c r="U1197" s="55">
        <v>0</v>
      </c>
      <c r="V1197" s="55">
        <v>62.064</v>
      </c>
      <c r="W1197" s="3">
        <v>56</v>
      </c>
    </row>
    <row r="1198" spans="1:23" x14ac:dyDescent="0.35">
      <c r="A1198" s="3" t="s">
        <v>492</v>
      </c>
      <c r="B1198" s="3" t="s">
        <v>493</v>
      </c>
      <c r="C1198" s="3" t="s">
        <v>79</v>
      </c>
      <c r="D1198" s="3" t="s">
        <v>45</v>
      </c>
      <c r="E1198" s="3" t="s">
        <v>27</v>
      </c>
      <c r="F1198" s="3" t="s">
        <v>46</v>
      </c>
      <c r="G1198" s="3" t="s">
        <v>47</v>
      </c>
      <c r="H1198" s="3" t="s">
        <v>30</v>
      </c>
      <c r="I1198" s="3" t="s">
        <v>31</v>
      </c>
      <c r="J1198" s="3" t="s">
        <v>32</v>
      </c>
      <c r="K1198" s="3" t="s">
        <v>33</v>
      </c>
      <c r="L1198" s="3" t="s">
        <v>51</v>
      </c>
      <c r="M1198" s="3" t="s">
        <v>72</v>
      </c>
      <c r="N1198" s="3" t="s">
        <v>73</v>
      </c>
      <c r="O1198" s="3" t="s">
        <v>80</v>
      </c>
      <c r="P1198" s="3" t="s">
        <v>81</v>
      </c>
      <c r="Q1198" s="3" t="s">
        <v>39</v>
      </c>
      <c r="R1198" s="3" t="s">
        <v>40</v>
      </c>
      <c r="S1198" s="55">
        <v>73726.399999999994</v>
      </c>
      <c r="T1198" s="55">
        <v>50198.596899999997</v>
      </c>
      <c r="U1198" s="55">
        <v>4433.6475</v>
      </c>
      <c r="V1198" s="55">
        <v>23527.803100000001</v>
      </c>
      <c r="W1198" s="3">
        <v>68</v>
      </c>
    </row>
    <row r="1199" spans="1:23" x14ac:dyDescent="0.35">
      <c r="A1199" s="3" t="s">
        <v>492</v>
      </c>
      <c r="B1199" s="3" t="s">
        <v>493</v>
      </c>
      <c r="C1199" s="3" t="s">
        <v>82</v>
      </c>
      <c r="D1199" s="3" t="s">
        <v>45</v>
      </c>
      <c r="E1199" s="3" t="s">
        <v>27</v>
      </c>
      <c r="F1199" s="3" t="s">
        <v>46</v>
      </c>
      <c r="G1199" s="3" t="s">
        <v>47</v>
      </c>
      <c r="H1199" s="3" t="s">
        <v>30</v>
      </c>
      <c r="I1199" s="3" t="s">
        <v>31</v>
      </c>
      <c r="J1199" s="3" t="s">
        <v>32</v>
      </c>
      <c r="K1199" s="3" t="s">
        <v>33</v>
      </c>
      <c r="L1199" s="3" t="s">
        <v>51</v>
      </c>
      <c r="M1199" s="3" t="s">
        <v>72</v>
      </c>
      <c r="N1199" s="3" t="s">
        <v>73</v>
      </c>
      <c r="O1199" s="3" t="s">
        <v>83</v>
      </c>
      <c r="P1199" s="3" t="s">
        <v>84</v>
      </c>
      <c r="Q1199" s="3" t="s">
        <v>39</v>
      </c>
      <c r="R1199" s="3" t="s">
        <v>40</v>
      </c>
      <c r="S1199" s="55">
        <v>300</v>
      </c>
      <c r="T1199" s="55">
        <v>97.108199999999997</v>
      </c>
      <c r="U1199" s="55">
        <v>0</v>
      </c>
      <c r="V1199" s="55">
        <v>202.89179999999999</v>
      </c>
      <c r="W1199" s="3">
        <v>32</v>
      </c>
    </row>
    <row r="1200" spans="1:23" x14ac:dyDescent="0.35">
      <c r="A1200" s="3" t="s">
        <v>492</v>
      </c>
      <c r="B1200" s="3" t="s">
        <v>493</v>
      </c>
      <c r="C1200" s="3" t="s">
        <v>85</v>
      </c>
      <c r="D1200" s="3" t="s">
        <v>45</v>
      </c>
      <c r="E1200" s="3" t="s">
        <v>27</v>
      </c>
      <c r="F1200" s="3" t="s">
        <v>46</v>
      </c>
      <c r="G1200" s="3" t="s">
        <v>47</v>
      </c>
      <c r="H1200" s="3" t="s">
        <v>30</v>
      </c>
      <c r="I1200" s="3" t="s">
        <v>31</v>
      </c>
      <c r="J1200" s="3" t="s">
        <v>32</v>
      </c>
      <c r="K1200" s="3" t="s">
        <v>33</v>
      </c>
      <c r="L1200" s="3" t="s">
        <v>51</v>
      </c>
      <c r="M1200" s="3" t="s">
        <v>72</v>
      </c>
      <c r="N1200" s="3" t="s">
        <v>73</v>
      </c>
      <c r="O1200" s="3" t="s">
        <v>86</v>
      </c>
      <c r="P1200" s="3" t="s">
        <v>87</v>
      </c>
      <c r="Q1200" s="3" t="s">
        <v>39</v>
      </c>
      <c r="R1200" s="3" t="s">
        <v>40</v>
      </c>
      <c r="S1200" s="55">
        <v>13780.8</v>
      </c>
      <c r="T1200" s="55">
        <v>0</v>
      </c>
      <c r="U1200" s="55">
        <v>0</v>
      </c>
      <c r="V1200" s="55">
        <v>13780.8</v>
      </c>
      <c r="W1200" s="3">
        <v>0</v>
      </c>
    </row>
    <row r="1201" spans="1:23" x14ac:dyDescent="0.35">
      <c r="A1201" s="3" t="s">
        <v>492</v>
      </c>
      <c r="B1201" s="3" t="s">
        <v>493</v>
      </c>
      <c r="C1201" s="3" t="s">
        <v>88</v>
      </c>
      <c r="D1201" s="3" t="s">
        <v>45</v>
      </c>
      <c r="E1201" s="3" t="s">
        <v>27</v>
      </c>
      <c r="F1201" s="3" t="s">
        <v>46</v>
      </c>
      <c r="G1201" s="3" t="s">
        <v>47</v>
      </c>
      <c r="H1201" s="3" t="s">
        <v>30</v>
      </c>
      <c r="I1201" s="3" t="s">
        <v>31</v>
      </c>
      <c r="J1201" s="3" t="s">
        <v>32</v>
      </c>
      <c r="K1201" s="3" t="s">
        <v>33</v>
      </c>
      <c r="L1201" s="3" t="s">
        <v>51</v>
      </c>
      <c r="M1201" s="3" t="s">
        <v>72</v>
      </c>
      <c r="N1201" s="3" t="s">
        <v>73</v>
      </c>
      <c r="O1201" s="3" t="s">
        <v>37</v>
      </c>
      <c r="P1201" s="3" t="s">
        <v>38</v>
      </c>
      <c r="Q1201" s="3" t="s">
        <v>39</v>
      </c>
      <c r="R1201" s="3" t="s">
        <v>40</v>
      </c>
      <c r="S1201" s="55">
        <v>97288.9</v>
      </c>
      <c r="T1201" s="55">
        <v>21450.658599999999</v>
      </c>
      <c r="U1201" s="55">
        <v>3945.4121</v>
      </c>
      <c r="V1201" s="55">
        <v>75838.241399999999</v>
      </c>
      <c r="W1201" s="3">
        <v>22</v>
      </c>
    </row>
    <row r="1202" spans="1:23" x14ac:dyDescent="0.35">
      <c r="A1202" s="3" t="s">
        <v>492</v>
      </c>
      <c r="B1202" s="3" t="s">
        <v>493</v>
      </c>
      <c r="C1202" s="3" t="s">
        <v>89</v>
      </c>
      <c r="D1202" s="3" t="s">
        <v>45</v>
      </c>
      <c r="E1202" s="3" t="s">
        <v>27</v>
      </c>
      <c r="F1202" s="3" t="s">
        <v>46</v>
      </c>
      <c r="G1202" s="3" t="s">
        <v>47</v>
      </c>
      <c r="H1202" s="3" t="s">
        <v>30</v>
      </c>
      <c r="I1202" s="3" t="s">
        <v>31</v>
      </c>
      <c r="J1202" s="3" t="s">
        <v>32</v>
      </c>
      <c r="K1202" s="3" t="s">
        <v>33</v>
      </c>
      <c r="L1202" s="3" t="s">
        <v>51</v>
      </c>
      <c r="M1202" s="3" t="s">
        <v>72</v>
      </c>
      <c r="N1202" s="3" t="s">
        <v>73</v>
      </c>
      <c r="O1202" s="3" t="s">
        <v>42</v>
      </c>
      <c r="P1202" s="3" t="s">
        <v>43</v>
      </c>
      <c r="Q1202" s="3" t="s">
        <v>39</v>
      </c>
      <c r="R1202" s="3" t="s">
        <v>40</v>
      </c>
      <c r="S1202" s="55">
        <v>16160.9</v>
      </c>
      <c r="T1202" s="55">
        <v>10475.137199999999</v>
      </c>
      <c r="U1202" s="55">
        <v>465.14519999999999</v>
      </c>
      <c r="V1202" s="55">
        <v>5685.7628000000004</v>
      </c>
      <c r="W1202" s="3">
        <v>65</v>
      </c>
    </row>
    <row r="1203" spans="1:23" x14ac:dyDescent="0.35">
      <c r="A1203" s="3" t="s">
        <v>492</v>
      </c>
      <c r="B1203" s="3" t="s">
        <v>493</v>
      </c>
      <c r="C1203" s="3" t="s">
        <v>90</v>
      </c>
      <c r="D1203" s="3" t="s">
        <v>45</v>
      </c>
      <c r="E1203" s="3" t="s">
        <v>27</v>
      </c>
      <c r="F1203" s="3" t="s">
        <v>46</v>
      </c>
      <c r="G1203" s="3" t="s">
        <v>47</v>
      </c>
      <c r="H1203" s="3" t="s">
        <v>30</v>
      </c>
      <c r="I1203" s="3" t="s">
        <v>31</v>
      </c>
      <c r="J1203" s="3" t="s">
        <v>32</v>
      </c>
      <c r="K1203" s="3" t="s">
        <v>33</v>
      </c>
      <c r="L1203" s="3" t="s">
        <v>51</v>
      </c>
      <c r="M1203" s="3" t="s">
        <v>72</v>
      </c>
      <c r="N1203" s="3" t="s">
        <v>73</v>
      </c>
      <c r="O1203" s="3" t="s">
        <v>91</v>
      </c>
      <c r="P1203" s="3" t="s">
        <v>92</v>
      </c>
      <c r="Q1203" s="3" t="s">
        <v>39</v>
      </c>
      <c r="R1203" s="3" t="s">
        <v>40</v>
      </c>
      <c r="S1203" s="55">
        <v>430.7</v>
      </c>
      <c r="T1203" s="55">
        <v>430.52910000000003</v>
      </c>
      <c r="U1203" s="55">
        <v>75.631</v>
      </c>
      <c r="V1203" s="55">
        <v>0.1709</v>
      </c>
      <c r="W1203" s="3">
        <v>100</v>
      </c>
    </row>
    <row r="1204" spans="1:23" x14ac:dyDescent="0.35">
      <c r="A1204" s="3" t="s">
        <v>492</v>
      </c>
      <c r="B1204" s="3" t="s">
        <v>493</v>
      </c>
      <c r="C1204" s="3" t="s">
        <v>559</v>
      </c>
      <c r="D1204" s="3" t="s">
        <v>45</v>
      </c>
      <c r="E1204" s="3" t="s">
        <v>27</v>
      </c>
      <c r="F1204" s="3" t="s">
        <v>46</v>
      </c>
      <c r="G1204" s="3" t="s">
        <v>47</v>
      </c>
      <c r="H1204" s="3" t="s">
        <v>30</v>
      </c>
      <c r="I1204" s="3" t="s">
        <v>31</v>
      </c>
      <c r="J1204" s="3" t="s">
        <v>32</v>
      </c>
      <c r="K1204" s="3" t="s">
        <v>33</v>
      </c>
      <c r="L1204" s="3" t="s">
        <v>51</v>
      </c>
      <c r="M1204" s="3" t="s">
        <v>72</v>
      </c>
      <c r="N1204" s="3" t="s">
        <v>73</v>
      </c>
      <c r="O1204" s="3" t="s">
        <v>125</v>
      </c>
      <c r="P1204" s="3" t="s">
        <v>126</v>
      </c>
      <c r="Q1204" s="3" t="s">
        <v>39</v>
      </c>
      <c r="R1204" s="3" t="s">
        <v>40</v>
      </c>
      <c r="S1204" s="55">
        <v>179.8</v>
      </c>
      <c r="T1204" s="55">
        <v>179.71199999999999</v>
      </c>
      <c r="U1204" s="55">
        <v>0</v>
      </c>
      <c r="V1204" s="55">
        <v>8.7999999999999995E-2</v>
      </c>
      <c r="W1204" s="3">
        <v>100</v>
      </c>
    </row>
    <row r="1205" spans="1:23" x14ac:dyDescent="0.35">
      <c r="A1205" s="3" t="s">
        <v>492</v>
      </c>
      <c r="B1205" s="3" t="s">
        <v>493</v>
      </c>
      <c r="C1205" s="3" t="s">
        <v>93</v>
      </c>
      <c r="D1205" s="3" t="s">
        <v>45</v>
      </c>
      <c r="E1205" s="3" t="s">
        <v>27</v>
      </c>
      <c r="F1205" s="3" t="s">
        <v>46</v>
      </c>
      <c r="G1205" s="3" t="s">
        <v>47</v>
      </c>
      <c r="H1205" s="3" t="s">
        <v>30</v>
      </c>
      <c r="I1205" s="3" t="s">
        <v>31</v>
      </c>
      <c r="J1205" s="3" t="s">
        <v>32</v>
      </c>
      <c r="K1205" s="3" t="s">
        <v>33</v>
      </c>
      <c r="L1205" s="3" t="s">
        <v>51</v>
      </c>
      <c r="M1205" s="3" t="s">
        <v>94</v>
      </c>
      <c r="N1205" s="3" t="s">
        <v>95</v>
      </c>
      <c r="O1205" s="3" t="s">
        <v>96</v>
      </c>
      <c r="P1205" s="3" t="s">
        <v>97</v>
      </c>
      <c r="Q1205" s="3" t="s">
        <v>39</v>
      </c>
      <c r="R1205" s="3" t="s">
        <v>40</v>
      </c>
      <c r="S1205" s="55">
        <v>181743.4</v>
      </c>
      <c r="T1205" s="55">
        <v>116789.9129</v>
      </c>
      <c r="U1205" s="55">
        <v>13975.267099999999</v>
      </c>
      <c r="V1205" s="55">
        <v>64953.487099999998</v>
      </c>
      <c r="W1205" s="3">
        <v>64</v>
      </c>
    </row>
    <row r="1206" spans="1:23" x14ac:dyDescent="0.35">
      <c r="A1206" s="3" t="s">
        <v>492</v>
      </c>
      <c r="B1206" s="3" t="s">
        <v>493</v>
      </c>
      <c r="C1206" s="3" t="s">
        <v>98</v>
      </c>
      <c r="D1206" s="3" t="s">
        <v>45</v>
      </c>
      <c r="E1206" s="3" t="s">
        <v>27</v>
      </c>
      <c r="F1206" s="3" t="s">
        <v>46</v>
      </c>
      <c r="G1206" s="3" t="s">
        <v>47</v>
      </c>
      <c r="H1206" s="3" t="s">
        <v>30</v>
      </c>
      <c r="I1206" s="3" t="s">
        <v>31</v>
      </c>
      <c r="J1206" s="3" t="s">
        <v>32</v>
      </c>
      <c r="K1206" s="3" t="s">
        <v>33</v>
      </c>
      <c r="L1206" s="3" t="s">
        <v>51</v>
      </c>
      <c r="M1206" s="3" t="s">
        <v>94</v>
      </c>
      <c r="N1206" s="3" t="s">
        <v>95</v>
      </c>
      <c r="O1206" s="3" t="s">
        <v>99</v>
      </c>
      <c r="P1206" s="3" t="s">
        <v>100</v>
      </c>
      <c r="Q1206" s="3" t="s">
        <v>39</v>
      </c>
      <c r="R1206" s="3" t="s">
        <v>40</v>
      </c>
      <c r="S1206" s="55">
        <v>54698.400000000001</v>
      </c>
      <c r="T1206" s="55">
        <v>33627.5867</v>
      </c>
      <c r="U1206" s="55">
        <v>6086.384</v>
      </c>
      <c r="V1206" s="55">
        <v>21070.813300000002</v>
      </c>
      <c r="W1206" s="3">
        <v>61</v>
      </c>
    </row>
    <row r="1207" spans="1:23" x14ac:dyDescent="0.35">
      <c r="A1207" s="3" t="s">
        <v>492</v>
      </c>
      <c r="B1207" s="3" t="s">
        <v>493</v>
      </c>
      <c r="C1207" s="3" t="s">
        <v>101</v>
      </c>
      <c r="D1207" s="3" t="s">
        <v>45</v>
      </c>
      <c r="E1207" s="3" t="s">
        <v>27</v>
      </c>
      <c r="F1207" s="3" t="s">
        <v>46</v>
      </c>
      <c r="G1207" s="3" t="s">
        <v>47</v>
      </c>
      <c r="H1207" s="3" t="s">
        <v>30</v>
      </c>
      <c r="I1207" s="3" t="s">
        <v>31</v>
      </c>
      <c r="J1207" s="3" t="s">
        <v>32</v>
      </c>
      <c r="K1207" s="3" t="s">
        <v>33</v>
      </c>
      <c r="L1207" s="3" t="s">
        <v>51</v>
      </c>
      <c r="M1207" s="3" t="s">
        <v>94</v>
      </c>
      <c r="N1207" s="3" t="s">
        <v>95</v>
      </c>
      <c r="O1207" s="3" t="s">
        <v>37</v>
      </c>
      <c r="P1207" s="3" t="s">
        <v>38</v>
      </c>
      <c r="Q1207" s="3" t="s">
        <v>39</v>
      </c>
      <c r="R1207" s="3" t="s">
        <v>40</v>
      </c>
      <c r="S1207" s="55">
        <v>2625.5</v>
      </c>
      <c r="T1207" s="55">
        <v>2314.8946000000001</v>
      </c>
      <c r="U1207" s="55">
        <v>43.648899999999998</v>
      </c>
      <c r="V1207" s="55">
        <v>310.60539999999997</v>
      </c>
      <c r="W1207" s="3">
        <v>88</v>
      </c>
    </row>
    <row r="1208" spans="1:23" x14ac:dyDescent="0.35">
      <c r="A1208" s="3" t="s">
        <v>492</v>
      </c>
      <c r="B1208" s="3" t="s">
        <v>493</v>
      </c>
      <c r="C1208" s="3" t="s">
        <v>467</v>
      </c>
      <c r="D1208" s="3" t="s">
        <v>45</v>
      </c>
      <c r="E1208" s="3" t="s">
        <v>27</v>
      </c>
      <c r="F1208" s="3" t="s">
        <v>46</v>
      </c>
      <c r="G1208" s="3" t="s">
        <v>47</v>
      </c>
      <c r="H1208" s="3" t="s">
        <v>30</v>
      </c>
      <c r="I1208" s="3" t="s">
        <v>31</v>
      </c>
      <c r="J1208" s="3" t="s">
        <v>32</v>
      </c>
      <c r="K1208" s="3" t="s">
        <v>33</v>
      </c>
      <c r="L1208" s="3" t="s">
        <v>51</v>
      </c>
      <c r="M1208" s="3" t="s">
        <v>94</v>
      </c>
      <c r="N1208" s="3" t="s">
        <v>95</v>
      </c>
      <c r="O1208" s="3" t="s">
        <v>468</v>
      </c>
      <c r="P1208" s="3" t="s">
        <v>469</v>
      </c>
      <c r="Q1208" s="3" t="s">
        <v>39</v>
      </c>
      <c r="R1208" s="3" t="s">
        <v>40</v>
      </c>
      <c r="S1208" s="55">
        <v>2</v>
      </c>
      <c r="T1208" s="55">
        <v>1.9904999999999999</v>
      </c>
      <c r="U1208" s="55">
        <v>0</v>
      </c>
      <c r="V1208" s="55">
        <v>9.4999999999999998E-3</v>
      </c>
      <c r="W1208" s="3">
        <v>100</v>
      </c>
    </row>
    <row r="1209" spans="1:23" x14ac:dyDescent="0.35">
      <c r="A1209" s="3" t="s">
        <v>492</v>
      </c>
      <c r="B1209" s="3" t="s">
        <v>493</v>
      </c>
      <c r="C1209" s="3" t="s">
        <v>102</v>
      </c>
      <c r="D1209" s="3" t="s">
        <v>45</v>
      </c>
      <c r="E1209" s="3" t="s">
        <v>27</v>
      </c>
      <c r="F1209" s="3" t="s">
        <v>46</v>
      </c>
      <c r="G1209" s="3" t="s">
        <v>47</v>
      </c>
      <c r="H1209" s="3" t="s">
        <v>30</v>
      </c>
      <c r="I1209" s="3" t="s">
        <v>31</v>
      </c>
      <c r="J1209" s="3" t="s">
        <v>32</v>
      </c>
      <c r="K1209" s="3" t="s">
        <v>33</v>
      </c>
      <c r="L1209" s="3" t="s">
        <v>51</v>
      </c>
      <c r="M1209" s="3" t="s">
        <v>94</v>
      </c>
      <c r="N1209" s="3" t="s">
        <v>95</v>
      </c>
      <c r="O1209" s="3" t="s">
        <v>103</v>
      </c>
      <c r="P1209" s="3" t="s">
        <v>104</v>
      </c>
      <c r="Q1209" s="3" t="s">
        <v>39</v>
      </c>
      <c r="R1209" s="3" t="s">
        <v>40</v>
      </c>
      <c r="S1209" s="55">
        <v>3.7</v>
      </c>
      <c r="T1209" s="55">
        <v>2.3089</v>
      </c>
      <c r="U1209" s="55">
        <v>0</v>
      </c>
      <c r="V1209" s="55">
        <v>1.3911</v>
      </c>
      <c r="W1209" s="3">
        <v>62</v>
      </c>
    </row>
    <row r="1210" spans="1:23" x14ac:dyDescent="0.35">
      <c r="A1210" s="3" t="s">
        <v>492</v>
      </c>
      <c r="B1210" s="3" t="s">
        <v>493</v>
      </c>
      <c r="C1210" s="3" t="s">
        <v>105</v>
      </c>
      <c r="D1210" s="3" t="s">
        <v>45</v>
      </c>
      <c r="E1210" s="3" t="s">
        <v>27</v>
      </c>
      <c r="F1210" s="3" t="s">
        <v>46</v>
      </c>
      <c r="G1210" s="3" t="s">
        <v>47</v>
      </c>
      <c r="H1210" s="3" t="s">
        <v>30</v>
      </c>
      <c r="I1210" s="3" t="s">
        <v>31</v>
      </c>
      <c r="J1210" s="3" t="s">
        <v>32</v>
      </c>
      <c r="K1210" s="3" t="s">
        <v>33</v>
      </c>
      <c r="L1210" s="3" t="s">
        <v>51</v>
      </c>
      <c r="M1210" s="3" t="s">
        <v>106</v>
      </c>
      <c r="N1210" s="3" t="s">
        <v>107</v>
      </c>
      <c r="O1210" s="3" t="s">
        <v>108</v>
      </c>
      <c r="P1210" s="3" t="s">
        <v>109</v>
      </c>
      <c r="Q1210" s="3" t="s">
        <v>39</v>
      </c>
      <c r="R1210" s="3" t="s">
        <v>40</v>
      </c>
      <c r="S1210" s="55">
        <v>70925.600000000006</v>
      </c>
      <c r="T1210" s="55">
        <v>44985.992700000003</v>
      </c>
      <c r="U1210" s="55">
        <v>5884.3927000000003</v>
      </c>
      <c r="V1210" s="55">
        <v>25939.6073</v>
      </c>
      <c r="W1210" s="3">
        <v>63</v>
      </c>
    </row>
    <row r="1211" spans="1:23" x14ac:dyDescent="0.35">
      <c r="A1211" s="3" t="s">
        <v>492</v>
      </c>
      <c r="B1211" s="3" t="s">
        <v>493</v>
      </c>
      <c r="C1211" s="3" t="s">
        <v>110</v>
      </c>
      <c r="D1211" s="3" t="s">
        <v>45</v>
      </c>
      <c r="E1211" s="3" t="s">
        <v>27</v>
      </c>
      <c r="F1211" s="3" t="s">
        <v>46</v>
      </c>
      <c r="G1211" s="3" t="s">
        <v>47</v>
      </c>
      <c r="H1211" s="3" t="s">
        <v>30</v>
      </c>
      <c r="I1211" s="3" t="s">
        <v>31</v>
      </c>
      <c r="J1211" s="3" t="s">
        <v>32</v>
      </c>
      <c r="K1211" s="3" t="s">
        <v>33</v>
      </c>
      <c r="L1211" s="3" t="s">
        <v>51</v>
      </c>
      <c r="M1211" s="3" t="s">
        <v>111</v>
      </c>
      <c r="N1211" s="3" t="s">
        <v>112</v>
      </c>
      <c r="O1211" s="3" t="s">
        <v>37</v>
      </c>
      <c r="P1211" s="3" t="s">
        <v>38</v>
      </c>
      <c r="Q1211" s="3" t="s">
        <v>39</v>
      </c>
      <c r="R1211" s="3" t="s">
        <v>40</v>
      </c>
      <c r="S1211" s="55">
        <v>5536.5</v>
      </c>
      <c r="T1211" s="55">
        <v>2601.6957000000002</v>
      </c>
      <c r="U1211" s="55">
        <v>214.4273</v>
      </c>
      <c r="V1211" s="55">
        <v>2934.8042999999998</v>
      </c>
      <c r="W1211" s="3">
        <v>47</v>
      </c>
    </row>
    <row r="1212" spans="1:23" x14ac:dyDescent="0.35">
      <c r="A1212" s="3" t="s">
        <v>492</v>
      </c>
      <c r="B1212" s="3" t="s">
        <v>493</v>
      </c>
      <c r="C1212" s="3" t="s">
        <v>113</v>
      </c>
      <c r="D1212" s="3" t="s">
        <v>114</v>
      </c>
      <c r="E1212" s="3" t="s">
        <v>115</v>
      </c>
      <c r="F1212" s="3" t="s">
        <v>116</v>
      </c>
      <c r="G1212" s="3" t="s">
        <v>117</v>
      </c>
      <c r="H1212" s="3" t="s">
        <v>48</v>
      </c>
      <c r="I1212" s="3" t="s">
        <v>49</v>
      </c>
      <c r="J1212" s="3" t="s">
        <v>50</v>
      </c>
      <c r="K1212" s="3" t="s">
        <v>33</v>
      </c>
      <c r="L1212" s="3" t="s">
        <v>51</v>
      </c>
      <c r="M1212" s="3" t="s">
        <v>118</v>
      </c>
      <c r="N1212" s="3" t="s">
        <v>119</v>
      </c>
      <c r="O1212" s="3" t="s">
        <v>37</v>
      </c>
      <c r="P1212" s="3" t="s">
        <v>38</v>
      </c>
      <c r="Q1212" s="3" t="s">
        <v>39</v>
      </c>
      <c r="R1212" s="3" t="s">
        <v>40</v>
      </c>
      <c r="S1212" s="55">
        <v>4082.8</v>
      </c>
      <c r="T1212" s="55">
        <v>3256.9695000000002</v>
      </c>
      <c r="U1212" s="55">
        <v>0</v>
      </c>
      <c r="V1212" s="55">
        <v>825.83050000000003</v>
      </c>
      <c r="W1212" s="3">
        <v>80</v>
      </c>
    </row>
    <row r="1213" spans="1:23" x14ac:dyDescent="0.35">
      <c r="A1213" s="3" t="s">
        <v>492</v>
      </c>
      <c r="B1213" s="3" t="s">
        <v>493</v>
      </c>
      <c r="C1213" s="3" t="s">
        <v>120</v>
      </c>
      <c r="D1213" s="3" t="s">
        <v>114</v>
      </c>
      <c r="E1213" s="3" t="s">
        <v>115</v>
      </c>
      <c r="F1213" s="3" t="s">
        <v>116</v>
      </c>
      <c r="G1213" s="3" t="s">
        <v>117</v>
      </c>
      <c r="H1213" s="3" t="s">
        <v>48</v>
      </c>
      <c r="I1213" s="3" t="s">
        <v>49</v>
      </c>
      <c r="J1213" s="3" t="s">
        <v>50</v>
      </c>
      <c r="K1213" s="3" t="s">
        <v>33</v>
      </c>
      <c r="L1213" s="3" t="s">
        <v>51</v>
      </c>
      <c r="M1213" s="3" t="s">
        <v>118</v>
      </c>
      <c r="N1213" s="3" t="s">
        <v>119</v>
      </c>
      <c r="O1213" s="3" t="s">
        <v>42</v>
      </c>
      <c r="P1213" s="3" t="s">
        <v>43</v>
      </c>
      <c r="Q1213" s="3" t="s">
        <v>39</v>
      </c>
      <c r="R1213" s="3" t="s">
        <v>40</v>
      </c>
      <c r="S1213" s="55">
        <v>8518.1</v>
      </c>
      <c r="T1213" s="55">
        <v>264.81889999999999</v>
      </c>
      <c r="U1213" s="55">
        <v>0</v>
      </c>
      <c r="V1213" s="55">
        <v>8253.2811000000002</v>
      </c>
      <c r="W1213" s="3">
        <v>3</v>
      </c>
    </row>
    <row r="1214" spans="1:23" x14ac:dyDescent="0.35">
      <c r="A1214" s="3" t="s">
        <v>492</v>
      </c>
      <c r="B1214" s="3" t="s">
        <v>493</v>
      </c>
      <c r="C1214" s="3" t="s">
        <v>121</v>
      </c>
      <c r="D1214" s="3" t="s">
        <v>114</v>
      </c>
      <c r="E1214" s="3" t="s">
        <v>115</v>
      </c>
      <c r="F1214" s="3" t="s">
        <v>116</v>
      </c>
      <c r="G1214" s="3" t="s">
        <v>117</v>
      </c>
      <c r="H1214" s="3" t="s">
        <v>48</v>
      </c>
      <c r="I1214" s="3" t="s">
        <v>49</v>
      </c>
      <c r="J1214" s="3" t="s">
        <v>50</v>
      </c>
      <c r="K1214" s="3" t="s">
        <v>33</v>
      </c>
      <c r="L1214" s="3" t="s">
        <v>51</v>
      </c>
      <c r="M1214" s="3" t="s">
        <v>118</v>
      </c>
      <c r="N1214" s="3" t="s">
        <v>119</v>
      </c>
      <c r="O1214" s="3" t="s">
        <v>122</v>
      </c>
      <c r="P1214" s="3" t="s">
        <v>123</v>
      </c>
      <c r="Q1214" s="3" t="s">
        <v>39</v>
      </c>
      <c r="R1214" s="3" t="s">
        <v>40</v>
      </c>
      <c r="S1214" s="55">
        <v>5312.2</v>
      </c>
      <c r="T1214" s="55">
        <v>4513.5222000000003</v>
      </c>
      <c r="U1214" s="55">
        <v>0</v>
      </c>
      <c r="V1214" s="55">
        <v>798.67780000000005</v>
      </c>
      <c r="W1214" s="3">
        <v>85</v>
      </c>
    </row>
    <row r="1215" spans="1:23" x14ac:dyDescent="0.35">
      <c r="A1215" s="3" t="s">
        <v>492</v>
      </c>
      <c r="B1215" s="3" t="s">
        <v>493</v>
      </c>
      <c r="C1215" s="3" t="s">
        <v>124</v>
      </c>
      <c r="D1215" s="3" t="s">
        <v>114</v>
      </c>
      <c r="E1215" s="3" t="s">
        <v>115</v>
      </c>
      <c r="F1215" s="3" t="s">
        <v>116</v>
      </c>
      <c r="G1215" s="3" t="s">
        <v>117</v>
      </c>
      <c r="H1215" s="3" t="s">
        <v>48</v>
      </c>
      <c r="I1215" s="3" t="s">
        <v>49</v>
      </c>
      <c r="J1215" s="3" t="s">
        <v>50</v>
      </c>
      <c r="K1215" s="3" t="s">
        <v>33</v>
      </c>
      <c r="L1215" s="3" t="s">
        <v>51</v>
      </c>
      <c r="M1215" s="3" t="s">
        <v>118</v>
      </c>
      <c r="N1215" s="3" t="s">
        <v>119</v>
      </c>
      <c r="O1215" s="3" t="s">
        <v>125</v>
      </c>
      <c r="P1215" s="3" t="s">
        <v>126</v>
      </c>
      <c r="Q1215" s="3" t="s">
        <v>39</v>
      </c>
      <c r="R1215" s="3" t="s">
        <v>40</v>
      </c>
      <c r="S1215" s="55">
        <v>2554.3000000000002</v>
      </c>
      <c r="T1215" s="55">
        <v>1582.3280999999999</v>
      </c>
      <c r="U1215" s="55">
        <v>242.97130000000001</v>
      </c>
      <c r="V1215" s="55">
        <v>971.97190000000001</v>
      </c>
      <c r="W1215" s="3">
        <v>62</v>
      </c>
    </row>
    <row r="1216" spans="1:23" x14ac:dyDescent="0.35">
      <c r="A1216" s="3" t="s">
        <v>492</v>
      </c>
      <c r="B1216" s="3" t="s">
        <v>493</v>
      </c>
      <c r="C1216" s="3" t="s">
        <v>130</v>
      </c>
      <c r="D1216" s="3" t="s">
        <v>131</v>
      </c>
      <c r="E1216" s="3" t="s">
        <v>115</v>
      </c>
      <c r="F1216" s="3" t="s">
        <v>132</v>
      </c>
      <c r="G1216" s="3" t="s">
        <v>133</v>
      </c>
      <c r="H1216" s="3" t="s">
        <v>48</v>
      </c>
      <c r="I1216" s="3" t="s">
        <v>49</v>
      </c>
      <c r="J1216" s="3" t="s">
        <v>50</v>
      </c>
      <c r="K1216" s="3" t="s">
        <v>33</v>
      </c>
      <c r="L1216" s="3" t="s">
        <v>51</v>
      </c>
      <c r="M1216" s="3" t="s">
        <v>134</v>
      </c>
      <c r="N1216" s="3" t="s">
        <v>135</v>
      </c>
      <c r="O1216" s="3" t="s">
        <v>37</v>
      </c>
      <c r="P1216" s="3" t="s">
        <v>38</v>
      </c>
      <c r="Q1216" s="3" t="s">
        <v>39</v>
      </c>
      <c r="R1216" s="3" t="s">
        <v>40</v>
      </c>
      <c r="S1216" s="55">
        <v>22.1</v>
      </c>
      <c r="T1216" s="55">
        <v>11.1165</v>
      </c>
      <c r="U1216" s="55">
        <v>0</v>
      </c>
      <c r="V1216" s="55">
        <v>10.983499999999999</v>
      </c>
      <c r="W1216" s="3">
        <v>50</v>
      </c>
    </row>
    <row r="1217" spans="1:23" x14ac:dyDescent="0.35">
      <c r="A1217" s="3" t="s">
        <v>492</v>
      </c>
      <c r="B1217" s="3" t="s">
        <v>493</v>
      </c>
      <c r="C1217" s="3" t="s">
        <v>448</v>
      </c>
      <c r="D1217" s="3" t="s">
        <v>137</v>
      </c>
      <c r="E1217" s="3" t="s">
        <v>138</v>
      </c>
      <c r="F1217" s="3" t="s">
        <v>139</v>
      </c>
      <c r="G1217" s="3" t="s">
        <v>140</v>
      </c>
      <c r="H1217" s="3" t="s">
        <v>48</v>
      </c>
      <c r="I1217" s="3" t="s">
        <v>49</v>
      </c>
      <c r="J1217" s="3" t="s">
        <v>50</v>
      </c>
      <c r="K1217" s="3" t="s">
        <v>33</v>
      </c>
      <c r="L1217" s="3" t="s">
        <v>51</v>
      </c>
      <c r="M1217" s="3" t="s">
        <v>446</v>
      </c>
      <c r="N1217" s="3" t="s">
        <v>447</v>
      </c>
      <c r="O1217" s="3" t="s">
        <v>197</v>
      </c>
      <c r="P1217" s="3" t="s">
        <v>198</v>
      </c>
      <c r="Q1217" s="3" t="s">
        <v>39</v>
      </c>
      <c r="R1217" s="3" t="s">
        <v>40</v>
      </c>
      <c r="S1217" s="55">
        <v>33219</v>
      </c>
      <c r="T1217" s="55">
        <v>1004.4811999999999</v>
      </c>
      <c r="U1217" s="55">
        <v>739.94420000000002</v>
      </c>
      <c r="V1217" s="55">
        <v>32214.518800000002</v>
      </c>
      <c r="W1217" s="3">
        <v>3</v>
      </c>
    </row>
    <row r="1218" spans="1:23" x14ac:dyDescent="0.35">
      <c r="A1218" s="3" t="s">
        <v>492</v>
      </c>
      <c r="B1218" s="3" t="s">
        <v>493</v>
      </c>
      <c r="C1218" s="3" t="s">
        <v>136</v>
      </c>
      <c r="D1218" s="3" t="s">
        <v>137</v>
      </c>
      <c r="E1218" s="3" t="s">
        <v>138</v>
      </c>
      <c r="F1218" s="3" t="s">
        <v>139</v>
      </c>
      <c r="G1218" s="3" t="s">
        <v>140</v>
      </c>
      <c r="H1218" s="3" t="s">
        <v>30</v>
      </c>
      <c r="I1218" s="3" t="s">
        <v>31</v>
      </c>
      <c r="J1218" s="3" t="s">
        <v>32</v>
      </c>
      <c r="K1218" s="3" t="s">
        <v>33</v>
      </c>
      <c r="L1218" s="3" t="s">
        <v>51</v>
      </c>
      <c r="M1218" s="3" t="s">
        <v>141</v>
      </c>
      <c r="N1218" s="3" t="s">
        <v>142</v>
      </c>
      <c r="O1218" s="3" t="s">
        <v>83</v>
      </c>
      <c r="P1218" s="3" t="s">
        <v>84</v>
      </c>
      <c r="Q1218" s="3" t="s">
        <v>39</v>
      </c>
      <c r="R1218" s="3" t="s">
        <v>40</v>
      </c>
      <c r="S1218" s="55">
        <v>5402.8</v>
      </c>
      <c r="T1218" s="55">
        <v>3579.4978999999998</v>
      </c>
      <c r="U1218" s="55">
        <v>880.93129999999996</v>
      </c>
      <c r="V1218" s="55">
        <v>1823.3021000000001</v>
      </c>
      <c r="W1218" s="3">
        <v>66</v>
      </c>
    </row>
    <row r="1219" spans="1:23" x14ac:dyDescent="0.35">
      <c r="A1219" s="3" t="s">
        <v>492</v>
      </c>
      <c r="B1219" s="3" t="s">
        <v>493</v>
      </c>
      <c r="C1219" s="3" t="s">
        <v>143</v>
      </c>
      <c r="D1219" s="3" t="s">
        <v>144</v>
      </c>
      <c r="E1219" s="3" t="s">
        <v>145</v>
      </c>
      <c r="F1219" s="3" t="s">
        <v>146</v>
      </c>
      <c r="G1219" s="3" t="s">
        <v>147</v>
      </c>
      <c r="H1219" s="3" t="s">
        <v>116</v>
      </c>
      <c r="I1219" s="3" t="s">
        <v>148</v>
      </c>
      <c r="J1219" s="3" t="s">
        <v>149</v>
      </c>
      <c r="K1219" s="3" t="s">
        <v>33</v>
      </c>
      <c r="L1219" s="3" t="s">
        <v>51</v>
      </c>
      <c r="M1219" s="3" t="s">
        <v>150</v>
      </c>
      <c r="N1219" s="3" t="s">
        <v>151</v>
      </c>
      <c r="O1219" s="3" t="s">
        <v>37</v>
      </c>
      <c r="P1219" s="3" t="s">
        <v>38</v>
      </c>
      <c r="Q1219" s="3" t="s">
        <v>39</v>
      </c>
      <c r="R1219" s="3" t="s">
        <v>40</v>
      </c>
      <c r="S1219" s="55">
        <v>5247.5</v>
      </c>
      <c r="T1219" s="55">
        <v>5021.99</v>
      </c>
      <c r="U1219" s="55">
        <v>302.6696</v>
      </c>
      <c r="V1219" s="55">
        <v>225.51</v>
      </c>
      <c r="W1219" s="3">
        <v>96</v>
      </c>
    </row>
    <row r="1220" spans="1:23" x14ac:dyDescent="0.35">
      <c r="A1220" s="3" t="s">
        <v>492</v>
      </c>
      <c r="B1220" s="3" t="s">
        <v>493</v>
      </c>
      <c r="C1220" s="3" t="s">
        <v>152</v>
      </c>
      <c r="D1220" s="3" t="s">
        <v>144</v>
      </c>
      <c r="E1220" s="3" t="s">
        <v>145</v>
      </c>
      <c r="F1220" s="3" t="s">
        <v>146</v>
      </c>
      <c r="G1220" s="3" t="s">
        <v>147</v>
      </c>
      <c r="H1220" s="3" t="s">
        <v>116</v>
      </c>
      <c r="I1220" s="3" t="s">
        <v>148</v>
      </c>
      <c r="J1220" s="3" t="s">
        <v>149</v>
      </c>
      <c r="K1220" s="3" t="s">
        <v>33</v>
      </c>
      <c r="L1220" s="3" t="s">
        <v>51</v>
      </c>
      <c r="M1220" s="3" t="s">
        <v>153</v>
      </c>
      <c r="N1220" s="3" t="s">
        <v>154</v>
      </c>
      <c r="O1220" s="3" t="s">
        <v>37</v>
      </c>
      <c r="P1220" s="3" t="s">
        <v>38</v>
      </c>
      <c r="Q1220" s="3" t="s">
        <v>39</v>
      </c>
      <c r="R1220" s="3" t="s">
        <v>40</v>
      </c>
      <c r="S1220" s="55">
        <v>58395.199999999997</v>
      </c>
      <c r="T1220" s="55">
        <v>3856.32</v>
      </c>
      <c r="U1220" s="55">
        <v>3767.4733000000001</v>
      </c>
      <c r="V1220" s="55">
        <v>54538.879999999997</v>
      </c>
      <c r="W1220" s="3">
        <v>7</v>
      </c>
    </row>
    <row r="1221" spans="1:23" x14ac:dyDescent="0.35">
      <c r="A1221" s="3" t="s">
        <v>492</v>
      </c>
      <c r="B1221" s="3" t="s">
        <v>493</v>
      </c>
      <c r="C1221" s="3" t="s">
        <v>155</v>
      </c>
      <c r="D1221" s="3" t="s">
        <v>144</v>
      </c>
      <c r="E1221" s="3" t="s">
        <v>145</v>
      </c>
      <c r="F1221" s="3" t="s">
        <v>146</v>
      </c>
      <c r="G1221" s="3" t="s">
        <v>147</v>
      </c>
      <c r="H1221" s="3" t="s">
        <v>116</v>
      </c>
      <c r="I1221" s="3" t="s">
        <v>148</v>
      </c>
      <c r="J1221" s="3" t="s">
        <v>149</v>
      </c>
      <c r="K1221" s="3" t="s">
        <v>33</v>
      </c>
      <c r="L1221" s="3" t="s">
        <v>51</v>
      </c>
      <c r="M1221" s="3" t="s">
        <v>156</v>
      </c>
      <c r="N1221" s="3" t="s">
        <v>157</v>
      </c>
      <c r="O1221" s="3" t="s">
        <v>37</v>
      </c>
      <c r="P1221" s="3" t="s">
        <v>38</v>
      </c>
      <c r="Q1221" s="3" t="s">
        <v>39</v>
      </c>
      <c r="R1221" s="3" t="s">
        <v>40</v>
      </c>
      <c r="S1221" s="55">
        <v>2291.9</v>
      </c>
      <c r="T1221" s="55">
        <v>404.16250000000002</v>
      </c>
      <c r="U1221" s="55">
        <v>3.6936</v>
      </c>
      <c r="V1221" s="55">
        <v>1887.7375</v>
      </c>
      <c r="W1221" s="3">
        <v>18</v>
      </c>
    </row>
    <row r="1222" spans="1:23" x14ac:dyDescent="0.35">
      <c r="A1222" s="3" t="s">
        <v>492</v>
      </c>
      <c r="B1222" s="3" t="s">
        <v>493</v>
      </c>
      <c r="C1222" s="3" t="s">
        <v>158</v>
      </c>
      <c r="D1222" s="3" t="s">
        <v>144</v>
      </c>
      <c r="E1222" s="3" t="s">
        <v>145</v>
      </c>
      <c r="F1222" s="3" t="s">
        <v>146</v>
      </c>
      <c r="G1222" s="3" t="s">
        <v>147</v>
      </c>
      <c r="H1222" s="3" t="s">
        <v>116</v>
      </c>
      <c r="I1222" s="3" t="s">
        <v>148</v>
      </c>
      <c r="J1222" s="3" t="s">
        <v>149</v>
      </c>
      <c r="K1222" s="3" t="s">
        <v>33</v>
      </c>
      <c r="L1222" s="3" t="s">
        <v>51</v>
      </c>
      <c r="M1222" s="3" t="s">
        <v>156</v>
      </c>
      <c r="N1222" s="3" t="s">
        <v>157</v>
      </c>
      <c r="O1222" s="3" t="s">
        <v>125</v>
      </c>
      <c r="P1222" s="3" t="s">
        <v>126</v>
      </c>
      <c r="Q1222" s="3" t="s">
        <v>39</v>
      </c>
      <c r="R1222" s="3" t="s">
        <v>40</v>
      </c>
      <c r="S1222" s="55">
        <v>104832.7</v>
      </c>
      <c r="T1222" s="55">
        <v>62416.6037</v>
      </c>
      <c r="U1222" s="55">
        <v>9785.3642999999993</v>
      </c>
      <c r="V1222" s="55">
        <v>42416.096299999997</v>
      </c>
      <c r="W1222" s="3">
        <v>60</v>
      </c>
    </row>
    <row r="1223" spans="1:23" x14ac:dyDescent="0.35">
      <c r="A1223" s="3" t="s">
        <v>492</v>
      </c>
      <c r="B1223" s="3" t="s">
        <v>493</v>
      </c>
      <c r="C1223" s="3" t="s">
        <v>159</v>
      </c>
      <c r="D1223" s="3" t="s">
        <v>144</v>
      </c>
      <c r="E1223" s="3" t="s">
        <v>145</v>
      </c>
      <c r="F1223" s="3" t="s">
        <v>146</v>
      </c>
      <c r="G1223" s="3" t="s">
        <v>147</v>
      </c>
      <c r="H1223" s="3" t="s">
        <v>116</v>
      </c>
      <c r="I1223" s="3" t="s">
        <v>148</v>
      </c>
      <c r="J1223" s="3" t="s">
        <v>149</v>
      </c>
      <c r="K1223" s="3" t="s">
        <v>33</v>
      </c>
      <c r="L1223" s="3" t="s">
        <v>51</v>
      </c>
      <c r="M1223" s="3" t="s">
        <v>160</v>
      </c>
      <c r="N1223" s="3" t="s">
        <v>161</v>
      </c>
      <c r="O1223" s="3" t="s">
        <v>37</v>
      </c>
      <c r="P1223" s="3" t="s">
        <v>38</v>
      </c>
      <c r="Q1223" s="3" t="s">
        <v>39</v>
      </c>
      <c r="R1223" s="3" t="s">
        <v>40</v>
      </c>
      <c r="S1223" s="55">
        <v>16844.5</v>
      </c>
      <c r="T1223" s="55">
        <v>10015.9547</v>
      </c>
      <c r="U1223" s="55">
        <v>61.231200000000001</v>
      </c>
      <c r="V1223" s="55">
        <v>6828.5452999999998</v>
      </c>
      <c r="W1223" s="3">
        <v>59</v>
      </c>
    </row>
    <row r="1224" spans="1:23" x14ac:dyDescent="0.35">
      <c r="A1224" s="3" t="s">
        <v>492</v>
      </c>
      <c r="B1224" s="3" t="s">
        <v>493</v>
      </c>
      <c r="C1224" s="3" t="s">
        <v>162</v>
      </c>
      <c r="D1224" s="3" t="s">
        <v>144</v>
      </c>
      <c r="E1224" s="3" t="s">
        <v>145</v>
      </c>
      <c r="F1224" s="3" t="s">
        <v>146</v>
      </c>
      <c r="G1224" s="3" t="s">
        <v>147</v>
      </c>
      <c r="H1224" s="3" t="s">
        <v>116</v>
      </c>
      <c r="I1224" s="3" t="s">
        <v>148</v>
      </c>
      <c r="J1224" s="3" t="s">
        <v>149</v>
      </c>
      <c r="K1224" s="3" t="s">
        <v>33</v>
      </c>
      <c r="L1224" s="3" t="s">
        <v>51</v>
      </c>
      <c r="M1224" s="3" t="s">
        <v>160</v>
      </c>
      <c r="N1224" s="3" t="s">
        <v>161</v>
      </c>
      <c r="O1224" s="3" t="s">
        <v>42</v>
      </c>
      <c r="P1224" s="3" t="s">
        <v>43</v>
      </c>
      <c r="Q1224" s="3" t="s">
        <v>39</v>
      </c>
      <c r="R1224" s="3" t="s">
        <v>40</v>
      </c>
      <c r="S1224" s="55">
        <v>6321.4</v>
      </c>
      <c r="T1224" s="55">
        <v>0</v>
      </c>
      <c r="U1224" s="55">
        <v>0</v>
      </c>
      <c r="V1224" s="55">
        <v>6321.4</v>
      </c>
      <c r="W1224" s="3">
        <v>0</v>
      </c>
    </row>
    <row r="1225" spans="1:23" x14ac:dyDescent="0.35">
      <c r="A1225" s="3" t="s">
        <v>492</v>
      </c>
      <c r="B1225" s="3" t="s">
        <v>493</v>
      </c>
      <c r="C1225" s="3" t="s">
        <v>163</v>
      </c>
      <c r="D1225" s="3" t="s">
        <v>144</v>
      </c>
      <c r="E1225" s="3" t="s">
        <v>145</v>
      </c>
      <c r="F1225" s="3" t="s">
        <v>146</v>
      </c>
      <c r="G1225" s="3" t="s">
        <v>147</v>
      </c>
      <c r="H1225" s="3" t="s">
        <v>116</v>
      </c>
      <c r="I1225" s="3" t="s">
        <v>148</v>
      </c>
      <c r="J1225" s="3" t="s">
        <v>149</v>
      </c>
      <c r="K1225" s="3" t="s">
        <v>33</v>
      </c>
      <c r="L1225" s="3" t="s">
        <v>51</v>
      </c>
      <c r="M1225" s="3" t="s">
        <v>160</v>
      </c>
      <c r="N1225" s="3" t="s">
        <v>161</v>
      </c>
      <c r="O1225" s="3" t="s">
        <v>125</v>
      </c>
      <c r="P1225" s="3" t="s">
        <v>126</v>
      </c>
      <c r="Q1225" s="3" t="s">
        <v>39</v>
      </c>
      <c r="R1225" s="3" t="s">
        <v>40</v>
      </c>
      <c r="S1225" s="55">
        <v>4785.7</v>
      </c>
      <c r="T1225" s="55">
        <v>3046.8407000000002</v>
      </c>
      <c r="U1225" s="55">
        <v>398.96719999999999</v>
      </c>
      <c r="V1225" s="55">
        <v>1738.8593000000001</v>
      </c>
      <c r="W1225" s="3">
        <v>64</v>
      </c>
    </row>
    <row r="1226" spans="1:23" x14ac:dyDescent="0.35">
      <c r="A1226" s="3" t="s">
        <v>492</v>
      </c>
      <c r="B1226" s="3" t="s">
        <v>493</v>
      </c>
      <c r="C1226" s="3" t="s">
        <v>423</v>
      </c>
      <c r="D1226" s="3" t="s">
        <v>165</v>
      </c>
      <c r="E1226" s="3" t="s">
        <v>145</v>
      </c>
      <c r="F1226" s="3" t="s">
        <v>28</v>
      </c>
      <c r="G1226" s="3" t="s">
        <v>166</v>
      </c>
      <c r="H1226" s="3" t="s">
        <v>139</v>
      </c>
      <c r="I1226" s="3" t="s">
        <v>167</v>
      </c>
      <c r="J1226" s="3" t="s">
        <v>168</v>
      </c>
      <c r="K1226" s="3" t="s">
        <v>33</v>
      </c>
      <c r="L1226" s="3" t="s">
        <v>51</v>
      </c>
      <c r="M1226" s="3" t="s">
        <v>424</v>
      </c>
      <c r="N1226" s="3" t="s">
        <v>507</v>
      </c>
      <c r="O1226" s="3" t="s">
        <v>37</v>
      </c>
      <c r="P1226" s="3" t="s">
        <v>38</v>
      </c>
      <c r="Q1226" s="3" t="s">
        <v>39</v>
      </c>
      <c r="R1226" s="3" t="s">
        <v>40</v>
      </c>
      <c r="S1226" s="55">
        <v>3229.3</v>
      </c>
      <c r="T1226" s="55">
        <v>340</v>
      </c>
      <c r="U1226" s="55">
        <v>0</v>
      </c>
      <c r="V1226" s="55">
        <v>2889.3</v>
      </c>
      <c r="W1226" s="3">
        <v>11</v>
      </c>
    </row>
    <row r="1227" spans="1:23" x14ac:dyDescent="0.35">
      <c r="A1227" s="3" t="s">
        <v>492</v>
      </c>
      <c r="B1227" s="3" t="s">
        <v>493</v>
      </c>
      <c r="C1227" s="3" t="s">
        <v>560</v>
      </c>
      <c r="D1227" s="3" t="s">
        <v>165</v>
      </c>
      <c r="E1227" s="3" t="s">
        <v>145</v>
      </c>
      <c r="F1227" s="3" t="s">
        <v>28</v>
      </c>
      <c r="G1227" s="3" t="s">
        <v>166</v>
      </c>
      <c r="H1227" s="3" t="s">
        <v>139</v>
      </c>
      <c r="I1227" s="3" t="s">
        <v>167</v>
      </c>
      <c r="J1227" s="3" t="s">
        <v>168</v>
      </c>
      <c r="K1227" s="3" t="s">
        <v>33</v>
      </c>
      <c r="L1227" s="3" t="s">
        <v>51</v>
      </c>
      <c r="M1227" s="3" t="s">
        <v>424</v>
      </c>
      <c r="N1227" s="3" t="s">
        <v>507</v>
      </c>
      <c r="O1227" s="3" t="s">
        <v>125</v>
      </c>
      <c r="P1227" s="3" t="s">
        <v>126</v>
      </c>
      <c r="Q1227" s="3" t="s">
        <v>39</v>
      </c>
      <c r="R1227" s="3" t="s">
        <v>40</v>
      </c>
      <c r="S1227" s="55">
        <v>250.7</v>
      </c>
      <c r="T1227" s="55">
        <v>250.65</v>
      </c>
      <c r="U1227" s="55">
        <v>0</v>
      </c>
      <c r="V1227" s="55">
        <v>0.05</v>
      </c>
      <c r="W1227" s="3">
        <v>100</v>
      </c>
    </row>
    <row r="1228" spans="1:23" x14ac:dyDescent="0.35">
      <c r="A1228" s="3" t="s">
        <v>492</v>
      </c>
      <c r="B1228" s="3" t="s">
        <v>493</v>
      </c>
      <c r="C1228" s="3" t="s">
        <v>164</v>
      </c>
      <c r="D1228" s="3" t="s">
        <v>165</v>
      </c>
      <c r="E1228" s="3" t="s">
        <v>145</v>
      </c>
      <c r="F1228" s="3" t="s">
        <v>28</v>
      </c>
      <c r="G1228" s="3" t="s">
        <v>166</v>
      </c>
      <c r="H1228" s="3" t="s">
        <v>139</v>
      </c>
      <c r="I1228" s="3" t="s">
        <v>167</v>
      </c>
      <c r="J1228" s="3" t="s">
        <v>168</v>
      </c>
      <c r="K1228" s="3" t="s">
        <v>33</v>
      </c>
      <c r="L1228" s="3" t="s">
        <v>51</v>
      </c>
      <c r="M1228" s="3" t="s">
        <v>169</v>
      </c>
      <c r="N1228" s="3" t="s">
        <v>170</v>
      </c>
      <c r="O1228" s="3" t="s">
        <v>37</v>
      </c>
      <c r="P1228" s="3" t="s">
        <v>38</v>
      </c>
      <c r="Q1228" s="3" t="s">
        <v>39</v>
      </c>
      <c r="R1228" s="3" t="s">
        <v>40</v>
      </c>
      <c r="S1228" s="55">
        <v>52212.9</v>
      </c>
      <c r="T1228" s="55">
        <v>6596.9125000000004</v>
      </c>
      <c r="U1228" s="55">
        <v>577.83000000000004</v>
      </c>
      <c r="V1228" s="55">
        <v>45615.987500000003</v>
      </c>
      <c r="W1228" s="3">
        <v>13</v>
      </c>
    </row>
    <row r="1229" spans="1:23" x14ac:dyDescent="0.35">
      <c r="A1229" s="3" t="s">
        <v>492</v>
      </c>
      <c r="B1229" s="3" t="s">
        <v>493</v>
      </c>
      <c r="C1229" s="3" t="s">
        <v>561</v>
      </c>
      <c r="D1229" s="3" t="s">
        <v>165</v>
      </c>
      <c r="E1229" s="3" t="s">
        <v>145</v>
      </c>
      <c r="F1229" s="3" t="s">
        <v>28</v>
      </c>
      <c r="G1229" s="3" t="s">
        <v>166</v>
      </c>
      <c r="H1229" s="3" t="s">
        <v>139</v>
      </c>
      <c r="I1229" s="3" t="s">
        <v>167</v>
      </c>
      <c r="J1229" s="3" t="s">
        <v>168</v>
      </c>
      <c r="K1229" s="3" t="s">
        <v>33</v>
      </c>
      <c r="L1229" s="3" t="s">
        <v>51</v>
      </c>
      <c r="M1229" s="3" t="s">
        <v>169</v>
      </c>
      <c r="N1229" s="3" t="s">
        <v>170</v>
      </c>
      <c r="O1229" s="3" t="s">
        <v>125</v>
      </c>
      <c r="P1229" s="3" t="s">
        <v>126</v>
      </c>
      <c r="Q1229" s="3" t="s">
        <v>39</v>
      </c>
      <c r="R1229" s="3" t="s">
        <v>40</v>
      </c>
      <c r="S1229" s="55">
        <v>406.8</v>
      </c>
      <c r="T1229" s="55">
        <v>406.8</v>
      </c>
      <c r="U1229" s="55">
        <v>0</v>
      </c>
      <c r="V1229" s="55">
        <v>0</v>
      </c>
      <c r="W1229" s="3">
        <v>100</v>
      </c>
    </row>
    <row r="1230" spans="1:23" x14ac:dyDescent="0.35">
      <c r="A1230" s="3" t="s">
        <v>492</v>
      </c>
      <c r="B1230" s="3" t="s">
        <v>493</v>
      </c>
      <c r="C1230" s="3" t="s">
        <v>171</v>
      </c>
      <c r="D1230" s="3" t="s">
        <v>165</v>
      </c>
      <c r="E1230" s="3" t="s">
        <v>145</v>
      </c>
      <c r="F1230" s="3" t="s">
        <v>28</v>
      </c>
      <c r="G1230" s="3" t="s">
        <v>166</v>
      </c>
      <c r="H1230" s="3" t="s">
        <v>139</v>
      </c>
      <c r="I1230" s="3" t="s">
        <v>167</v>
      </c>
      <c r="J1230" s="3" t="s">
        <v>168</v>
      </c>
      <c r="K1230" s="3" t="s">
        <v>33</v>
      </c>
      <c r="L1230" s="3" t="s">
        <v>51</v>
      </c>
      <c r="M1230" s="3" t="s">
        <v>172</v>
      </c>
      <c r="N1230" s="3" t="s">
        <v>173</v>
      </c>
      <c r="O1230" s="3" t="s">
        <v>37</v>
      </c>
      <c r="P1230" s="3" t="s">
        <v>38</v>
      </c>
      <c r="Q1230" s="3" t="s">
        <v>39</v>
      </c>
      <c r="R1230" s="3" t="s">
        <v>40</v>
      </c>
      <c r="S1230" s="55">
        <v>152084.6</v>
      </c>
      <c r="T1230" s="55">
        <v>3824.1210999999998</v>
      </c>
      <c r="U1230" s="55">
        <v>315</v>
      </c>
      <c r="V1230" s="55">
        <v>148260.47889999999</v>
      </c>
      <c r="W1230" s="3">
        <v>3</v>
      </c>
    </row>
    <row r="1231" spans="1:23" x14ac:dyDescent="0.35">
      <c r="A1231" s="3" t="s">
        <v>492</v>
      </c>
      <c r="B1231" s="3" t="s">
        <v>493</v>
      </c>
      <c r="C1231" s="3" t="s">
        <v>562</v>
      </c>
      <c r="D1231" s="3" t="s">
        <v>165</v>
      </c>
      <c r="E1231" s="3" t="s">
        <v>145</v>
      </c>
      <c r="F1231" s="3" t="s">
        <v>28</v>
      </c>
      <c r="G1231" s="3" t="s">
        <v>166</v>
      </c>
      <c r="H1231" s="3" t="s">
        <v>139</v>
      </c>
      <c r="I1231" s="3" t="s">
        <v>167</v>
      </c>
      <c r="J1231" s="3" t="s">
        <v>168</v>
      </c>
      <c r="K1231" s="3" t="s">
        <v>33</v>
      </c>
      <c r="L1231" s="3" t="s">
        <v>51</v>
      </c>
      <c r="M1231" s="3" t="s">
        <v>172</v>
      </c>
      <c r="N1231" s="3" t="s">
        <v>173</v>
      </c>
      <c r="O1231" s="3" t="s">
        <v>125</v>
      </c>
      <c r="P1231" s="3" t="s">
        <v>126</v>
      </c>
      <c r="Q1231" s="3" t="s">
        <v>39</v>
      </c>
      <c r="R1231" s="3" t="s">
        <v>40</v>
      </c>
      <c r="S1231" s="55">
        <v>2086.8000000000002</v>
      </c>
      <c r="T1231" s="55">
        <v>2086.8000000000002</v>
      </c>
      <c r="U1231" s="55">
        <v>0</v>
      </c>
      <c r="V1231" s="55">
        <v>0</v>
      </c>
      <c r="W1231" s="3">
        <v>100</v>
      </c>
    </row>
    <row r="1232" spans="1:23" x14ac:dyDescent="0.35">
      <c r="A1232" s="3" t="s">
        <v>492</v>
      </c>
      <c r="B1232" s="3" t="s">
        <v>493</v>
      </c>
      <c r="C1232" s="3" t="s">
        <v>174</v>
      </c>
      <c r="D1232" s="3" t="s">
        <v>175</v>
      </c>
      <c r="E1232" s="3" t="s">
        <v>145</v>
      </c>
      <c r="F1232" s="3" t="s">
        <v>176</v>
      </c>
      <c r="G1232" s="3" t="s">
        <v>177</v>
      </c>
      <c r="H1232" s="3" t="s">
        <v>116</v>
      </c>
      <c r="I1232" s="3" t="s">
        <v>148</v>
      </c>
      <c r="J1232" s="3" t="s">
        <v>149</v>
      </c>
      <c r="K1232" s="3" t="s">
        <v>33</v>
      </c>
      <c r="L1232" s="3" t="s">
        <v>51</v>
      </c>
      <c r="M1232" s="3" t="s">
        <v>178</v>
      </c>
      <c r="N1232" s="3" t="s">
        <v>179</v>
      </c>
      <c r="O1232" s="3" t="s">
        <v>96</v>
      </c>
      <c r="P1232" s="3" t="s">
        <v>97</v>
      </c>
      <c r="Q1232" s="3" t="s">
        <v>39</v>
      </c>
      <c r="R1232" s="3" t="s">
        <v>40</v>
      </c>
      <c r="S1232" s="55">
        <v>482554.1</v>
      </c>
      <c r="T1232" s="55">
        <v>294249.17690000002</v>
      </c>
      <c r="U1232" s="55">
        <v>35762.327799999999</v>
      </c>
      <c r="V1232" s="55">
        <v>188304.92310000001</v>
      </c>
      <c r="W1232" s="3">
        <v>61</v>
      </c>
    </row>
    <row r="1233" spans="1:23" x14ac:dyDescent="0.35">
      <c r="A1233" s="3" t="s">
        <v>492</v>
      </c>
      <c r="B1233" s="3" t="s">
        <v>493</v>
      </c>
      <c r="C1233" s="3" t="s">
        <v>180</v>
      </c>
      <c r="D1233" s="3" t="s">
        <v>175</v>
      </c>
      <c r="E1233" s="3" t="s">
        <v>145</v>
      </c>
      <c r="F1233" s="3" t="s">
        <v>176</v>
      </c>
      <c r="G1233" s="3" t="s">
        <v>177</v>
      </c>
      <c r="H1233" s="3" t="s">
        <v>116</v>
      </c>
      <c r="I1233" s="3" t="s">
        <v>148</v>
      </c>
      <c r="J1233" s="3" t="s">
        <v>149</v>
      </c>
      <c r="K1233" s="3" t="s">
        <v>33</v>
      </c>
      <c r="L1233" s="3" t="s">
        <v>51</v>
      </c>
      <c r="M1233" s="3" t="s">
        <v>178</v>
      </c>
      <c r="N1233" s="3" t="s">
        <v>179</v>
      </c>
      <c r="O1233" s="3" t="s">
        <v>99</v>
      </c>
      <c r="P1233" s="3" t="s">
        <v>100</v>
      </c>
      <c r="Q1233" s="3" t="s">
        <v>39</v>
      </c>
      <c r="R1233" s="3" t="s">
        <v>40</v>
      </c>
      <c r="S1233" s="55">
        <v>144669.9</v>
      </c>
      <c r="T1233" s="55">
        <v>96102.296700000006</v>
      </c>
      <c r="U1233" s="55">
        <v>18774.9817</v>
      </c>
      <c r="V1233" s="55">
        <v>48567.603300000002</v>
      </c>
      <c r="W1233" s="3">
        <v>66</v>
      </c>
    </row>
    <row r="1234" spans="1:23" x14ac:dyDescent="0.35">
      <c r="A1234" s="3" t="s">
        <v>492</v>
      </c>
      <c r="B1234" s="3" t="s">
        <v>493</v>
      </c>
      <c r="C1234" s="3" t="s">
        <v>181</v>
      </c>
      <c r="D1234" s="3" t="s">
        <v>175</v>
      </c>
      <c r="E1234" s="3" t="s">
        <v>145</v>
      </c>
      <c r="F1234" s="3" t="s">
        <v>176</v>
      </c>
      <c r="G1234" s="3" t="s">
        <v>177</v>
      </c>
      <c r="H1234" s="3" t="s">
        <v>116</v>
      </c>
      <c r="I1234" s="3" t="s">
        <v>148</v>
      </c>
      <c r="J1234" s="3" t="s">
        <v>149</v>
      </c>
      <c r="K1234" s="3" t="s">
        <v>33</v>
      </c>
      <c r="L1234" s="3" t="s">
        <v>51</v>
      </c>
      <c r="M1234" s="3" t="s">
        <v>178</v>
      </c>
      <c r="N1234" s="3" t="s">
        <v>179</v>
      </c>
      <c r="O1234" s="3" t="s">
        <v>37</v>
      </c>
      <c r="P1234" s="3" t="s">
        <v>38</v>
      </c>
      <c r="Q1234" s="3" t="s">
        <v>39</v>
      </c>
      <c r="R1234" s="3" t="s">
        <v>40</v>
      </c>
      <c r="S1234" s="55">
        <v>106091.5</v>
      </c>
      <c r="T1234" s="55">
        <v>45317.600899999998</v>
      </c>
      <c r="U1234" s="55">
        <v>5939.4423999999999</v>
      </c>
      <c r="V1234" s="55">
        <v>60773.899100000002</v>
      </c>
      <c r="W1234" s="3">
        <v>43</v>
      </c>
    </row>
    <row r="1235" spans="1:23" x14ac:dyDescent="0.35">
      <c r="A1235" s="3" t="s">
        <v>492</v>
      </c>
      <c r="B1235" s="3" t="s">
        <v>493</v>
      </c>
      <c r="C1235" s="3" t="s">
        <v>182</v>
      </c>
      <c r="D1235" s="3" t="s">
        <v>175</v>
      </c>
      <c r="E1235" s="3" t="s">
        <v>145</v>
      </c>
      <c r="F1235" s="3" t="s">
        <v>176</v>
      </c>
      <c r="G1235" s="3" t="s">
        <v>177</v>
      </c>
      <c r="H1235" s="3" t="s">
        <v>116</v>
      </c>
      <c r="I1235" s="3" t="s">
        <v>148</v>
      </c>
      <c r="J1235" s="3" t="s">
        <v>149</v>
      </c>
      <c r="K1235" s="3" t="s">
        <v>33</v>
      </c>
      <c r="L1235" s="3" t="s">
        <v>51</v>
      </c>
      <c r="M1235" s="3" t="s">
        <v>178</v>
      </c>
      <c r="N1235" s="3" t="s">
        <v>179</v>
      </c>
      <c r="O1235" s="3" t="s">
        <v>42</v>
      </c>
      <c r="P1235" s="3" t="s">
        <v>43</v>
      </c>
      <c r="Q1235" s="3" t="s">
        <v>39</v>
      </c>
      <c r="R1235" s="3" t="s">
        <v>40</v>
      </c>
      <c r="S1235" s="55">
        <v>5728.8</v>
      </c>
      <c r="T1235" s="55">
        <v>1750.4711</v>
      </c>
      <c r="U1235" s="55">
        <v>174.24940000000001</v>
      </c>
      <c r="V1235" s="55">
        <v>3978.3289</v>
      </c>
      <c r="W1235" s="3">
        <v>31</v>
      </c>
    </row>
    <row r="1236" spans="1:23" x14ac:dyDescent="0.35">
      <c r="A1236" s="3" t="s">
        <v>492</v>
      </c>
      <c r="B1236" s="3" t="s">
        <v>493</v>
      </c>
      <c r="C1236" s="3" t="s">
        <v>486</v>
      </c>
      <c r="D1236" s="3" t="s">
        <v>175</v>
      </c>
      <c r="E1236" s="3" t="s">
        <v>145</v>
      </c>
      <c r="F1236" s="3" t="s">
        <v>176</v>
      </c>
      <c r="G1236" s="3" t="s">
        <v>177</v>
      </c>
      <c r="H1236" s="3" t="s">
        <v>116</v>
      </c>
      <c r="I1236" s="3" t="s">
        <v>148</v>
      </c>
      <c r="J1236" s="3" t="s">
        <v>149</v>
      </c>
      <c r="K1236" s="3" t="s">
        <v>33</v>
      </c>
      <c r="L1236" s="3" t="s">
        <v>51</v>
      </c>
      <c r="M1236" s="3" t="s">
        <v>178</v>
      </c>
      <c r="N1236" s="3" t="s">
        <v>179</v>
      </c>
      <c r="O1236" s="3" t="s">
        <v>91</v>
      </c>
      <c r="P1236" s="3" t="s">
        <v>92</v>
      </c>
      <c r="Q1236" s="3" t="s">
        <v>39</v>
      </c>
      <c r="R1236" s="3" t="s">
        <v>40</v>
      </c>
      <c r="S1236" s="55">
        <v>284.7</v>
      </c>
      <c r="T1236" s="55">
        <v>280.87279999999998</v>
      </c>
      <c r="U1236" s="55">
        <v>0</v>
      </c>
      <c r="V1236" s="55">
        <v>3.8271999999999999</v>
      </c>
      <c r="W1236" s="3">
        <v>99</v>
      </c>
    </row>
    <row r="1237" spans="1:23" x14ac:dyDescent="0.35">
      <c r="A1237" s="3" t="s">
        <v>492</v>
      </c>
      <c r="B1237" s="3" t="s">
        <v>493</v>
      </c>
      <c r="C1237" s="3" t="s">
        <v>183</v>
      </c>
      <c r="D1237" s="3" t="s">
        <v>175</v>
      </c>
      <c r="E1237" s="3" t="s">
        <v>145</v>
      </c>
      <c r="F1237" s="3" t="s">
        <v>176</v>
      </c>
      <c r="G1237" s="3" t="s">
        <v>177</v>
      </c>
      <c r="H1237" s="3" t="s">
        <v>116</v>
      </c>
      <c r="I1237" s="3" t="s">
        <v>148</v>
      </c>
      <c r="J1237" s="3" t="s">
        <v>149</v>
      </c>
      <c r="K1237" s="3" t="s">
        <v>33</v>
      </c>
      <c r="L1237" s="3" t="s">
        <v>51</v>
      </c>
      <c r="M1237" s="3" t="s">
        <v>178</v>
      </c>
      <c r="N1237" s="3" t="s">
        <v>179</v>
      </c>
      <c r="O1237" s="3" t="s">
        <v>122</v>
      </c>
      <c r="P1237" s="3" t="s">
        <v>123</v>
      </c>
      <c r="Q1237" s="3" t="s">
        <v>39</v>
      </c>
      <c r="R1237" s="3" t="s">
        <v>40</v>
      </c>
      <c r="S1237" s="55">
        <v>1454.5</v>
      </c>
      <c r="T1237" s="55">
        <v>91.74</v>
      </c>
      <c r="U1237" s="55">
        <v>0</v>
      </c>
      <c r="V1237" s="55">
        <v>1362.76</v>
      </c>
      <c r="W1237" s="3">
        <v>6</v>
      </c>
    </row>
    <row r="1238" spans="1:23" x14ac:dyDescent="0.35">
      <c r="A1238" s="3" t="s">
        <v>492</v>
      </c>
      <c r="B1238" s="3" t="s">
        <v>493</v>
      </c>
      <c r="C1238" s="3" t="s">
        <v>184</v>
      </c>
      <c r="D1238" s="3" t="s">
        <v>175</v>
      </c>
      <c r="E1238" s="3" t="s">
        <v>145</v>
      </c>
      <c r="F1238" s="3" t="s">
        <v>176</v>
      </c>
      <c r="G1238" s="3" t="s">
        <v>177</v>
      </c>
      <c r="H1238" s="3" t="s">
        <v>116</v>
      </c>
      <c r="I1238" s="3" t="s">
        <v>148</v>
      </c>
      <c r="J1238" s="3" t="s">
        <v>149</v>
      </c>
      <c r="K1238" s="3" t="s">
        <v>33</v>
      </c>
      <c r="L1238" s="3" t="s">
        <v>51</v>
      </c>
      <c r="M1238" s="3" t="s">
        <v>178</v>
      </c>
      <c r="N1238" s="3" t="s">
        <v>179</v>
      </c>
      <c r="O1238" s="3" t="s">
        <v>103</v>
      </c>
      <c r="P1238" s="3" t="s">
        <v>104</v>
      </c>
      <c r="Q1238" s="3" t="s">
        <v>39</v>
      </c>
      <c r="R1238" s="3" t="s">
        <v>40</v>
      </c>
      <c r="S1238" s="55">
        <v>675.8</v>
      </c>
      <c r="T1238" s="55">
        <v>433.1327</v>
      </c>
      <c r="U1238" s="55">
        <v>111.351</v>
      </c>
      <c r="V1238" s="55">
        <v>242.66730000000001</v>
      </c>
      <c r="W1238" s="3">
        <v>64</v>
      </c>
    </row>
    <row r="1239" spans="1:23" x14ac:dyDescent="0.35">
      <c r="A1239" s="3" t="s">
        <v>492</v>
      </c>
      <c r="B1239" s="3" t="s">
        <v>493</v>
      </c>
      <c r="C1239" s="3" t="s">
        <v>563</v>
      </c>
      <c r="D1239" s="3" t="s">
        <v>175</v>
      </c>
      <c r="E1239" s="3" t="s">
        <v>145</v>
      </c>
      <c r="F1239" s="3" t="s">
        <v>176</v>
      </c>
      <c r="G1239" s="3" t="s">
        <v>177</v>
      </c>
      <c r="H1239" s="3" t="s">
        <v>116</v>
      </c>
      <c r="I1239" s="3" t="s">
        <v>148</v>
      </c>
      <c r="J1239" s="3" t="s">
        <v>149</v>
      </c>
      <c r="K1239" s="3" t="s">
        <v>33</v>
      </c>
      <c r="L1239" s="3" t="s">
        <v>51</v>
      </c>
      <c r="M1239" s="3" t="s">
        <v>178</v>
      </c>
      <c r="N1239" s="3" t="s">
        <v>179</v>
      </c>
      <c r="O1239" s="3" t="s">
        <v>125</v>
      </c>
      <c r="P1239" s="3" t="s">
        <v>126</v>
      </c>
      <c r="Q1239" s="3" t="s">
        <v>39</v>
      </c>
      <c r="R1239" s="3" t="s">
        <v>40</v>
      </c>
      <c r="S1239" s="55">
        <v>185</v>
      </c>
      <c r="T1239" s="55">
        <v>185</v>
      </c>
      <c r="U1239" s="55">
        <v>0</v>
      </c>
      <c r="V1239" s="55">
        <v>0</v>
      </c>
      <c r="W1239" s="3">
        <v>100</v>
      </c>
    </row>
    <row r="1240" spans="1:23" x14ac:dyDescent="0.35">
      <c r="A1240" s="3" t="s">
        <v>492</v>
      </c>
      <c r="B1240" s="3" t="s">
        <v>493</v>
      </c>
      <c r="C1240" s="3" t="s">
        <v>473</v>
      </c>
      <c r="D1240" s="3" t="s">
        <v>175</v>
      </c>
      <c r="E1240" s="3" t="s">
        <v>145</v>
      </c>
      <c r="F1240" s="3" t="s">
        <v>176</v>
      </c>
      <c r="G1240" s="3" t="s">
        <v>177</v>
      </c>
      <c r="H1240" s="3" t="s">
        <v>116</v>
      </c>
      <c r="I1240" s="3" t="s">
        <v>148</v>
      </c>
      <c r="J1240" s="3" t="s">
        <v>149</v>
      </c>
      <c r="K1240" s="3" t="s">
        <v>33</v>
      </c>
      <c r="L1240" s="3" t="s">
        <v>51</v>
      </c>
      <c r="M1240" s="3" t="s">
        <v>474</v>
      </c>
      <c r="N1240" s="3" t="s">
        <v>475</v>
      </c>
      <c r="O1240" s="3" t="s">
        <v>37</v>
      </c>
      <c r="P1240" s="3" t="s">
        <v>38</v>
      </c>
      <c r="Q1240" s="3" t="s">
        <v>39</v>
      </c>
      <c r="R1240" s="3" t="s">
        <v>40</v>
      </c>
      <c r="S1240" s="55">
        <v>3157.5</v>
      </c>
      <c r="T1240" s="55">
        <v>0</v>
      </c>
      <c r="U1240" s="55">
        <v>0</v>
      </c>
      <c r="V1240" s="55">
        <v>3157.5</v>
      </c>
      <c r="W1240" s="3">
        <v>0</v>
      </c>
    </row>
    <row r="1241" spans="1:23" x14ac:dyDescent="0.35">
      <c r="A1241" s="3" t="s">
        <v>492</v>
      </c>
      <c r="B1241" s="3" t="s">
        <v>493</v>
      </c>
      <c r="C1241" s="3" t="s">
        <v>185</v>
      </c>
      <c r="D1241" s="3" t="s">
        <v>186</v>
      </c>
      <c r="E1241" s="3" t="s">
        <v>187</v>
      </c>
      <c r="F1241" s="3" t="s">
        <v>146</v>
      </c>
      <c r="G1241" s="3" t="s">
        <v>188</v>
      </c>
      <c r="H1241" s="3" t="s">
        <v>189</v>
      </c>
      <c r="I1241" s="3" t="s">
        <v>190</v>
      </c>
      <c r="J1241" s="3" t="s">
        <v>191</v>
      </c>
      <c r="K1241" s="3" t="s">
        <v>33</v>
      </c>
      <c r="L1241" s="3" t="s">
        <v>51</v>
      </c>
      <c r="M1241" s="3" t="s">
        <v>192</v>
      </c>
      <c r="N1241" s="3" t="s">
        <v>193</v>
      </c>
      <c r="O1241" s="3" t="s">
        <v>108</v>
      </c>
      <c r="P1241" s="3" t="s">
        <v>109</v>
      </c>
      <c r="Q1241" s="3" t="s">
        <v>39</v>
      </c>
      <c r="R1241" s="3" t="s">
        <v>40</v>
      </c>
      <c r="S1241" s="55">
        <v>4988386</v>
      </c>
      <c r="T1241" s="55">
        <v>3157318.4163000002</v>
      </c>
      <c r="U1241" s="55">
        <v>305410.79350000003</v>
      </c>
      <c r="V1241" s="55">
        <v>1831067.5837000001</v>
      </c>
      <c r="W1241" s="3">
        <v>63</v>
      </c>
    </row>
    <row r="1242" spans="1:23" x14ac:dyDescent="0.35">
      <c r="A1242" s="3" t="s">
        <v>492</v>
      </c>
      <c r="B1242" s="3" t="s">
        <v>493</v>
      </c>
      <c r="C1242" s="3" t="s">
        <v>508</v>
      </c>
      <c r="D1242" s="3" t="s">
        <v>186</v>
      </c>
      <c r="E1242" s="3" t="s">
        <v>187</v>
      </c>
      <c r="F1242" s="3" t="s">
        <v>146</v>
      </c>
      <c r="G1242" s="3" t="s">
        <v>188</v>
      </c>
      <c r="H1242" s="3" t="s">
        <v>189</v>
      </c>
      <c r="I1242" s="3" t="s">
        <v>190</v>
      </c>
      <c r="J1242" s="3" t="s">
        <v>191</v>
      </c>
      <c r="K1242" s="3" t="s">
        <v>33</v>
      </c>
      <c r="L1242" s="3" t="s">
        <v>51</v>
      </c>
      <c r="M1242" s="3" t="s">
        <v>227</v>
      </c>
      <c r="N1242" s="3" t="s">
        <v>228</v>
      </c>
      <c r="O1242" s="3" t="s">
        <v>197</v>
      </c>
      <c r="P1242" s="3" t="s">
        <v>198</v>
      </c>
      <c r="Q1242" s="3" t="s">
        <v>39</v>
      </c>
      <c r="R1242" s="3" t="s">
        <v>40</v>
      </c>
      <c r="S1242" s="55">
        <v>29473.1</v>
      </c>
      <c r="T1242" s="55">
        <v>32.4</v>
      </c>
      <c r="U1242" s="55">
        <v>0</v>
      </c>
      <c r="V1242" s="55">
        <v>29440.7</v>
      </c>
      <c r="W1242" s="3">
        <v>0</v>
      </c>
    </row>
    <row r="1243" spans="1:23" x14ac:dyDescent="0.35">
      <c r="A1243" s="3" t="s">
        <v>492</v>
      </c>
      <c r="B1243" s="3" t="s">
        <v>493</v>
      </c>
      <c r="C1243" s="3" t="s">
        <v>194</v>
      </c>
      <c r="D1243" s="3" t="s">
        <v>186</v>
      </c>
      <c r="E1243" s="3" t="s">
        <v>187</v>
      </c>
      <c r="F1243" s="3" t="s">
        <v>146</v>
      </c>
      <c r="G1243" s="3" t="s">
        <v>188</v>
      </c>
      <c r="H1243" s="3" t="s">
        <v>189</v>
      </c>
      <c r="I1243" s="3" t="s">
        <v>190</v>
      </c>
      <c r="J1243" s="3" t="s">
        <v>191</v>
      </c>
      <c r="K1243" s="3" t="s">
        <v>33</v>
      </c>
      <c r="L1243" s="3" t="s">
        <v>51</v>
      </c>
      <c r="M1243" s="3" t="s">
        <v>195</v>
      </c>
      <c r="N1243" s="3" t="s">
        <v>509</v>
      </c>
      <c r="O1243" s="3" t="s">
        <v>197</v>
      </c>
      <c r="P1243" s="3" t="s">
        <v>198</v>
      </c>
      <c r="Q1243" s="3" t="s">
        <v>39</v>
      </c>
      <c r="R1243" s="3" t="s">
        <v>40</v>
      </c>
      <c r="S1243" s="55">
        <v>32937.4</v>
      </c>
      <c r="T1243" s="55">
        <v>25302.251199999999</v>
      </c>
      <c r="U1243" s="55">
        <v>5854.6347999999998</v>
      </c>
      <c r="V1243" s="55">
        <v>7635.1487999999999</v>
      </c>
      <c r="W1243" s="3">
        <v>77</v>
      </c>
    </row>
    <row r="1244" spans="1:23" x14ac:dyDescent="0.35">
      <c r="A1244" s="3" t="s">
        <v>492</v>
      </c>
      <c r="B1244" s="3" t="s">
        <v>493</v>
      </c>
      <c r="C1244" s="3" t="s">
        <v>510</v>
      </c>
      <c r="D1244" s="3" t="s">
        <v>200</v>
      </c>
      <c r="E1244" s="3" t="s">
        <v>187</v>
      </c>
      <c r="F1244" s="3" t="s">
        <v>189</v>
      </c>
      <c r="G1244" s="3" t="s">
        <v>201</v>
      </c>
      <c r="H1244" s="3" t="s">
        <v>189</v>
      </c>
      <c r="I1244" s="3" t="s">
        <v>190</v>
      </c>
      <c r="J1244" s="3" t="s">
        <v>202</v>
      </c>
      <c r="K1244" s="3" t="s">
        <v>23</v>
      </c>
      <c r="L1244" s="3" t="s">
        <v>203</v>
      </c>
      <c r="M1244" s="3" t="s">
        <v>511</v>
      </c>
      <c r="N1244" s="3" t="s">
        <v>205</v>
      </c>
      <c r="O1244" s="3" t="s">
        <v>197</v>
      </c>
      <c r="P1244" s="3" t="s">
        <v>198</v>
      </c>
      <c r="Q1244" s="3" t="s">
        <v>39</v>
      </c>
      <c r="R1244" s="3" t="s">
        <v>40</v>
      </c>
      <c r="S1244" s="55">
        <v>21148</v>
      </c>
      <c r="T1244" s="55">
        <v>14098.5764</v>
      </c>
      <c r="U1244" s="55">
        <v>0</v>
      </c>
      <c r="V1244" s="55">
        <v>7049.4236000000001</v>
      </c>
      <c r="W1244" s="3">
        <v>67</v>
      </c>
    </row>
    <row r="1245" spans="1:23" x14ac:dyDescent="0.35">
      <c r="A1245" s="3" t="s">
        <v>492</v>
      </c>
      <c r="B1245" s="3" t="s">
        <v>493</v>
      </c>
      <c r="C1245" s="3" t="s">
        <v>512</v>
      </c>
      <c r="D1245" s="3" t="s">
        <v>200</v>
      </c>
      <c r="E1245" s="3" t="s">
        <v>187</v>
      </c>
      <c r="F1245" s="3" t="s">
        <v>189</v>
      </c>
      <c r="G1245" s="3" t="s">
        <v>201</v>
      </c>
      <c r="H1245" s="3" t="s">
        <v>189</v>
      </c>
      <c r="I1245" s="3" t="s">
        <v>190</v>
      </c>
      <c r="J1245" s="3" t="s">
        <v>202</v>
      </c>
      <c r="K1245" s="3" t="s">
        <v>23</v>
      </c>
      <c r="L1245" s="3" t="s">
        <v>203</v>
      </c>
      <c r="M1245" s="3" t="s">
        <v>513</v>
      </c>
      <c r="N1245" s="3" t="s">
        <v>514</v>
      </c>
      <c r="O1245" s="3" t="s">
        <v>197</v>
      </c>
      <c r="P1245" s="3" t="s">
        <v>198</v>
      </c>
      <c r="Q1245" s="3" t="s">
        <v>39</v>
      </c>
      <c r="R1245" s="3" t="s">
        <v>40</v>
      </c>
      <c r="S1245" s="55">
        <v>1977.2</v>
      </c>
      <c r="T1245" s="55">
        <v>1975.2195999999999</v>
      </c>
      <c r="U1245" s="55">
        <v>155.85130000000001</v>
      </c>
      <c r="V1245" s="55">
        <v>1.9803999999999999</v>
      </c>
      <c r="W1245" s="3">
        <v>100</v>
      </c>
    </row>
    <row r="1246" spans="1:23" x14ac:dyDescent="0.35">
      <c r="A1246" s="3" t="s">
        <v>492</v>
      </c>
      <c r="B1246" s="3" t="s">
        <v>493</v>
      </c>
      <c r="C1246" s="3" t="s">
        <v>209</v>
      </c>
      <c r="D1246" s="3" t="s">
        <v>200</v>
      </c>
      <c r="E1246" s="3" t="s">
        <v>187</v>
      </c>
      <c r="F1246" s="3" t="s">
        <v>189</v>
      </c>
      <c r="G1246" s="3" t="s">
        <v>201</v>
      </c>
      <c r="H1246" s="3" t="s">
        <v>189</v>
      </c>
      <c r="I1246" s="3" t="s">
        <v>190</v>
      </c>
      <c r="J1246" s="3" t="s">
        <v>191</v>
      </c>
      <c r="K1246" s="3" t="s">
        <v>33</v>
      </c>
      <c r="L1246" s="3" t="s">
        <v>51</v>
      </c>
      <c r="M1246" s="3" t="s">
        <v>210</v>
      </c>
      <c r="N1246" s="3" t="s">
        <v>211</v>
      </c>
      <c r="O1246" s="3" t="s">
        <v>108</v>
      </c>
      <c r="P1246" s="3" t="s">
        <v>109</v>
      </c>
      <c r="Q1246" s="3" t="s">
        <v>39</v>
      </c>
      <c r="R1246" s="3" t="s">
        <v>40</v>
      </c>
      <c r="S1246" s="55">
        <v>4853107.2</v>
      </c>
      <c r="T1246" s="55">
        <v>3183503.9523</v>
      </c>
      <c r="U1246" s="55">
        <v>143305.80420000001</v>
      </c>
      <c r="V1246" s="55">
        <v>1669603.2476999999</v>
      </c>
      <c r="W1246" s="3">
        <v>66</v>
      </c>
    </row>
    <row r="1247" spans="1:23" x14ac:dyDescent="0.35">
      <c r="A1247" s="3" t="s">
        <v>492</v>
      </c>
      <c r="B1247" s="3" t="s">
        <v>493</v>
      </c>
      <c r="C1247" s="3" t="s">
        <v>212</v>
      </c>
      <c r="D1247" s="3" t="s">
        <v>200</v>
      </c>
      <c r="E1247" s="3" t="s">
        <v>187</v>
      </c>
      <c r="F1247" s="3" t="s">
        <v>189</v>
      </c>
      <c r="G1247" s="3" t="s">
        <v>201</v>
      </c>
      <c r="H1247" s="3" t="s">
        <v>189</v>
      </c>
      <c r="I1247" s="3" t="s">
        <v>190</v>
      </c>
      <c r="J1247" s="3" t="s">
        <v>191</v>
      </c>
      <c r="K1247" s="3" t="s">
        <v>33</v>
      </c>
      <c r="L1247" s="3" t="s">
        <v>51</v>
      </c>
      <c r="M1247" s="3" t="s">
        <v>213</v>
      </c>
      <c r="N1247" s="3" t="s">
        <v>214</v>
      </c>
      <c r="O1247" s="3" t="s">
        <v>108</v>
      </c>
      <c r="P1247" s="3" t="s">
        <v>109</v>
      </c>
      <c r="Q1247" s="3" t="s">
        <v>39</v>
      </c>
      <c r="R1247" s="3" t="s">
        <v>40</v>
      </c>
      <c r="S1247" s="55">
        <v>168859</v>
      </c>
      <c r="T1247" s="55">
        <v>98283.616099999999</v>
      </c>
      <c r="U1247" s="55">
        <v>3872.4396999999999</v>
      </c>
      <c r="V1247" s="55">
        <v>70575.383900000001</v>
      </c>
      <c r="W1247" s="3">
        <v>58</v>
      </c>
    </row>
    <row r="1248" spans="1:23" x14ac:dyDescent="0.35">
      <c r="A1248" s="3" t="s">
        <v>492</v>
      </c>
      <c r="B1248" s="3" t="s">
        <v>493</v>
      </c>
      <c r="C1248" s="3" t="s">
        <v>215</v>
      </c>
      <c r="D1248" s="3" t="s">
        <v>200</v>
      </c>
      <c r="E1248" s="3" t="s">
        <v>187</v>
      </c>
      <c r="F1248" s="3" t="s">
        <v>189</v>
      </c>
      <c r="G1248" s="3" t="s">
        <v>201</v>
      </c>
      <c r="H1248" s="3" t="s">
        <v>189</v>
      </c>
      <c r="I1248" s="3" t="s">
        <v>190</v>
      </c>
      <c r="J1248" s="3" t="s">
        <v>191</v>
      </c>
      <c r="K1248" s="3" t="s">
        <v>33</v>
      </c>
      <c r="L1248" s="3" t="s">
        <v>51</v>
      </c>
      <c r="M1248" s="3" t="s">
        <v>216</v>
      </c>
      <c r="N1248" s="3" t="s">
        <v>217</v>
      </c>
      <c r="O1248" s="3" t="s">
        <v>108</v>
      </c>
      <c r="P1248" s="3" t="s">
        <v>109</v>
      </c>
      <c r="Q1248" s="3" t="s">
        <v>39</v>
      </c>
      <c r="R1248" s="3" t="s">
        <v>40</v>
      </c>
      <c r="S1248" s="55">
        <v>81930.899999999994</v>
      </c>
      <c r="T1248" s="55">
        <v>52664.364300000001</v>
      </c>
      <c r="U1248" s="55">
        <v>3275.2865999999999</v>
      </c>
      <c r="V1248" s="55">
        <v>29266.5357</v>
      </c>
      <c r="W1248" s="3">
        <v>64</v>
      </c>
    </row>
    <row r="1249" spans="1:23" x14ac:dyDescent="0.35">
      <c r="A1249" s="3" t="s">
        <v>492</v>
      </c>
      <c r="B1249" s="3" t="s">
        <v>493</v>
      </c>
      <c r="C1249" s="3" t="s">
        <v>476</v>
      </c>
      <c r="D1249" s="3" t="s">
        <v>200</v>
      </c>
      <c r="E1249" s="3" t="s">
        <v>187</v>
      </c>
      <c r="F1249" s="3" t="s">
        <v>189</v>
      </c>
      <c r="G1249" s="3" t="s">
        <v>201</v>
      </c>
      <c r="H1249" s="3" t="s">
        <v>189</v>
      </c>
      <c r="I1249" s="3" t="s">
        <v>190</v>
      </c>
      <c r="J1249" s="3" t="s">
        <v>191</v>
      </c>
      <c r="K1249" s="3" t="s">
        <v>33</v>
      </c>
      <c r="L1249" s="3" t="s">
        <v>51</v>
      </c>
      <c r="M1249" s="3" t="s">
        <v>219</v>
      </c>
      <c r="N1249" s="3" t="s">
        <v>220</v>
      </c>
      <c r="O1249" s="3" t="s">
        <v>477</v>
      </c>
      <c r="P1249" s="3" t="s">
        <v>478</v>
      </c>
      <c r="Q1249" s="3" t="s">
        <v>39</v>
      </c>
      <c r="R1249" s="3" t="s">
        <v>40</v>
      </c>
      <c r="S1249" s="55">
        <v>1102.9000000000001</v>
      </c>
      <c r="T1249" s="55">
        <v>827.17499999999995</v>
      </c>
      <c r="U1249" s="55">
        <v>827.17499999999995</v>
      </c>
      <c r="V1249" s="55">
        <v>275.72500000000002</v>
      </c>
      <c r="W1249" s="3">
        <v>75</v>
      </c>
    </row>
    <row r="1250" spans="1:23" x14ac:dyDescent="0.35">
      <c r="A1250" s="3" t="s">
        <v>492</v>
      </c>
      <c r="B1250" s="3" t="s">
        <v>493</v>
      </c>
      <c r="C1250" s="3" t="s">
        <v>223</v>
      </c>
      <c r="D1250" s="3" t="s">
        <v>200</v>
      </c>
      <c r="E1250" s="3" t="s">
        <v>187</v>
      </c>
      <c r="F1250" s="3" t="s">
        <v>189</v>
      </c>
      <c r="G1250" s="3" t="s">
        <v>201</v>
      </c>
      <c r="H1250" s="3" t="s">
        <v>189</v>
      </c>
      <c r="I1250" s="3" t="s">
        <v>190</v>
      </c>
      <c r="J1250" s="3" t="s">
        <v>191</v>
      </c>
      <c r="K1250" s="3" t="s">
        <v>33</v>
      </c>
      <c r="L1250" s="3" t="s">
        <v>51</v>
      </c>
      <c r="M1250" s="3" t="s">
        <v>224</v>
      </c>
      <c r="N1250" s="3" t="s">
        <v>564</v>
      </c>
      <c r="O1250" s="3" t="s">
        <v>197</v>
      </c>
      <c r="P1250" s="3" t="s">
        <v>198</v>
      </c>
      <c r="Q1250" s="3" t="s">
        <v>39</v>
      </c>
      <c r="R1250" s="3" t="s">
        <v>40</v>
      </c>
      <c r="S1250" s="55">
        <v>107676.4</v>
      </c>
      <c r="T1250" s="55">
        <v>55695.533300000003</v>
      </c>
      <c r="U1250" s="55">
        <v>3384.1693</v>
      </c>
      <c r="V1250" s="55">
        <v>51980.866699999999</v>
      </c>
      <c r="W1250" s="3">
        <v>52</v>
      </c>
    </row>
    <row r="1251" spans="1:23" x14ac:dyDescent="0.35">
      <c r="A1251" s="3" t="s">
        <v>492</v>
      </c>
      <c r="B1251" s="3" t="s">
        <v>493</v>
      </c>
      <c r="C1251" s="3" t="s">
        <v>432</v>
      </c>
      <c r="D1251" s="3" t="s">
        <v>200</v>
      </c>
      <c r="E1251" s="3" t="s">
        <v>187</v>
      </c>
      <c r="F1251" s="3" t="s">
        <v>189</v>
      </c>
      <c r="G1251" s="3" t="s">
        <v>201</v>
      </c>
      <c r="H1251" s="3" t="s">
        <v>189</v>
      </c>
      <c r="I1251" s="3" t="s">
        <v>190</v>
      </c>
      <c r="J1251" s="3" t="s">
        <v>191</v>
      </c>
      <c r="K1251" s="3" t="s">
        <v>33</v>
      </c>
      <c r="L1251" s="3" t="s">
        <v>51</v>
      </c>
      <c r="M1251" s="3" t="s">
        <v>427</v>
      </c>
      <c r="N1251" s="3" t="s">
        <v>565</v>
      </c>
      <c r="O1251" s="3" t="s">
        <v>197</v>
      </c>
      <c r="P1251" s="3" t="s">
        <v>198</v>
      </c>
      <c r="Q1251" s="3" t="s">
        <v>39</v>
      </c>
      <c r="R1251" s="3" t="s">
        <v>40</v>
      </c>
      <c r="S1251" s="55">
        <v>20000</v>
      </c>
      <c r="T1251" s="55">
        <v>19921.684000000001</v>
      </c>
      <c r="U1251" s="55">
        <v>0</v>
      </c>
      <c r="V1251" s="55">
        <v>78.316000000000003</v>
      </c>
      <c r="W1251" s="3">
        <v>100</v>
      </c>
    </row>
    <row r="1252" spans="1:23" x14ac:dyDescent="0.35">
      <c r="A1252" s="3" t="s">
        <v>492</v>
      </c>
      <c r="B1252" s="3" t="s">
        <v>493</v>
      </c>
      <c r="C1252" s="3" t="s">
        <v>515</v>
      </c>
      <c r="D1252" s="3" t="s">
        <v>200</v>
      </c>
      <c r="E1252" s="3" t="s">
        <v>187</v>
      </c>
      <c r="F1252" s="3" t="s">
        <v>189</v>
      </c>
      <c r="G1252" s="3" t="s">
        <v>201</v>
      </c>
      <c r="H1252" s="3" t="s">
        <v>189</v>
      </c>
      <c r="I1252" s="3" t="s">
        <v>190</v>
      </c>
      <c r="J1252" s="3" t="s">
        <v>191</v>
      </c>
      <c r="K1252" s="3" t="s">
        <v>33</v>
      </c>
      <c r="L1252" s="3" t="s">
        <v>51</v>
      </c>
      <c r="M1252" s="3" t="s">
        <v>516</v>
      </c>
      <c r="N1252" s="3" t="s">
        <v>517</v>
      </c>
      <c r="O1252" s="3" t="s">
        <v>197</v>
      </c>
      <c r="P1252" s="3" t="s">
        <v>198</v>
      </c>
      <c r="Q1252" s="3" t="s">
        <v>39</v>
      </c>
      <c r="R1252" s="3" t="s">
        <v>40</v>
      </c>
      <c r="S1252" s="55">
        <v>8490.7000000000007</v>
      </c>
      <c r="T1252" s="55">
        <v>0</v>
      </c>
      <c r="U1252" s="55">
        <v>0</v>
      </c>
      <c r="V1252" s="55">
        <v>8490.7000000000007</v>
      </c>
      <c r="W1252" s="3">
        <v>0</v>
      </c>
    </row>
    <row r="1253" spans="1:23" x14ac:dyDescent="0.35">
      <c r="A1253" s="3" t="s">
        <v>492</v>
      </c>
      <c r="B1253" s="3" t="s">
        <v>493</v>
      </c>
      <c r="C1253" s="3" t="s">
        <v>226</v>
      </c>
      <c r="D1253" s="3" t="s">
        <v>200</v>
      </c>
      <c r="E1253" s="3" t="s">
        <v>187</v>
      </c>
      <c r="F1253" s="3" t="s">
        <v>189</v>
      </c>
      <c r="G1253" s="3" t="s">
        <v>201</v>
      </c>
      <c r="H1253" s="3" t="s">
        <v>189</v>
      </c>
      <c r="I1253" s="3" t="s">
        <v>190</v>
      </c>
      <c r="J1253" s="3" t="s">
        <v>191</v>
      </c>
      <c r="K1253" s="3" t="s">
        <v>33</v>
      </c>
      <c r="L1253" s="3" t="s">
        <v>51</v>
      </c>
      <c r="M1253" s="3" t="s">
        <v>227</v>
      </c>
      <c r="N1253" s="3" t="s">
        <v>228</v>
      </c>
      <c r="O1253" s="3" t="s">
        <v>197</v>
      </c>
      <c r="P1253" s="3" t="s">
        <v>198</v>
      </c>
      <c r="Q1253" s="3" t="s">
        <v>39</v>
      </c>
      <c r="R1253" s="3" t="s">
        <v>40</v>
      </c>
      <c r="S1253" s="55">
        <v>127820.2</v>
      </c>
      <c r="T1253" s="55">
        <v>10415.0447</v>
      </c>
      <c r="U1253" s="55">
        <v>5751.9318999999996</v>
      </c>
      <c r="V1253" s="55">
        <v>117405.1553</v>
      </c>
      <c r="W1253" s="3">
        <v>8</v>
      </c>
    </row>
    <row r="1254" spans="1:23" x14ac:dyDescent="0.35">
      <c r="A1254" s="3" t="s">
        <v>492</v>
      </c>
      <c r="B1254" s="3" t="s">
        <v>493</v>
      </c>
      <c r="C1254" s="3" t="s">
        <v>229</v>
      </c>
      <c r="D1254" s="3" t="s">
        <v>200</v>
      </c>
      <c r="E1254" s="3" t="s">
        <v>187</v>
      </c>
      <c r="F1254" s="3" t="s">
        <v>189</v>
      </c>
      <c r="G1254" s="3" t="s">
        <v>201</v>
      </c>
      <c r="H1254" s="3" t="s">
        <v>189</v>
      </c>
      <c r="I1254" s="3" t="s">
        <v>190</v>
      </c>
      <c r="J1254" s="3" t="s">
        <v>191</v>
      </c>
      <c r="K1254" s="3" t="s">
        <v>33</v>
      </c>
      <c r="L1254" s="3" t="s">
        <v>51</v>
      </c>
      <c r="M1254" s="3" t="s">
        <v>195</v>
      </c>
      <c r="N1254" s="3" t="s">
        <v>509</v>
      </c>
      <c r="O1254" s="3" t="s">
        <v>197</v>
      </c>
      <c r="P1254" s="3" t="s">
        <v>198</v>
      </c>
      <c r="Q1254" s="3" t="s">
        <v>39</v>
      </c>
      <c r="R1254" s="3" t="s">
        <v>40</v>
      </c>
      <c r="S1254" s="55">
        <v>27956.9</v>
      </c>
      <c r="T1254" s="55">
        <v>18003.048200000001</v>
      </c>
      <c r="U1254" s="55">
        <v>2555.5801999999999</v>
      </c>
      <c r="V1254" s="55">
        <v>9953.8518000000004</v>
      </c>
      <c r="W1254" s="3">
        <v>64</v>
      </c>
    </row>
    <row r="1255" spans="1:23" x14ac:dyDescent="0.35">
      <c r="A1255" s="3" t="s">
        <v>492</v>
      </c>
      <c r="B1255" s="3" t="s">
        <v>493</v>
      </c>
      <c r="C1255" s="3" t="s">
        <v>433</v>
      </c>
      <c r="D1255" s="3" t="s">
        <v>200</v>
      </c>
      <c r="E1255" s="3" t="s">
        <v>187</v>
      </c>
      <c r="F1255" s="3" t="s">
        <v>189</v>
      </c>
      <c r="G1255" s="3" t="s">
        <v>201</v>
      </c>
      <c r="H1255" s="3" t="s">
        <v>189</v>
      </c>
      <c r="I1255" s="3" t="s">
        <v>190</v>
      </c>
      <c r="J1255" s="3" t="s">
        <v>191</v>
      </c>
      <c r="K1255" s="3" t="s">
        <v>33</v>
      </c>
      <c r="L1255" s="3" t="s">
        <v>51</v>
      </c>
      <c r="M1255" s="3" t="s">
        <v>434</v>
      </c>
      <c r="N1255" s="3" t="s">
        <v>435</v>
      </c>
      <c r="O1255" s="3" t="s">
        <v>197</v>
      </c>
      <c r="P1255" s="3" t="s">
        <v>198</v>
      </c>
      <c r="Q1255" s="3" t="s">
        <v>39</v>
      </c>
      <c r="R1255" s="3" t="s">
        <v>40</v>
      </c>
      <c r="S1255" s="55">
        <v>2923.6</v>
      </c>
      <c r="T1255" s="55">
        <v>283</v>
      </c>
      <c r="U1255" s="55">
        <v>283</v>
      </c>
      <c r="V1255" s="55">
        <v>2640.6</v>
      </c>
      <c r="W1255" s="3">
        <v>10</v>
      </c>
    </row>
    <row r="1256" spans="1:23" x14ac:dyDescent="0.35">
      <c r="A1256" s="3" t="s">
        <v>492</v>
      </c>
      <c r="B1256" s="3" t="s">
        <v>493</v>
      </c>
      <c r="C1256" s="3" t="s">
        <v>518</v>
      </c>
      <c r="D1256" s="3" t="s">
        <v>200</v>
      </c>
      <c r="E1256" s="3" t="s">
        <v>187</v>
      </c>
      <c r="F1256" s="3" t="s">
        <v>189</v>
      </c>
      <c r="G1256" s="3" t="s">
        <v>201</v>
      </c>
      <c r="H1256" s="3" t="s">
        <v>189</v>
      </c>
      <c r="I1256" s="3" t="s">
        <v>190</v>
      </c>
      <c r="J1256" s="3" t="s">
        <v>191</v>
      </c>
      <c r="K1256" s="3" t="s">
        <v>33</v>
      </c>
      <c r="L1256" s="3" t="s">
        <v>51</v>
      </c>
      <c r="M1256" s="3" t="s">
        <v>519</v>
      </c>
      <c r="N1256" s="3" t="s">
        <v>208</v>
      </c>
      <c r="O1256" s="3" t="s">
        <v>197</v>
      </c>
      <c r="P1256" s="3" t="s">
        <v>198</v>
      </c>
      <c r="Q1256" s="3" t="s">
        <v>39</v>
      </c>
      <c r="R1256" s="3" t="s">
        <v>40</v>
      </c>
      <c r="S1256" s="55">
        <v>104515.5</v>
      </c>
      <c r="T1256" s="55">
        <v>73036.77</v>
      </c>
      <c r="U1256" s="55">
        <v>0</v>
      </c>
      <c r="V1256" s="55">
        <v>31478.73</v>
      </c>
      <c r="W1256" s="3">
        <v>70</v>
      </c>
    </row>
    <row r="1257" spans="1:23" x14ac:dyDescent="0.35">
      <c r="A1257" s="3" t="s">
        <v>492</v>
      </c>
      <c r="B1257" s="3" t="s">
        <v>493</v>
      </c>
      <c r="C1257" s="3" t="s">
        <v>230</v>
      </c>
      <c r="D1257" s="3" t="s">
        <v>200</v>
      </c>
      <c r="E1257" s="3" t="s">
        <v>187</v>
      </c>
      <c r="F1257" s="3" t="s">
        <v>189</v>
      </c>
      <c r="G1257" s="3" t="s">
        <v>201</v>
      </c>
      <c r="H1257" s="3" t="s">
        <v>28</v>
      </c>
      <c r="I1257" s="3" t="s">
        <v>231</v>
      </c>
      <c r="J1257" s="3" t="s">
        <v>232</v>
      </c>
      <c r="K1257" s="3" t="s">
        <v>33</v>
      </c>
      <c r="L1257" s="3" t="s">
        <v>51</v>
      </c>
      <c r="M1257" s="3" t="s">
        <v>233</v>
      </c>
      <c r="N1257" s="3" t="s">
        <v>234</v>
      </c>
      <c r="O1257" s="3" t="s">
        <v>197</v>
      </c>
      <c r="P1257" s="3" t="s">
        <v>198</v>
      </c>
      <c r="Q1257" s="3" t="s">
        <v>39</v>
      </c>
      <c r="R1257" s="3" t="s">
        <v>40</v>
      </c>
      <c r="S1257" s="55">
        <v>261384</v>
      </c>
      <c r="T1257" s="55">
        <v>168828.55369999999</v>
      </c>
      <c r="U1257" s="55">
        <v>10.6371</v>
      </c>
      <c r="V1257" s="55">
        <v>92555.446299999996</v>
      </c>
      <c r="W1257" s="3">
        <v>65</v>
      </c>
    </row>
    <row r="1258" spans="1:23" x14ac:dyDescent="0.35">
      <c r="A1258" s="3" t="s">
        <v>492</v>
      </c>
      <c r="B1258" s="3" t="s">
        <v>493</v>
      </c>
      <c r="C1258" s="3" t="s">
        <v>235</v>
      </c>
      <c r="D1258" s="3" t="s">
        <v>200</v>
      </c>
      <c r="E1258" s="3" t="s">
        <v>187</v>
      </c>
      <c r="F1258" s="3" t="s">
        <v>189</v>
      </c>
      <c r="G1258" s="3" t="s">
        <v>201</v>
      </c>
      <c r="H1258" s="3" t="s">
        <v>28</v>
      </c>
      <c r="I1258" s="3" t="s">
        <v>231</v>
      </c>
      <c r="J1258" s="3" t="s">
        <v>232</v>
      </c>
      <c r="K1258" s="3" t="s">
        <v>33</v>
      </c>
      <c r="L1258" s="3" t="s">
        <v>51</v>
      </c>
      <c r="M1258" s="3" t="s">
        <v>236</v>
      </c>
      <c r="N1258" s="3" t="s">
        <v>237</v>
      </c>
      <c r="O1258" s="3" t="s">
        <v>197</v>
      </c>
      <c r="P1258" s="3" t="s">
        <v>198</v>
      </c>
      <c r="Q1258" s="3" t="s">
        <v>39</v>
      </c>
      <c r="R1258" s="3" t="s">
        <v>40</v>
      </c>
      <c r="S1258" s="55">
        <v>179288</v>
      </c>
      <c r="T1258" s="55">
        <v>114042.567</v>
      </c>
      <c r="U1258" s="55">
        <v>0</v>
      </c>
      <c r="V1258" s="55">
        <v>65245.432999999997</v>
      </c>
      <c r="W1258" s="3">
        <v>64</v>
      </c>
    </row>
    <row r="1259" spans="1:23" x14ac:dyDescent="0.35">
      <c r="A1259" s="3" t="s">
        <v>492</v>
      </c>
      <c r="B1259" s="3" t="s">
        <v>493</v>
      </c>
      <c r="C1259" s="3" t="s">
        <v>238</v>
      </c>
      <c r="D1259" s="3" t="s">
        <v>239</v>
      </c>
      <c r="E1259" s="3" t="s">
        <v>187</v>
      </c>
      <c r="F1259" s="3" t="s">
        <v>28</v>
      </c>
      <c r="G1259" s="3" t="s">
        <v>240</v>
      </c>
      <c r="H1259" s="3" t="s">
        <v>189</v>
      </c>
      <c r="I1259" s="3" t="s">
        <v>190</v>
      </c>
      <c r="J1259" s="3" t="s">
        <v>191</v>
      </c>
      <c r="K1259" s="3" t="s">
        <v>33</v>
      </c>
      <c r="L1259" s="3" t="s">
        <v>51</v>
      </c>
      <c r="M1259" s="3" t="s">
        <v>241</v>
      </c>
      <c r="N1259" s="3" t="s">
        <v>242</v>
      </c>
      <c r="O1259" s="3" t="s">
        <v>108</v>
      </c>
      <c r="P1259" s="3" t="s">
        <v>109</v>
      </c>
      <c r="Q1259" s="3" t="s">
        <v>39</v>
      </c>
      <c r="R1259" s="3" t="s">
        <v>40</v>
      </c>
      <c r="S1259" s="55">
        <v>253526.6</v>
      </c>
      <c r="T1259" s="55">
        <v>166933.34359999999</v>
      </c>
      <c r="U1259" s="55">
        <v>10784.348099999999</v>
      </c>
      <c r="V1259" s="55">
        <v>86593.256399999998</v>
      </c>
      <c r="W1259" s="3">
        <v>66</v>
      </c>
    </row>
    <row r="1260" spans="1:23" x14ac:dyDescent="0.35">
      <c r="A1260" s="3" t="s">
        <v>492</v>
      </c>
      <c r="B1260" s="3" t="s">
        <v>493</v>
      </c>
      <c r="C1260" s="3" t="s">
        <v>520</v>
      </c>
      <c r="D1260" s="3" t="s">
        <v>239</v>
      </c>
      <c r="E1260" s="3" t="s">
        <v>187</v>
      </c>
      <c r="F1260" s="3" t="s">
        <v>28</v>
      </c>
      <c r="G1260" s="3" t="s">
        <v>240</v>
      </c>
      <c r="H1260" s="3" t="s">
        <v>189</v>
      </c>
      <c r="I1260" s="3" t="s">
        <v>190</v>
      </c>
      <c r="J1260" s="3" t="s">
        <v>191</v>
      </c>
      <c r="K1260" s="3" t="s">
        <v>33</v>
      </c>
      <c r="L1260" s="3" t="s">
        <v>51</v>
      </c>
      <c r="M1260" s="3" t="s">
        <v>521</v>
      </c>
      <c r="N1260" s="3" t="s">
        <v>522</v>
      </c>
      <c r="O1260" s="3" t="s">
        <v>523</v>
      </c>
      <c r="P1260" s="3" t="s">
        <v>524</v>
      </c>
      <c r="Q1260" s="3" t="s">
        <v>39</v>
      </c>
      <c r="R1260" s="3" t="s">
        <v>40</v>
      </c>
      <c r="S1260" s="55">
        <v>100</v>
      </c>
      <c r="T1260" s="55">
        <v>0</v>
      </c>
      <c r="U1260" s="55">
        <v>0</v>
      </c>
      <c r="V1260" s="55">
        <v>100</v>
      </c>
      <c r="W1260" s="3">
        <v>0</v>
      </c>
    </row>
    <row r="1261" spans="1:23" x14ac:dyDescent="0.35">
      <c r="A1261" s="3" t="s">
        <v>492</v>
      </c>
      <c r="B1261" s="3" t="s">
        <v>493</v>
      </c>
      <c r="C1261" s="3" t="s">
        <v>525</v>
      </c>
      <c r="D1261" s="3" t="s">
        <v>526</v>
      </c>
      <c r="E1261" s="3" t="s">
        <v>187</v>
      </c>
      <c r="F1261" s="3" t="s">
        <v>176</v>
      </c>
      <c r="G1261" s="3" t="s">
        <v>527</v>
      </c>
      <c r="H1261" s="3" t="s">
        <v>189</v>
      </c>
      <c r="I1261" s="3" t="s">
        <v>190</v>
      </c>
      <c r="J1261" s="3" t="s">
        <v>191</v>
      </c>
      <c r="K1261" s="3" t="s">
        <v>33</v>
      </c>
      <c r="L1261" s="3" t="s">
        <v>51</v>
      </c>
      <c r="M1261" s="3" t="s">
        <v>528</v>
      </c>
      <c r="N1261" s="3" t="s">
        <v>529</v>
      </c>
      <c r="O1261" s="3" t="s">
        <v>197</v>
      </c>
      <c r="P1261" s="3" t="s">
        <v>198</v>
      </c>
      <c r="Q1261" s="3" t="s">
        <v>39</v>
      </c>
      <c r="R1261" s="3" t="s">
        <v>40</v>
      </c>
      <c r="S1261" s="55">
        <v>1003.3</v>
      </c>
      <c r="T1261" s="55">
        <v>592.40049999999997</v>
      </c>
      <c r="U1261" s="55">
        <v>0</v>
      </c>
      <c r="V1261" s="55">
        <v>410.89949999999999</v>
      </c>
      <c r="W1261" s="3">
        <v>59</v>
      </c>
    </row>
    <row r="1262" spans="1:23" x14ac:dyDescent="0.35">
      <c r="A1262" s="3" t="s">
        <v>492</v>
      </c>
      <c r="B1262" s="3" t="s">
        <v>493</v>
      </c>
      <c r="C1262" s="3" t="s">
        <v>243</v>
      </c>
      <c r="D1262" s="3" t="s">
        <v>244</v>
      </c>
      <c r="E1262" s="3" t="s">
        <v>187</v>
      </c>
      <c r="F1262" s="3" t="s">
        <v>245</v>
      </c>
      <c r="G1262" s="3" t="s">
        <v>246</v>
      </c>
      <c r="H1262" s="3" t="s">
        <v>66</v>
      </c>
      <c r="I1262" s="3" t="s">
        <v>67</v>
      </c>
      <c r="J1262" s="3" t="s">
        <v>68</v>
      </c>
      <c r="K1262" s="3" t="s">
        <v>33</v>
      </c>
      <c r="L1262" s="3" t="s">
        <v>51</v>
      </c>
      <c r="M1262" s="3" t="s">
        <v>247</v>
      </c>
      <c r="N1262" s="3" t="s">
        <v>248</v>
      </c>
      <c r="O1262" s="3" t="s">
        <v>108</v>
      </c>
      <c r="P1262" s="3" t="s">
        <v>109</v>
      </c>
      <c r="Q1262" s="3" t="s">
        <v>39</v>
      </c>
      <c r="R1262" s="3" t="s">
        <v>40</v>
      </c>
      <c r="S1262" s="55">
        <v>224582.9</v>
      </c>
      <c r="T1262" s="55">
        <v>119183.5721</v>
      </c>
      <c r="U1262" s="55">
        <v>11953.9529</v>
      </c>
      <c r="V1262" s="55">
        <v>105399.3279</v>
      </c>
      <c r="W1262" s="3">
        <v>53</v>
      </c>
    </row>
    <row r="1263" spans="1:23" x14ac:dyDescent="0.35">
      <c r="A1263" s="3" t="s">
        <v>492</v>
      </c>
      <c r="B1263" s="3" t="s">
        <v>493</v>
      </c>
      <c r="C1263" s="3" t="s">
        <v>249</v>
      </c>
      <c r="D1263" s="3" t="s">
        <v>244</v>
      </c>
      <c r="E1263" s="3" t="s">
        <v>187</v>
      </c>
      <c r="F1263" s="3" t="s">
        <v>245</v>
      </c>
      <c r="G1263" s="3" t="s">
        <v>246</v>
      </c>
      <c r="H1263" s="3" t="s">
        <v>66</v>
      </c>
      <c r="I1263" s="3" t="s">
        <v>67</v>
      </c>
      <c r="J1263" s="3" t="s">
        <v>68</v>
      </c>
      <c r="K1263" s="3" t="s">
        <v>33</v>
      </c>
      <c r="L1263" s="3" t="s">
        <v>51</v>
      </c>
      <c r="M1263" s="3" t="s">
        <v>250</v>
      </c>
      <c r="N1263" s="3" t="s">
        <v>251</v>
      </c>
      <c r="O1263" s="3" t="s">
        <v>197</v>
      </c>
      <c r="P1263" s="3" t="s">
        <v>198</v>
      </c>
      <c r="Q1263" s="3" t="s">
        <v>39</v>
      </c>
      <c r="R1263" s="3" t="s">
        <v>40</v>
      </c>
      <c r="S1263" s="55">
        <v>9320.5</v>
      </c>
      <c r="T1263" s="55">
        <v>0</v>
      </c>
      <c r="U1263" s="55">
        <v>0</v>
      </c>
      <c r="V1263" s="55">
        <v>9320.5</v>
      </c>
      <c r="W1263" s="3">
        <v>0</v>
      </c>
    </row>
    <row r="1264" spans="1:23" x14ac:dyDescent="0.35">
      <c r="A1264" s="3" t="s">
        <v>492</v>
      </c>
      <c r="B1264" s="3" t="s">
        <v>493</v>
      </c>
      <c r="C1264" s="3" t="s">
        <v>252</v>
      </c>
      <c r="D1264" s="3" t="s">
        <v>244</v>
      </c>
      <c r="E1264" s="3" t="s">
        <v>187</v>
      </c>
      <c r="F1264" s="3" t="s">
        <v>245</v>
      </c>
      <c r="G1264" s="3" t="s">
        <v>246</v>
      </c>
      <c r="H1264" s="3" t="s">
        <v>66</v>
      </c>
      <c r="I1264" s="3" t="s">
        <v>67</v>
      </c>
      <c r="J1264" s="3" t="s">
        <v>68</v>
      </c>
      <c r="K1264" s="3" t="s">
        <v>33</v>
      </c>
      <c r="L1264" s="3" t="s">
        <v>51</v>
      </c>
      <c r="M1264" s="3" t="s">
        <v>253</v>
      </c>
      <c r="N1264" s="3" t="s">
        <v>254</v>
      </c>
      <c r="O1264" s="3" t="s">
        <v>197</v>
      </c>
      <c r="P1264" s="3" t="s">
        <v>198</v>
      </c>
      <c r="Q1264" s="3" t="s">
        <v>39</v>
      </c>
      <c r="R1264" s="3" t="s">
        <v>40</v>
      </c>
      <c r="S1264" s="55">
        <v>1648.3</v>
      </c>
      <c r="T1264" s="55">
        <v>0</v>
      </c>
      <c r="U1264" s="55">
        <v>0</v>
      </c>
      <c r="V1264" s="55">
        <v>1648.3</v>
      </c>
      <c r="W1264" s="3">
        <v>0</v>
      </c>
    </row>
    <row r="1265" spans="1:23" x14ac:dyDescent="0.35">
      <c r="A1265" s="3" t="s">
        <v>492</v>
      </c>
      <c r="B1265" s="3" t="s">
        <v>493</v>
      </c>
      <c r="C1265" s="3" t="s">
        <v>255</v>
      </c>
      <c r="D1265" s="3" t="s">
        <v>244</v>
      </c>
      <c r="E1265" s="3" t="s">
        <v>187</v>
      </c>
      <c r="F1265" s="3" t="s">
        <v>245</v>
      </c>
      <c r="G1265" s="3" t="s">
        <v>246</v>
      </c>
      <c r="H1265" s="3" t="s">
        <v>66</v>
      </c>
      <c r="I1265" s="3" t="s">
        <v>67</v>
      </c>
      <c r="J1265" s="3" t="s">
        <v>68</v>
      </c>
      <c r="K1265" s="3" t="s">
        <v>33</v>
      </c>
      <c r="L1265" s="3" t="s">
        <v>51</v>
      </c>
      <c r="M1265" s="3" t="s">
        <v>256</v>
      </c>
      <c r="N1265" s="3" t="s">
        <v>257</v>
      </c>
      <c r="O1265" s="3" t="s">
        <v>197</v>
      </c>
      <c r="P1265" s="3" t="s">
        <v>198</v>
      </c>
      <c r="Q1265" s="3" t="s">
        <v>39</v>
      </c>
      <c r="R1265" s="3" t="s">
        <v>40</v>
      </c>
      <c r="S1265" s="55">
        <v>12658.4</v>
      </c>
      <c r="T1265" s="55">
        <v>2069.8175999999999</v>
      </c>
      <c r="U1265" s="55">
        <v>126.29430000000001</v>
      </c>
      <c r="V1265" s="55">
        <v>10588.582399999999</v>
      </c>
      <c r="W1265" s="3">
        <v>16</v>
      </c>
    </row>
    <row r="1266" spans="1:23" x14ac:dyDescent="0.35">
      <c r="A1266" s="3" t="s">
        <v>492</v>
      </c>
      <c r="B1266" s="3" t="s">
        <v>493</v>
      </c>
      <c r="C1266" s="3" t="s">
        <v>566</v>
      </c>
      <c r="D1266" s="3" t="s">
        <v>259</v>
      </c>
      <c r="E1266" s="3" t="s">
        <v>187</v>
      </c>
      <c r="F1266" s="3" t="s">
        <v>116</v>
      </c>
      <c r="G1266" s="3" t="s">
        <v>260</v>
      </c>
      <c r="H1266" s="3" t="s">
        <v>189</v>
      </c>
      <c r="I1266" s="3" t="s">
        <v>190</v>
      </c>
      <c r="J1266" s="3" t="s">
        <v>202</v>
      </c>
      <c r="K1266" s="3" t="s">
        <v>23</v>
      </c>
      <c r="L1266" s="3" t="s">
        <v>203</v>
      </c>
      <c r="M1266" s="3" t="s">
        <v>567</v>
      </c>
      <c r="N1266" s="3" t="s">
        <v>568</v>
      </c>
      <c r="O1266" s="3" t="s">
        <v>197</v>
      </c>
      <c r="P1266" s="3" t="s">
        <v>198</v>
      </c>
      <c r="Q1266" s="3" t="s">
        <v>39</v>
      </c>
      <c r="R1266" s="3" t="s">
        <v>40</v>
      </c>
      <c r="S1266" s="55">
        <v>13914.4</v>
      </c>
      <c r="T1266" s="55">
        <v>13914.3143</v>
      </c>
      <c r="U1266" s="55">
        <v>0</v>
      </c>
      <c r="V1266" s="55">
        <v>8.5699999999999998E-2</v>
      </c>
      <c r="W1266" s="3">
        <v>100</v>
      </c>
    </row>
    <row r="1267" spans="1:23" x14ac:dyDescent="0.35">
      <c r="A1267" s="3" t="s">
        <v>492</v>
      </c>
      <c r="B1267" s="3" t="s">
        <v>493</v>
      </c>
      <c r="C1267" s="3" t="s">
        <v>569</v>
      </c>
      <c r="D1267" s="3" t="s">
        <v>259</v>
      </c>
      <c r="E1267" s="3" t="s">
        <v>187</v>
      </c>
      <c r="F1267" s="3" t="s">
        <v>116</v>
      </c>
      <c r="G1267" s="3" t="s">
        <v>260</v>
      </c>
      <c r="H1267" s="3" t="s">
        <v>189</v>
      </c>
      <c r="I1267" s="3" t="s">
        <v>190</v>
      </c>
      <c r="J1267" s="3" t="s">
        <v>202</v>
      </c>
      <c r="K1267" s="3" t="s">
        <v>23</v>
      </c>
      <c r="L1267" s="3" t="s">
        <v>203</v>
      </c>
      <c r="M1267" s="3" t="s">
        <v>570</v>
      </c>
      <c r="N1267" s="3" t="s">
        <v>568</v>
      </c>
      <c r="O1267" s="3" t="s">
        <v>197</v>
      </c>
      <c r="P1267" s="3" t="s">
        <v>198</v>
      </c>
      <c r="Q1267" s="3" t="s">
        <v>39</v>
      </c>
      <c r="R1267" s="3" t="s">
        <v>40</v>
      </c>
      <c r="S1267" s="55">
        <v>19077.8</v>
      </c>
      <c r="T1267" s="55">
        <v>14549.101199999999</v>
      </c>
      <c r="U1267" s="55">
        <v>2994.3263999999999</v>
      </c>
      <c r="V1267" s="55">
        <v>4528.6988000000001</v>
      </c>
      <c r="W1267" s="3">
        <v>76</v>
      </c>
    </row>
    <row r="1268" spans="1:23" x14ac:dyDescent="0.35">
      <c r="A1268" s="3" t="s">
        <v>492</v>
      </c>
      <c r="B1268" s="3" t="s">
        <v>493</v>
      </c>
      <c r="C1268" s="3" t="s">
        <v>263</v>
      </c>
      <c r="D1268" s="3" t="s">
        <v>259</v>
      </c>
      <c r="E1268" s="3" t="s">
        <v>187</v>
      </c>
      <c r="F1268" s="3" t="s">
        <v>116</v>
      </c>
      <c r="G1268" s="3" t="s">
        <v>260</v>
      </c>
      <c r="H1268" s="3" t="s">
        <v>189</v>
      </c>
      <c r="I1268" s="3" t="s">
        <v>190</v>
      </c>
      <c r="J1268" s="3" t="s">
        <v>191</v>
      </c>
      <c r="K1268" s="3" t="s">
        <v>33</v>
      </c>
      <c r="L1268" s="3" t="s">
        <v>51</v>
      </c>
      <c r="M1268" s="3" t="s">
        <v>264</v>
      </c>
      <c r="N1268" s="3" t="s">
        <v>265</v>
      </c>
      <c r="O1268" s="3" t="s">
        <v>197</v>
      </c>
      <c r="P1268" s="3" t="s">
        <v>198</v>
      </c>
      <c r="Q1268" s="3" t="s">
        <v>39</v>
      </c>
      <c r="R1268" s="3" t="s">
        <v>40</v>
      </c>
      <c r="S1268" s="55">
        <v>1642.6</v>
      </c>
      <c r="T1268" s="55">
        <v>0</v>
      </c>
      <c r="U1268" s="55">
        <v>0</v>
      </c>
      <c r="V1268" s="55">
        <v>1642.6</v>
      </c>
      <c r="W1268" s="3">
        <v>0</v>
      </c>
    </row>
    <row r="1269" spans="1:23" x14ac:dyDescent="0.35">
      <c r="A1269" s="3" t="s">
        <v>492</v>
      </c>
      <c r="B1269" s="3" t="s">
        <v>493</v>
      </c>
      <c r="C1269" s="3" t="s">
        <v>266</v>
      </c>
      <c r="D1269" s="3" t="s">
        <v>259</v>
      </c>
      <c r="E1269" s="3" t="s">
        <v>187</v>
      </c>
      <c r="F1269" s="3" t="s">
        <v>116</v>
      </c>
      <c r="G1269" s="3" t="s">
        <v>260</v>
      </c>
      <c r="H1269" s="3" t="s">
        <v>189</v>
      </c>
      <c r="I1269" s="3" t="s">
        <v>190</v>
      </c>
      <c r="J1269" s="3" t="s">
        <v>191</v>
      </c>
      <c r="K1269" s="3" t="s">
        <v>33</v>
      </c>
      <c r="L1269" s="3" t="s">
        <v>51</v>
      </c>
      <c r="M1269" s="3" t="s">
        <v>267</v>
      </c>
      <c r="N1269" s="3" t="s">
        <v>268</v>
      </c>
      <c r="O1269" s="3" t="s">
        <v>37</v>
      </c>
      <c r="P1269" s="3" t="s">
        <v>38</v>
      </c>
      <c r="Q1269" s="3" t="s">
        <v>39</v>
      </c>
      <c r="R1269" s="3" t="s">
        <v>40</v>
      </c>
      <c r="S1269" s="55">
        <v>92351.4</v>
      </c>
      <c r="T1269" s="55">
        <v>67901.313999999998</v>
      </c>
      <c r="U1269" s="55">
        <v>21424.263999999999</v>
      </c>
      <c r="V1269" s="55">
        <v>24450.085999999999</v>
      </c>
      <c r="W1269" s="3">
        <v>74</v>
      </c>
    </row>
    <row r="1270" spans="1:23" x14ac:dyDescent="0.35">
      <c r="A1270" s="3" t="s">
        <v>492</v>
      </c>
      <c r="B1270" s="3" t="s">
        <v>493</v>
      </c>
      <c r="C1270" s="3" t="s">
        <v>269</v>
      </c>
      <c r="D1270" s="3" t="s">
        <v>259</v>
      </c>
      <c r="E1270" s="3" t="s">
        <v>187</v>
      </c>
      <c r="F1270" s="3" t="s">
        <v>116</v>
      </c>
      <c r="G1270" s="3" t="s">
        <v>260</v>
      </c>
      <c r="H1270" s="3" t="s">
        <v>189</v>
      </c>
      <c r="I1270" s="3" t="s">
        <v>190</v>
      </c>
      <c r="J1270" s="3" t="s">
        <v>191</v>
      </c>
      <c r="K1270" s="3" t="s">
        <v>33</v>
      </c>
      <c r="L1270" s="3" t="s">
        <v>51</v>
      </c>
      <c r="M1270" s="3" t="s">
        <v>267</v>
      </c>
      <c r="N1270" s="3" t="s">
        <v>268</v>
      </c>
      <c r="O1270" s="3" t="s">
        <v>197</v>
      </c>
      <c r="P1270" s="3" t="s">
        <v>198</v>
      </c>
      <c r="Q1270" s="3" t="s">
        <v>39</v>
      </c>
      <c r="R1270" s="3" t="s">
        <v>40</v>
      </c>
      <c r="S1270" s="55">
        <v>14681.8</v>
      </c>
      <c r="T1270" s="55">
        <v>13653.830099999999</v>
      </c>
      <c r="U1270" s="55">
        <v>1896.6168</v>
      </c>
      <c r="V1270" s="55">
        <v>1027.9699000000001</v>
      </c>
      <c r="W1270" s="3">
        <v>93</v>
      </c>
    </row>
    <row r="1271" spans="1:23" x14ac:dyDescent="0.35">
      <c r="A1271" s="3" t="s">
        <v>492</v>
      </c>
      <c r="B1271" s="3" t="s">
        <v>493</v>
      </c>
      <c r="C1271" s="3" t="s">
        <v>270</v>
      </c>
      <c r="D1271" s="3" t="s">
        <v>259</v>
      </c>
      <c r="E1271" s="3" t="s">
        <v>187</v>
      </c>
      <c r="F1271" s="3" t="s">
        <v>116</v>
      </c>
      <c r="G1271" s="3" t="s">
        <v>260</v>
      </c>
      <c r="H1271" s="3" t="s">
        <v>189</v>
      </c>
      <c r="I1271" s="3" t="s">
        <v>190</v>
      </c>
      <c r="J1271" s="3" t="s">
        <v>191</v>
      </c>
      <c r="K1271" s="3" t="s">
        <v>33</v>
      </c>
      <c r="L1271" s="3" t="s">
        <v>51</v>
      </c>
      <c r="M1271" s="3" t="s">
        <v>271</v>
      </c>
      <c r="N1271" s="3" t="s">
        <v>272</v>
      </c>
      <c r="O1271" s="3" t="s">
        <v>108</v>
      </c>
      <c r="P1271" s="3" t="s">
        <v>109</v>
      </c>
      <c r="Q1271" s="3" t="s">
        <v>39</v>
      </c>
      <c r="R1271" s="3" t="s">
        <v>40</v>
      </c>
      <c r="S1271" s="55">
        <v>43320.4</v>
      </c>
      <c r="T1271" s="55">
        <v>27889.703699999998</v>
      </c>
      <c r="U1271" s="55">
        <v>730.56460000000004</v>
      </c>
      <c r="V1271" s="55">
        <v>15430.6963</v>
      </c>
      <c r="W1271" s="3">
        <v>64</v>
      </c>
    </row>
    <row r="1272" spans="1:23" x14ac:dyDescent="0.35">
      <c r="A1272" s="3" t="s">
        <v>492</v>
      </c>
      <c r="B1272" s="3" t="s">
        <v>493</v>
      </c>
      <c r="C1272" s="3" t="s">
        <v>273</v>
      </c>
      <c r="D1272" s="3" t="s">
        <v>259</v>
      </c>
      <c r="E1272" s="3" t="s">
        <v>187</v>
      </c>
      <c r="F1272" s="3" t="s">
        <v>116</v>
      </c>
      <c r="G1272" s="3" t="s">
        <v>260</v>
      </c>
      <c r="H1272" s="3" t="s">
        <v>189</v>
      </c>
      <c r="I1272" s="3" t="s">
        <v>190</v>
      </c>
      <c r="J1272" s="3" t="s">
        <v>191</v>
      </c>
      <c r="K1272" s="3" t="s">
        <v>33</v>
      </c>
      <c r="L1272" s="3" t="s">
        <v>51</v>
      </c>
      <c r="M1272" s="3" t="s">
        <v>274</v>
      </c>
      <c r="N1272" s="3" t="s">
        <v>275</v>
      </c>
      <c r="O1272" s="3" t="s">
        <v>108</v>
      </c>
      <c r="P1272" s="3" t="s">
        <v>109</v>
      </c>
      <c r="Q1272" s="3" t="s">
        <v>39</v>
      </c>
      <c r="R1272" s="3" t="s">
        <v>40</v>
      </c>
      <c r="S1272" s="55">
        <v>59928.7</v>
      </c>
      <c r="T1272" s="55">
        <v>39592.370600000002</v>
      </c>
      <c r="U1272" s="55">
        <v>2759.2923000000001</v>
      </c>
      <c r="V1272" s="55">
        <v>20336.329399999999</v>
      </c>
      <c r="W1272" s="3">
        <v>66</v>
      </c>
    </row>
    <row r="1273" spans="1:23" x14ac:dyDescent="0.35">
      <c r="A1273" s="3" t="s">
        <v>492</v>
      </c>
      <c r="B1273" s="3" t="s">
        <v>493</v>
      </c>
      <c r="C1273" s="3" t="s">
        <v>530</v>
      </c>
      <c r="D1273" s="3" t="s">
        <v>259</v>
      </c>
      <c r="E1273" s="3" t="s">
        <v>187</v>
      </c>
      <c r="F1273" s="3" t="s">
        <v>116</v>
      </c>
      <c r="G1273" s="3" t="s">
        <v>260</v>
      </c>
      <c r="H1273" s="3" t="s">
        <v>189</v>
      </c>
      <c r="I1273" s="3" t="s">
        <v>190</v>
      </c>
      <c r="J1273" s="3" t="s">
        <v>191</v>
      </c>
      <c r="K1273" s="3" t="s">
        <v>33</v>
      </c>
      <c r="L1273" s="3" t="s">
        <v>51</v>
      </c>
      <c r="M1273" s="3" t="s">
        <v>531</v>
      </c>
      <c r="N1273" s="3" t="s">
        <v>532</v>
      </c>
      <c r="O1273" s="3" t="s">
        <v>197</v>
      </c>
      <c r="P1273" s="3" t="s">
        <v>198</v>
      </c>
      <c r="Q1273" s="3" t="s">
        <v>39</v>
      </c>
      <c r="R1273" s="3" t="s">
        <v>40</v>
      </c>
      <c r="S1273" s="55">
        <v>7028.9</v>
      </c>
      <c r="T1273" s="55">
        <v>7027.2</v>
      </c>
      <c r="U1273" s="55">
        <v>0</v>
      </c>
      <c r="V1273" s="55">
        <v>1.7</v>
      </c>
      <c r="W1273" s="3">
        <v>100</v>
      </c>
    </row>
    <row r="1274" spans="1:23" x14ac:dyDescent="0.35">
      <c r="A1274" s="3" t="s">
        <v>492</v>
      </c>
      <c r="B1274" s="3" t="s">
        <v>493</v>
      </c>
      <c r="C1274" s="3" t="s">
        <v>460</v>
      </c>
      <c r="D1274" s="3" t="s">
        <v>259</v>
      </c>
      <c r="E1274" s="3" t="s">
        <v>187</v>
      </c>
      <c r="F1274" s="3" t="s">
        <v>116</v>
      </c>
      <c r="G1274" s="3" t="s">
        <v>260</v>
      </c>
      <c r="H1274" s="3" t="s">
        <v>189</v>
      </c>
      <c r="I1274" s="3" t="s">
        <v>190</v>
      </c>
      <c r="J1274" s="3" t="s">
        <v>191</v>
      </c>
      <c r="K1274" s="3" t="s">
        <v>33</v>
      </c>
      <c r="L1274" s="3" t="s">
        <v>51</v>
      </c>
      <c r="M1274" s="3" t="s">
        <v>461</v>
      </c>
      <c r="N1274" s="3" t="s">
        <v>462</v>
      </c>
      <c r="O1274" s="3" t="s">
        <v>197</v>
      </c>
      <c r="P1274" s="3" t="s">
        <v>198</v>
      </c>
      <c r="Q1274" s="3" t="s">
        <v>39</v>
      </c>
      <c r="R1274" s="3" t="s">
        <v>40</v>
      </c>
      <c r="S1274" s="55">
        <v>19787.3</v>
      </c>
      <c r="T1274" s="55">
        <v>11485.8377</v>
      </c>
      <c r="U1274" s="55">
        <v>4135.3504000000003</v>
      </c>
      <c r="V1274" s="55">
        <v>8301.4622999999992</v>
      </c>
      <c r="W1274" s="3">
        <v>58</v>
      </c>
    </row>
    <row r="1275" spans="1:23" x14ac:dyDescent="0.35">
      <c r="A1275" s="3" t="s">
        <v>492</v>
      </c>
      <c r="B1275" s="3" t="s">
        <v>493</v>
      </c>
      <c r="C1275" s="3" t="s">
        <v>276</v>
      </c>
      <c r="D1275" s="3" t="s">
        <v>259</v>
      </c>
      <c r="E1275" s="3" t="s">
        <v>187</v>
      </c>
      <c r="F1275" s="3" t="s">
        <v>116</v>
      </c>
      <c r="G1275" s="3" t="s">
        <v>260</v>
      </c>
      <c r="H1275" s="3" t="s">
        <v>189</v>
      </c>
      <c r="I1275" s="3" t="s">
        <v>190</v>
      </c>
      <c r="J1275" s="3" t="s">
        <v>191</v>
      </c>
      <c r="K1275" s="3" t="s">
        <v>33</v>
      </c>
      <c r="L1275" s="3" t="s">
        <v>51</v>
      </c>
      <c r="M1275" s="3" t="s">
        <v>277</v>
      </c>
      <c r="N1275" s="3" t="s">
        <v>533</v>
      </c>
      <c r="O1275" s="3" t="s">
        <v>197</v>
      </c>
      <c r="P1275" s="3" t="s">
        <v>198</v>
      </c>
      <c r="Q1275" s="3" t="s">
        <v>39</v>
      </c>
      <c r="R1275" s="3" t="s">
        <v>40</v>
      </c>
      <c r="S1275" s="55">
        <v>44012.1</v>
      </c>
      <c r="T1275" s="55">
        <v>6534.4057000000003</v>
      </c>
      <c r="U1275" s="55">
        <v>0</v>
      </c>
      <c r="V1275" s="55">
        <v>37477.694300000003</v>
      </c>
      <c r="W1275" s="3">
        <v>15</v>
      </c>
    </row>
    <row r="1276" spans="1:23" x14ac:dyDescent="0.35">
      <c r="A1276" s="3" t="s">
        <v>492</v>
      </c>
      <c r="B1276" s="3" t="s">
        <v>493</v>
      </c>
      <c r="C1276" s="3" t="s">
        <v>571</v>
      </c>
      <c r="D1276" s="3" t="s">
        <v>259</v>
      </c>
      <c r="E1276" s="3" t="s">
        <v>187</v>
      </c>
      <c r="F1276" s="3" t="s">
        <v>116</v>
      </c>
      <c r="G1276" s="3" t="s">
        <v>260</v>
      </c>
      <c r="H1276" s="3" t="s">
        <v>189</v>
      </c>
      <c r="I1276" s="3" t="s">
        <v>190</v>
      </c>
      <c r="J1276" s="3" t="s">
        <v>191</v>
      </c>
      <c r="K1276" s="3" t="s">
        <v>33</v>
      </c>
      <c r="L1276" s="3" t="s">
        <v>51</v>
      </c>
      <c r="M1276" s="3" t="s">
        <v>572</v>
      </c>
      <c r="N1276" s="3" t="s">
        <v>262</v>
      </c>
      <c r="O1276" s="3" t="s">
        <v>197</v>
      </c>
      <c r="P1276" s="3" t="s">
        <v>198</v>
      </c>
      <c r="Q1276" s="3" t="s">
        <v>39</v>
      </c>
      <c r="R1276" s="3" t="s">
        <v>40</v>
      </c>
      <c r="S1276" s="55">
        <v>1142.5</v>
      </c>
      <c r="T1276" s="55">
        <v>0</v>
      </c>
      <c r="U1276" s="55">
        <v>0</v>
      </c>
      <c r="V1276" s="55">
        <v>1142.5</v>
      </c>
      <c r="W1276" s="3">
        <v>0</v>
      </c>
    </row>
    <row r="1277" spans="1:23" x14ac:dyDescent="0.35">
      <c r="A1277" s="3" t="s">
        <v>492</v>
      </c>
      <c r="B1277" s="3" t="s">
        <v>493</v>
      </c>
      <c r="C1277" s="3" t="s">
        <v>282</v>
      </c>
      <c r="D1277" s="3" t="s">
        <v>259</v>
      </c>
      <c r="E1277" s="3" t="s">
        <v>187</v>
      </c>
      <c r="F1277" s="3" t="s">
        <v>116</v>
      </c>
      <c r="G1277" s="3" t="s">
        <v>260</v>
      </c>
      <c r="H1277" s="3" t="s">
        <v>66</v>
      </c>
      <c r="I1277" s="3" t="s">
        <v>67</v>
      </c>
      <c r="J1277" s="3" t="s">
        <v>68</v>
      </c>
      <c r="K1277" s="3" t="s">
        <v>33</v>
      </c>
      <c r="L1277" s="3" t="s">
        <v>51</v>
      </c>
      <c r="M1277" s="3" t="s">
        <v>283</v>
      </c>
      <c r="N1277" s="3" t="s">
        <v>284</v>
      </c>
      <c r="O1277" s="3" t="s">
        <v>197</v>
      </c>
      <c r="P1277" s="3" t="s">
        <v>198</v>
      </c>
      <c r="Q1277" s="3" t="s">
        <v>39</v>
      </c>
      <c r="R1277" s="3" t="s">
        <v>40</v>
      </c>
      <c r="S1277" s="55">
        <v>500</v>
      </c>
      <c r="T1277" s="55">
        <v>285</v>
      </c>
      <c r="U1277" s="55">
        <v>0</v>
      </c>
      <c r="V1277" s="55">
        <v>215</v>
      </c>
      <c r="W1277" s="3">
        <v>57</v>
      </c>
    </row>
    <row r="1278" spans="1:23" x14ac:dyDescent="0.35">
      <c r="A1278" s="3" t="s">
        <v>492</v>
      </c>
      <c r="B1278" s="3" t="s">
        <v>493</v>
      </c>
      <c r="C1278" s="3" t="s">
        <v>289</v>
      </c>
      <c r="D1278" s="3" t="s">
        <v>290</v>
      </c>
      <c r="E1278" s="3" t="s">
        <v>291</v>
      </c>
      <c r="F1278" s="3" t="s">
        <v>146</v>
      </c>
      <c r="G1278" s="3" t="s">
        <v>534</v>
      </c>
      <c r="H1278" s="3" t="s">
        <v>293</v>
      </c>
      <c r="I1278" s="3" t="s">
        <v>294</v>
      </c>
      <c r="J1278" s="3" t="s">
        <v>295</v>
      </c>
      <c r="K1278" s="3" t="s">
        <v>33</v>
      </c>
      <c r="L1278" s="3" t="s">
        <v>51</v>
      </c>
      <c r="M1278" s="3" t="s">
        <v>296</v>
      </c>
      <c r="N1278" s="3" t="s">
        <v>535</v>
      </c>
      <c r="O1278" s="3" t="s">
        <v>108</v>
      </c>
      <c r="P1278" s="3" t="s">
        <v>109</v>
      </c>
      <c r="Q1278" s="3" t="s">
        <v>39</v>
      </c>
      <c r="R1278" s="3" t="s">
        <v>40</v>
      </c>
      <c r="S1278" s="55">
        <v>232056</v>
      </c>
      <c r="T1278" s="55">
        <v>165664.1808</v>
      </c>
      <c r="U1278" s="55">
        <v>21130.6446</v>
      </c>
      <c r="V1278" s="55">
        <v>66391.819199999998</v>
      </c>
      <c r="W1278" s="3">
        <v>71</v>
      </c>
    </row>
    <row r="1279" spans="1:23" x14ac:dyDescent="0.35">
      <c r="A1279" s="3" t="s">
        <v>492</v>
      </c>
      <c r="B1279" s="3" t="s">
        <v>493</v>
      </c>
      <c r="C1279" s="3" t="s">
        <v>298</v>
      </c>
      <c r="D1279" s="3" t="s">
        <v>290</v>
      </c>
      <c r="E1279" s="3" t="s">
        <v>291</v>
      </c>
      <c r="F1279" s="3" t="s">
        <v>146</v>
      </c>
      <c r="G1279" s="3" t="s">
        <v>534</v>
      </c>
      <c r="H1279" s="3" t="s">
        <v>293</v>
      </c>
      <c r="I1279" s="3" t="s">
        <v>294</v>
      </c>
      <c r="J1279" s="3" t="s">
        <v>295</v>
      </c>
      <c r="K1279" s="3" t="s">
        <v>33</v>
      </c>
      <c r="L1279" s="3" t="s">
        <v>51</v>
      </c>
      <c r="M1279" s="3" t="s">
        <v>299</v>
      </c>
      <c r="N1279" s="3" t="s">
        <v>536</v>
      </c>
      <c r="O1279" s="3" t="s">
        <v>108</v>
      </c>
      <c r="P1279" s="3" t="s">
        <v>109</v>
      </c>
      <c r="Q1279" s="3" t="s">
        <v>39</v>
      </c>
      <c r="R1279" s="3" t="s">
        <v>40</v>
      </c>
      <c r="S1279" s="55">
        <v>86322.7</v>
      </c>
      <c r="T1279" s="55">
        <v>52124.119100000004</v>
      </c>
      <c r="U1279" s="55">
        <v>5613.4696999999996</v>
      </c>
      <c r="V1279" s="55">
        <v>34198.580900000001</v>
      </c>
      <c r="W1279" s="3">
        <v>60</v>
      </c>
    </row>
    <row r="1280" spans="1:23" x14ac:dyDescent="0.35">
      <c r="A1280" s="3" t="s">
        <v>492</v>
      </c>
      <c r="B1280" s="3" t="s">
        <v>493</v>
      </c>
      <c r="C1280" s="3" t="s">
        <v>301</v>
      </c>
      <c r="D1280" s="3" t="s">
        <v>290</v>
      </c>
      <c r="E1280" s="3" t="s">
        <v>291</v>
      </c>
      <c r="F1280" s="3" t="s">
        <v>146</v>
      </c>
      <c r="G1280" s="3" t="s">
        <v>534</v>
      </c>
      <c r="H1280" s="3" t="s">
        <v>293</v>
      </c>
      <c r="I1280" s="3" t="s">
        <v>294</v>
      </c>
      <c r="J1280" s="3" t="s">
        <v>295</v>
      </c>
      <c r="K1280" s="3" t="s">
        <v>33</v>
      </c>
      <c r="L1280" s="3" t="s">
        <v>51</v>
      </c>
      <c r="M1280" s="3" t="s">
        <v>302</v>
      </c>
      <c r="N1280" s="3" t="s">
        <v>537</v>
      </c>
      <c r="O1280" s="3" t="s">
        <v>108</v>
      </c>
      <c r="P1280" s="3" t="s">
        <v>109</v>
      </c>
      <c r="Q1280" s="3" t="s">
        <v>39</v>
      </c>
      <c r="R1280" s="3" t="s">
        <v>40</v>
      </c>
      <c r="S1280" s="55">
        <v>192328.9</v>
      </c>
      <c r="T1280" s="55">
        <v>115021.1945</v>
      </c>
      <c r="U1280" s="55">
        <v>9125.1587999999992</v>
      </c>
      <c r="V1280" s="55">
        <v>77307.705499999996</v>
      </c>
      <c r="W1280" s="3">
        <v>60</v>
      </c>
    </row>
    <row r="1281" spans="1:23" x14ac:dyDescent="0.35">
      <c r="A1281" s="3" t="s">
        <v>492</v>
      </c>
      <c r="B1281" s="3" t="s">
        <v>493</v>
      </c>
      <c r="C1281" s="3" t="s">
        <v>304</v>
      </c>
      <c r="D1281" s="3" t="s">
        <v>290</v>
      </c>
      <c r="E1281" s="3" t="s">
        <v>291</v>
      </c>
      <c r="F1281" s="3" t="s">
        <v>146</v>
      </c>
      <c r="G1281" s="3" t="s">
        <v>534</v>
      </c>
      <c r="H1281" s="3" t="s">
        <v>293</v>
      </c>
      <c r="I1281" s="3" t="s">
        <v>294</v>
      </c>
      <c r="J1281" s="3" t="s">
        <v>295</v>
      </c>
      <c r="K1281" s="3" t="s">
        <v>33</v>
      </c>
      <c r="L1281" s="3" t="s">
        <v>51</v>
      </c>
      <c r="M1281" s="3" t="s">
        <v>305</v>
      </c>
      <c r="N1281" s="3" t="s">
        <v>538</v>
      </c>
      <c r="O1281" s="3" t="s">
        <v>108</v>
      </c>
      <c r="P1281" s="3" t="s">
        <v>109</v>
      </c>
      <c r="Q1281" s="3" t="s">
        <v>39</v>
      </c>
      <c r="R1281" s="3" t="s">
        <v>40</v>
      </c>
      <c r="S1281" s="55">
        <v>73563</v>
      </c>
      <c r="T1281" s="55">
        <v>46182.898999999998</v>
      </c>
      <c r="U1281" s="55">
        <v>4935.0925999999999</v>
      </c>
      <c r="V1281" s="55">
        <v>27380.100999999999</v>
      </c>
      <c r="W1281" s="3">
        <v>63</v>
      </c>
    </row>
    <row r="1282" spans="1:23" x14ac:dyDescent="0.35">
      <c r="A1282" s="3" t="s">
        <v>492</v>
      </c>
      <c r="B1282" s="3" t="s">
        <v>493</v>
      </c>
      <c r="C1282" s="3" t="s">
        <v>307</v>
      </c>
      <c r="D1282" s="3" t="s">
        <v>290</v>
      </c>
      <c r="E1282" s="3" t="s">
        <v>291</v>
      </c>
      <c r="F1282" s="3" t="s">
        <v>146</v>
      </c>
      <c r="G1282" s="3" t="s">
        <v>534</v>
      </c>
      <c r="H1282" s="3" t="s">
        <v>293</v>
      </c>
      <c r="I1282" s="3" t="s">
        <v>294</v>
      </c>
      <c r="J1282" s="3" t="s">
        <v>295</v>
      </c>
      <c r="K1282" s="3" t="s">
        <v>33</v>
      </c>
      <c r="L1282" s="3" t="s">
        <v>51</v>
      </c>
      <c r="M1282" s="3" t="s">
        <v>308</v>
      </c>
      <c r="N1282" s="3" t="s">
        <v>309</v>
      </c>
      <c r="O1282" s="3" t="s">
        <v>37</v>
      </c>
      <c r="P1282" s="3" t="s">
        <v>38</v>
      </c>
      <c r="Q1282" s="3" t="s">
        <v>39</v>
      </c>
      <c r="R1282" s="3" t="s">
        <v>40</v>
      </c>
      <c r="S1282" s="55">
        <v>7870.9</v>
      </c>
      <c r="T1282" s="55">
        <v>3170</v>
      </c>
      <c r="U1282" s="55">
        <v>0</v>
      </c>
      <c r="V1282" s="55">
        <v>4700.8999999999996</v>
      </c>
      <c r="W1282" s="3">
        <v>40</v>
      </c>
    </row>
    <row r="1283" spans="1:23" x14ac:dyDescent="0.35">
      <c r="A1283" s="3" t="s">
        <v>492</v>
      </c>
      <c r="B1283" s="3" t="s">
        <v>493</v>
      </c>
      <c r="C1283" s="3" t="s">
        <v>436</v>
      </c>
      <c r="D1283" s="3" t="s">
        <v>290</v>
      </c>
      <c r="E1283" s="3" t="s">
        <v>291</v>
      </c>
      <c r="F1283" s="3" t="s">
        <v>146</v>
      </c>
      <c r="G1283" s="3" t="s">
        <v>534</v>
      </c>
      <c r="H1283" s="3" t="s">
        <v>293</v>
      </c>
      <c r="I1283" s="3" t="s">
        <v>294</v>
      </c>
      <c r="J1283" s="3" t="s">
        <v>295</v>
      </c>
      <c r="K1283" s="3" t="s">
        <v>33</v>
      </c>
      <c r="L1283" s="3" t="s">
        <v>51</v>
      </c>
      <c r="M1283" s="3" t="s">
        <v>308</v>
      </c>
      <c r="N1283" s="3" t="s">
        <v>309</v>
      </c>
      <c r="O1283" s="3" t="s">
        <v>197</v>
      </c>
      <c r="P1283" s="3" t="s">
        <v>198</v>
      </c>
      <c r="Q1283" s="3" t="s">
        <v>39</v>
      </c>
      <c r="R1283" s="3" t="s">
        <v>40</v>
      </c>
      <c r="S1283" s="55">
        <v>3639.8</v>
      </c>
      <c r="T1283" s="55">
        <v>2060.9299999999998</v>
      </c>
      <c r="U1283" s="55">
        <v>398.61</v>
      </c>
      <c r="V1283" s="55">
        <v>1578.87</v>
      </c>
      <c r="W1283" s="3">
        <v>57</v>
      </c>
    </row>
    <row r="1284" spans="1:23" x14ac:dyDescent="0.35">
      <c r="A1284" s="3" t="s">
        <v>492</v>
      </c>
      <c r="B1284" s="3" t="s">
        <v>493</v>
      </c>
      <c r="C1284" s="3" t="s">
        <v>310</v>
      </c>
      <c r="D1284" s="3" t="s">
        <v>290</v>
      </c>
      <c r="E1284" s="3" t="s">
        <v>291</v>
      </c>
      <c r="F1284" s="3" t="s">
        <v>146</v>
      </c>
      <c r="G1284" s="3" t="s">
        <v>534</v>
      </c>
      <c r="H1284" s="3" t="s">
        <v>293</v>
      </c>
      <c r="I1284" s="3" t="s">
        <v>294</v>
      </c>
      <c r="J1284" s="3" t="s">
        <v>295</v>
      </c>
      <c r="K1284" s="3" t="s">
        <v>33</v>
      </c>
      <c r="L1284" s="3" t="s">
        <v>51</v>
      </c>
      <c r="M1284" s="3" t="s">
        <v>311</v>
      </c>
      <c r="N1284" s="3" t="s">
        <v>312</v>
      </c>
      <c r="O1284" s="3" t="s">
        <v>197</v>
      </c>
      <c r="P1284" s="3" t="s">
        <v>198</v>
      </c>
      <c r="Q1284" s="3" t="s">
        <v>39</v>
      </c>
      <c r="R1284" s="3" t="s">
        <v>40</v>
      </c>
      <c r="S1284" s="55">
        <v>40101.9</v>
      </c>
      <c r="T1284" s="55">
        <v>36321.117899999997</v>
      </c>
      <c r="U1284" s="55">
        <v>438.71350000000001</v>
      </c>
      <c r="V1284" s="55">
        <v>3780.7820999999999</v>
      </c>
      <c r="W1284" s="3">
        <v>91</v>
      </c>
    </row>
    <row r="1285" spans="1:23" x14ac:dyDescent="0.35">
      <c r="A1285" s="3" t="s">
        <v>492</v>
      </c>
      <c r="B1285" s="3" t="s">
        <v>493</v>
      </c>
      <c r="C1285" s="3" t="s">
        <v>313</v>
      </c>
      <c r="D1285" s="3" t="s">
        <v>290</v>
      </c>
      <c r="E1285" s="3" t="s">
        <v>291</v>
      </c>
      <c r="F1285" s="3" t="s">
        <v>146</v>
      </c>
      <c r="G1285" s="3" t="s">
        <v>534</v>
      </c>
      <c r="H1285" s="3" t="s">
        <v>293</v>
      </c>
      <c r="I1285" s="3" t="s">
        <v>294</v>
      </c>
      <c r="J1285" s="3" t="s">
        <v>295</v>
      </c>
      <c r="K1285" s="3" t="s">
        <v>33</v>
      </c>
      <c r="L1285" s="3" t="s">
        <v>51</v>
      </c>
      <c r="M1285" s="3" t="s">
        <v>314</v>
      </c>
      <c r="N1285" s="3" t="s">
        <v>315</v>
      </c>
      <c r="O1285" s="3" t="s">
        <v>197</v>
      </c>
      <c r="P1285" s="3" t="s">
        <v>198</v>
      </c>
      <c r="Q1285" s="3" t="s">
        <v>39</v>
      </c>
      <c r="R1285" s="3" t="s">
        <v>40</v>
      </c>
      <c r="S1285" s="55">
        <v>712.6</v>
      </c>
      <c r="T1285" s="55">
        <v>712.53840000000002</v>
      </c>
      <c r="U1285" s="55">
        <v>712.53840000000002</v>
      </c>
      <c r="V1285" s="55">
        <v>6.1600000000000002E-2</v>
      </c>
      <c r="W1285" s="3">
        <v>100</v>
      </c>
    </row>
    <row r="1286" spans="1:23" x14ac:dyDescent="0.35">
      <c r="A1286" s="3" t="s">
        <v>492</v>
      </c>
      <c r="B1286" s="3" t="s">
        <v>493</v>
      </c>
      <c r="C1286" s="3" t="s">
        <v>539</v>
      </c>
      <c r="D1286" s="3" t="s">
        <v>290</v>
      </c>
      <c r="E1286" s="3" t="s">
        <v>291</v>
      </c>
      <c r="F1286" s="3" t="s">
        <v>146</v>
      </c>
      <c r="G1286" s="3" t="s">
        <v>534</v>
      </c>
      <c r="H1286" s="3" t="s">
        <v>293</v>
      </c>
      <c r="I1286" s="3" t="s">
        <v>294</v>
      </c>
      <c r="J1286" s="3" t="s">
        <v>295</v>
      </c>
      <c r="K1286" s="3" t="s">
        <v>33</v>
      </c>
      <c r="L1286" s="3" t="s">
        <v>51</v>
      </c>
      <c r="M1286" s="3" t="s">
        <v>540</v>
      </c>
      <c r="N1286" s="3" t="s">
        <v>541</v>
      </c>
      <c r="O1286" s="3" t="s">
        <v>197</v>
      </c>
      <c r="P1286" s="3" t="s">
        <v>198</v>
      </c>
      <c r="Q1286" s="3" t="s">
        <v>39</v>
      </c>
      <c r="R1286" s="3" t="s">
        <v>40</v>
      </c>
      <c r="S1286" s="55">
        <v>30745.7</v>
      </c>
      <c r="T1286" s="55">
        <v>21451.273399999998</v>
      </c>
      <c r="U1286" s="55">
        <v>0</v>
      </c>
      <c r="V1286" s="55">
        <v>9294.4266000000007</v>
      </c>
      <c r="W1286" s="3">
        <v>70</v>
      </c>
    </row>
    <row r="1287" spans="1:23" x14ac:dyDescent="0.35">
      <c r="A1287" s="3" t="s">
        <v>492</v>
      </c>
      <c r="B1287" s="3" t="s">
        <v>493</v>
      </c>
      <c r="C1287" s="3" t="s">
        <v>322</v>
      </c>
      <c r="D1287" s="3" t="s">
        <v>317</v>
      </c>
      <c r="E1287" s="3" t="s">
        <v>291</v>
      </c>
      <c r="F1287" s="3" t="s">
        <v>318</v>
      </c>
      <c r="G1287" s="3" t="s">
        <v>319</v>
      </c>
      <c r="H1287" s="3" t="s">
        <v>293</v>
      </c>
      <c r="I1287" s="3" t="s">
        <v>294</v>
      </c>
      <c r="J1287" s="3" t="s">
        <v>295</v>
      </c>
      <c r="K1287" s="3" t="s">
        <v>33</v>
      </c>
      <c r="L1287" s="3" t="s">
        <v>51</v>
      </c>
      <c r="M1287" s="3" t="s">
        <v>323</v>
      </c>
      <c r="N1287" s="3" t="s">
        <v>324</v>
      </c>
      <c r="O1287" s="3" t="s">
        <v>197</v>
      </c>
      <c r="P1287" s="3" t="s">
        <v>198</v>
      </c>
      <c r="Q1287" s="3" t="s">
        <v>39</v>
      </c>
      <c r="R1287" s="3" t="s">
        <v>40</v>
      </c>
      <c r="S1287" s="55">
        <v>12448.4</v>
      </c>
      <c r="T1287" s="55">
        <v>3061.3195999999998</v>
      </c>
      <c r="U1287" s="55">
        <v>0</v>
      </c>
      <c r="V1287" s="55">
        <v>9387.0804000000007</v>
      </c>
      <c r="W1287" s="3">
        <v>25</v>
      </c>
    </row>
    <row r="1288" spans="1:23" x14ac:dyDescent="0.35">
      <c r="A1288" s="3" t="s">
        <v>492</v>
      </c>
      <c r="B1288" s="3" t="s">
        <v>493</v>
      </c>
      <c r="C1288" s="3" t="s">
        <v>325</v>
      </c>
      <c r="D1288" s="3" t="s">
        <v>326</v>
      </c>
      <c r="E1288" s="3" t="s">
        <v>327</v>
      </c>
      <c r="F1288" s="3" t="s">
        <v>189</v>
      </c>
      <c r="G1288" s="3" t="s">
        <v>328</v>
      </c>
      <c r="H1288" s="3" t="s">
        <v>146</v>
      </c>
      <c r="I1288" s="3" t="s">
        <v>329</v>
      </c>
      <c r="J1288" s="3" t="s">
        <v>330</v>
      </c>
      <c r="K1288" s="3" t="s">
        <v>33</v>
      </c>
      <c r="L1288" s="3" t="s">
        <v>51</v>
      </c>
      <c r="M1288" s="3" t="s">
        <v>331</v>
      </c>
      <c r="N1288" s="3" t="s">
        <v>332</v>
      </c>
      <c r="O1288" s="3" t="s">
        <v>108</v>
      </c>
      <c r="P1288" s="3" t="s">
        <v>109</v>
      </c>
      <c r="Q1288" s="3" t="s">
        <v>39</v>
      </c>
      <c r="R1288" s="3" t="s">
        <v>40</v>
      </c>
      <c r="S1288" s="55">
        <v>607335</v>
      </c>
      <c r="T1288" s="55">
        <v>351026.8897</v>
      </c>
      <c r="U1288" s="55">
        <v>25163.330300000001</v>
      </c>
      <c r="V1288" s="55">
        <v>256308.1103</v>
      </c>
      <c r="W1288" s="3">
        <v>58</v>
      </c>
    </row>
    <row r="1289" spans="1:23" x14ac:dyDescent="0.35">
      <c r="A1289" s="3" t="s">
        <v>492</v>
      </c>
      <c r="B1289" s="3" t="s">
        <v>493</v>
      </c>
      <c r="C1289" s="3" t="s">
        <v>333</v>
      </c>
      <c r="D1289" s="3" t="s">
        <v>326</v>
      </c>
      <c r="E1289" s="3" t="s">
        <v>327</v>
      </c>
      <c r="F1289" s="3" t="s">
        <v>189</v>
      </c>
      <c r="G1289" s="3" t="s">
        <v>328</v>
      </c>
      <c r="H1289" s="3" t="s">
        <v>146</v>
      </c>
      <c r="I1289" s="3" t="s">
        <v>329</v>
      </c>
      <c r="J1289" s="3" t="s">
        <v>330</v>
      </c>
      <c r="K1289" s="3" t="s">
        <v>33</v>
      </c>
      <c r="L1289" s="3" t="s">
        <v>51</v>
      </c>
      <c r="M1289" s="3" t="s">
        <v>331</v>
      </c>
      <c r="N1289" s="3" t="s">
        <v>332</v>
      </c>
      <c r="O1289" s="3" t="s">
        <v>334</v>
      </c>
      <c r="P1289" s="3" t="s">
        <v>335</v>
      </c>
      <c r="Q1289" s="3" t="s">
        <v>39</v>
      </c>
      <c r="R1289" s="3" t="s">
        <v>40</v>
      </c>
      <c r="S1289" s="55">
        <v>5154.6000000000004</v>
      </c>
      <c r="T1289" s="55">
        <v>2595.9648999999999</v>
      </c>
      <c r="U1289" s="55">
        <v>205.00020000000001</v>
      </c>
      <c r="V1289" s="55">
        <v>2558.6351</v>
      </c>
      <c r="W1289" s="3">
        <v>50</v>
      </c>
    </row>
    <row r="1290" spans="1:23" x14ac:dyDescent="0.35">
      <c r="A1290" s="3" t="s">
        <v>492</v>
      </c>
      <c r="B1290" s="3" t="s">
        <v>493</v>
      </c>
      <c r="C1290" s="3" t="s">
        <v>542</v>
      </c>
      <c r="D1290" s="3" t="s">
        <v>337</v>
      </c>
      <c r="E1290" s="3" t="s">
        <v>327</v>
      </c>
      <c r="F1290" s="3" t="s">
        <v>116</v>
      </c>
      <c r="G1290" s="3" t="s">
        <v>338</v>
      </c>
      <c r="H1290" s="3" t="s">
        <v>146</v>
      </c>
      <c r="I1290" s="3" t="s">
        <v>329</v>
      </c>
      <c r="J1290" s="3" t="s">
        <v>339</v>
      </c>
      <c r="K1290" s="3" t="s">
        <v>23</v>
      </c>
      <c r="L1290" s="3" t="s">
        <v>203</v>
      </c>
      <c r="M1290" s="3" t="s">
        <v>543</v>
      </c>
      <c r="N1290" s="3" t="s">
        <v>341</v>
      </c>
      <c r="O1290" s="3" t="s">
        <v>197</v>
      </c>
      <c r="P1290" s="3" t="s">
        <v>198</v>
      </c>
      <c r="Q1290" s="3" t="s">
        <v>39</v>
      </c>
      <c r="R1290" s="3" t="s">
        <v>40</v>
      </c>
      <c r="S1290" s="55">
        <v>79182.8</v>
      </c>
      <c r="T1290" s="55">
        <v>68566.592399999994</v>
      </c>
      <c r="U1290" s="55">
        <v>0</v>
      </c>
      <c r="V1290" s="55">
        <v>10616.2076</v>
      </c>
      <c r="W1290" s="3">
        <v>87</v>
      </c>
    </row>
    <row r="1291" spans="1:23" x14ac:dyDescent="0.35">
      <c r="A1291" s="3" t="s">
        <v>492</v>
      </c>
      <c r="B1291" s="3" t="s">
        <v>493</v>
      </c>
      <c r="C1291" s="3" t="s">
        <v>544</v>
      </c>
      <c r="D1291" s="3" t="s">
        <v>337</v>
      </c>
      <c r="E1291" s="3" t="s">
        <v>327</v>
      </c>
      <c r="F1291" s="3" t="s">
        <v>116</v>
      </c>
      <c r="G1291" s="3" t="s">
        <v>338</v>
      </c>
      <c r="H1291" s="3" t="s">
        <v>146</v>
      </c>
      <c r="I1291" s="3" t="s">
        <v>329</v>
      </c>
      <c r="J1291" s="3" t="s">
        <v>339</v>
      </c>
      <c r="K1291" s="3" t="s">
        <v>23</v>
      </c>
      <c r="L1291" s="3" t="s">
        <v>203</v>
      </c>
      <c r="M1291" s="3" t="s">
        <v>545</v>
      </c>
      <c r="N1291" s="3" t="s">
        <v>359</v>
      </c>
      <c r="O1291" s="3" t="s">
        <v>197</v>
      </c>
      <c r="P1291" s="3" t="s">
        <v>198</v>
      </c>
      <c r="Q1291" s="3" t="s">
        <v>39</v>
      </c>
      <c r="R1291" s="3" t="s">
        <v>40</v>
      </c>
      <c r="S1291" s="55">
        <v>50.1</v>
      </c>
      <c r="T1291" s="55">
        <v>50.1</v>
      </c>
      <c r="U1291" s="55">
        <v>0</v>
      </c>
      <c r="V1291" s="55">
        <v>0</v>
      </c>
      <c r="W1291" s="3">
        <v>100</v>
      </c>
    </row>
    <row r="1292" spans="1:23" x14ac:dyDescent="0.35">
      <c r="A1292" s="3" t="s">
        <v>492</v>
      </c>
      <c r="B1292" s="3" t="s">
        <v>493</v>
      </c>
      <c r="C1292" s="3" t="s">
        <v>437</v>
      </c>
      <c r="D1292" s="3" t="s">
        <v>337</v>
      </c>
      <c r="E1292" s="3" t="s">
        <v>327</v>
      </c>
      <c r="F1292" s="3" t="s">
        <v>116</v>
      </c>
      <c r="G1292" s="3" t="s">
        <v>338</v>
      </c>
      <c r="H1292" s="3" t="s">
        <v>146</v>
      </c>
      <c r="I1292" s="3" t="s">
        <v>329</v>
      </c>
      <c r="J1292" s="3" t="s">
        <v>330</v>
      </c>
      <c r="K1292" s="3" t="s">
        <v>33</v>
      </c>
      <c r="L1292" s="3" t="s">
        <v>51</v>
      </c>
      <c r="M1292" s="3" t="s">
        <v>438</v>
      </c>
      <c r="N1292" s="3" t="s">
        <v>439</v>
      </c>
      <c r="O1292" s="3" t="s">
        <v>197</v>
      </c>
      <c r="P1292" s="3" t="s">
        <v>198</v>
      </c>
      <c r="Q1292" s="3" t="s">
        <v>39</v>
      </c>
      <c r="R1292" s="3" t="s">
        <v>40</v>
      </c>
      <c r="S1292" s="55">
        <v>35585.699999999997</v>
      </c>
      <c r="T1292" s="55">
        <v>17520.559300000001</v>
      </c>
      <c r="U1292" s="55">
        <v>1596.4166</v>
      </c>
      <c r="V1292" s="55">
        <v>18065.1407</v>
      </c>
      <c r="W1292" s="3">
        <v>49</v>
      </c>
    </row>
    <row r="1293" spans="1:23" x14ac:dyDescent="0.35">
      <c r="A1293" s="3" t="s">
        <v>492</v>
      </c>
      <c r="B1293" s="3" t="s">
        <v>493</v>
      </c>
      <c r="C1293" s="3" t="s">
        <v>342</v>
      </c>
      <c r="D1293" s="3" t="s">
        <v>337</v>
      </c>
      <c r="E1293" s="3" t="s">
        <v>327</v>
      </c>
      <c r="F1293" s="3" t="s">
        <v>116</v>
      </c>
      <c r="G1293" s="3" t="s">
        <v>338</v>
      </c>
      <c r="H1293" s="3" t="s">
        <v>146</v>
      </c>
      <c r="I1293" s="3" t="s">
        <v>329</v>
      </c>
      <c r="J1293" s="3" t="s">
        <v>330</v>
      </c>
      <c r="K1293" s="3" t="s">
        <v>33</v>
      </c>
      <c r="L1293" s="3" t="s">
        <v>51</v>
      </c>
      <c r="M1293" s="3" t="s">
        <v>343</v>
      </c>
      <c r="N1293" s="3" t="s">
        <v>344</v>
      </c>
      <c r="O1293" s="3" t="s">
        <v>37</v>
      </c>
      <c r="P1293" s="3" t="s">
        <v>38</v>
      </c>
      <c r="Q1293" s="3" t="s">
        <v>39</v>
      </c>
      <c r="R1293" s="3" t="s">
        <v>40</v>
      </c>
      <c r="S1293" s="55">
        <v>46.1</v>
      </c>
      <c r="T1293" s="55">
        <v>0</v>
      </c>
      <c r="U1293" s="55">
        <v>0</v>
      </c>
      <c r="V1293" s="55">
        <v>46.1</v>
      </c>
      <c r="W1293" s="3">
        <v>0</v>
      </c>
    </row>
    <row r="1294" spans="1:23" x14ac:dyDescent="0.35">
      <c r="A1294" s="3" t="s">
        <v>492</v>
      </c>
      <c r="B1294" s="3" t="s">
        <v>493</v>
      </c>
      <c r="C1294" s="3" t="s">
        <v>345</v>
      </c>
      <c r="D1294" s="3" t="s">
        <v>337</v>
      </c>
      <c r="E1294" s="3" t="s">
        <v>327</v>
      </c>
      <c r="F1294" s="3" t="s">
        <v>116</v>
      </c>
      <c r="G1294" s="3" t="s">
        <v>338</v>
      </c>
      <c r="H1294" s="3" t="s">
        <v>146</v>
      </c>
      <c r="I1294" s="3" t="s">
        <v>329</v>
      </c>
      <c r="J1294" s="3" t="s">
        <v>330</v>
      </c>
      <c r="K1294" s="3" t="s">
        <v>33</v>
      </c>
      <c r="L1294" s="3" t="s">
        <v>51</v>
      </c>
      <c r="M1294" s="3" t="s">
        <v>346</v>
      </c>
      <c r="N1294" s="3" t="s">
        <v>347</v>
      </c>
      <c r="O1294" s="3" t="s">
        <v>197</v>
      </c>
      <c r="P1294" s="3" t="s">
        <v>198</v>
      </c>
      <c r="Q1294" s="3" t="s">
        <v>39</v>
      </c>
      <c r="R1294" s="3" t="s">
        <v>40</v>
      </c>
      <c r="S1294" s="55">
        <v>98282.8</v>
      </c>
      <c r="T1294" s="55">
        <v>0</v>
      </c>
      <c r="U1294" s="55">
        <v>0</v>
      </c>
      <c r="V1294" s="55">
        <v>98282.8</v>
      </c>
      <c r="W1294" s="3">
        <v>0</v>
      </c>
    </row>
    <row r="1295" spans="1:23" x14ac:dyDescent="0.35">
      <c r="A1295" s="3" t="s">
        <v>492</v>
      </c>
      <c r="B1295" s="3" t="s">
        <v>493</v>
      </c>
      <c r="C1295" s="3" t="s">
        <v>489</v>
      </c>
      <c r="D1295" s="3" t="s">
        <v>337</v>
      </c>
      <c r="E1295" s="3" t="s">
        <v>327</v>
      </c>
      <c r="F1295" s="3" t="s">
        <v>116</v>
      </c>
      <c r="G1295" s="3" t="s">
        <v>338</v>
      </c>
      <c r="H1295" s="3" t="s">
        <v>146</v>
      </c>
      <c r="I1295" s="3" t="s">
        <v>329</v>
      </c>
      <c r="J1295" s="3" t="s">
        <v>330</v>
      </c>
      <c r="K1295" s="3" t="s">
        <v>33</v>
      </c>
      <c r="L1295" s="3" t="s">
        <v>51</v>
      </c>
      <c r="M1295" s="3" t="s">
        <v>490</v>
      </c>
      <c r="N1295" s="3" t="s">
        <v>491</v>
      </c>
      <c r="O1295" s="3" t="s">
        <v>197</v>
      </c>
      <c r="P1295" s="3" t="s">
        <v>198</v>
      </c>
      <c r="Q1295" s="3" t="s">
        <v>39</v>
      </c>
      <c r="R1295" s="3" t="s">
        <v>40</v>
      </c>
      <c r="S1295" s="55">
        <v>14237.2</v>
      </c>
      <c r="T1295" s="55">
        <v>0</v>
      </c>
      <c r="U1295" s="55">
        <v>0</v>
      </c>
      <c r="V1295" s="55">
        <v>14237.2</v>
      </c>
      <c r="W1295" s="3">
        <v>0</v>
      </c>
    </row>
    <row r="1296" spans="1:23" x14ac:dyDescent="0.35">
      <c r="A1296" s="3" t="s">
        <v>492</v>
      </c>
      <c r="B1296" s="3" t="s">
        <v>493</v>
      </c>
      <c r="C1296" s="3" t="s">
        <v>348</v>
      </c>
      <c r="D1296" s="3" t="s">
        <v>337</v>
      </c>
      <c r="E1296" s="3" t="s">
        <v>327</v>
      </c>
      <c r="F1296" s="3" t="s">
        <v>116</v>
      </c>
      <c r="G1296" s="3" t="s">
        <v>338</v>
      </c>
      <c r="H1296" s="3" t="s">
        <v>146</v>
      </c>
      <c r="I1296" s="3" t="s">
        <v>329</v>
      </c>
      <c r="J1296" s="3" t="s">
        <v>330</v>
      </c>
      <c r="K1296" s="3" t="s">
        <v>33</v>
      </c>
      <c r="L1296" s="3" t="s">
        <v>51</v>
      </c>
      <c r="M1296" s="3" t="s">
        <v>349</v>
      </c>
      <c r="N1296" s="3" t="s">
        <v>350</v>
      </c>
      <c r="O1296" s="3" t="s">
        <v>197</v>
      </c>
      <c r="P1296" s="3" t="s">
        <v>198</v>
      </c>
      <c r="Q1296" s="3" t="s">
        <v>39</v>
      </c>
      <c r="R1296" s="3" t="s">
        <v>40</v>
      </c>
      <c r="S1296" s="55">
        <v>100</v>
      </c>
      <c r="T1296" s="55">
        <v>0</v>
      </c>
      <c r="U1296" s="55">
        <v>0</v>
      </c>
      <c r="V1296" s="55">
        <v>100</v>
      </c>
      <c r="W1296" s="3">
        <v>0</v>
      </c>
    </row>
    <row r="1297" spans="1:23" x14ac:dyDescent="0.35">
      <c r="A1297" s="3" t="s">
        <v>492</v>
      </c>
      <c r="B1297" s="3" t="s">
        <v>493</v>
      </c>
      <c r="C1297" s="3" t="s">
        <v>546</v>
      </c>
      <c r="D1297" s="3" t="s">
        <v>337</v>
      </c>
      <c r="E1297" s="3" t="s">
        <v>327</v>
      </c>
      <c r="F1297" s="3" t="s">
        <v>116</v>
      </c>
      <c r="G1297" s="3" t="s">
        <v>338</v>
      </c>
      <c r="H1297" s="3" t="s">
        <v>146</v>
      </c>
      <c r="I1297" s="3" t="s">
        <v>329</v>
      </c>
      <c r="J1297" s="3" t="s">
        <v>330</v>
      </c>
      <c r="K1297" s="3" t="s">
        <v>33</v>
      </c>
      <c r="L1297" s="3" t="s">
        <v>51</v>
      </c>
      <c r="M1297" s="3" t="s">
        <v>547</v>
      </c>
      <c r="N1297" s="3" t="s">
        <v>548</v>
      </c>
      <c r="O1297" s="3" t="s">
        <v>197</v>
      </c>
      <c r="P1297" s="3" t="s">
        <v>198</v>
      </c>
      <c r="Q1297" s="3" t="s">
        <v>39</v>
      </c>
      <c r="R1297" s="3" t="s">
        <v>40</v>
      </c>
      <c r="S1297" s="55">
        <v>15384.9</v>
      </c>
      <c r="T1297" s="55">
        <v>0</v>
      </c>
      <c r="U1297" s="55">
        <v>0</v>
      </c>
      <c r="V1297" s="55">
        <v>15384.9</v>
      </c>
      <c r="W1297" s="3">
        <v>0</v>
      </c>
    </row>
    <row r="1298" spans="1:23" x14ac:dyDescent="0.35">
      <c r="A1298" s="3" t="s">
        <v>492</v>
      </c>
      <c r="B1298" s="3" t="s">
        <v>493</v>
      </c>
      <c r="C1298" s="3" t="s">
        <v>455</v>
      </c>
      <c r="D1298" s="3" t="s">
        <v>337</v>
      </c>
      <c r="E1298" s="3" t="s">
        <v>327</v>
      </c>
      <c r="F1298" s="3" t="s">
        <v>116</v>
      </c>
      <c r="G1298" s="3" t="s">
        <v>338</v>
      </c>
      <c r="H1298" s="3" t="s">
        <v>146</v>
      </c>
      <c r="I1298" s="3" t="s">
        <v>329</v>
      </c>
      <c r="J1298" s="3" t="s">
        <v>330</v>
      </c>
      <c r="K1298" s="3" t="s">
        <v>33</v>
      </c>
      <c r="L1298" s="3" t="s">
        <v>51</v>
      </c>
      <c r="M1298" s="3" t="s">
        <v>456</v>
      </c>
      <c r="N1298" s="3" t="s">
        <v>457</v>
      </c>
      <c r="O1298" s="3" t="s">
        <v>197</v>
      </c>
      <c r="P1298" s="3" t="s">
        <v>198</v>
      </c>
      <c r="Q1298" s="3" t="s">
        <v>39</v>
      </c>
      <c r="R1298" s="3" t="s">
        <v>40</v>
      </c>
      <c r="S1298" s="55">
        <v>2903.1</v>
      </c>
      <c r="T1298" s="55">
        <v>1587.6786999999999</v>
      </c>
      <c r="U1298" s="55">
        <v>0</v>
      </c>
      <c r="V1298" s="55">
        <v>1315.4213</v>
      </c>
      <c r="W1298" s="3">
        <v>55</v>
      </c>
    </row>
    <row r="1299" spans="1:23" x14ac:dyDescent="0.35">
      <c r="A1299" s="3" t="s">
        <v>492</v>
      </c>
      <c r="B1299" s="3" t="s">
        <v>493</v>
      </c>
      <c r="C1299" s="3" t="s">
        <v>354</v>
      </c>
      <c r="D1299" s="3" t="s">
        <v>337</v>
      </c>
      <c r="E1299" s="3" t="s">
        <v>327</v>
      </c>
      <c r="F1299" s="3" t="s">
        <v>116</v>
      </c>
      <c r="G1299" s="3" t="s">
        <v>338</v>
      </c>
      <c r="H1299" s="3" t="s">
        <v>146</v>
      </c>
      <c r="I1299" s="3" t="s">
        <v>329</v>
      </c>
      <c r="J1299" s="3" t="s">
        <v>330</v>
      </c>
      <c r="K1299" s="3" t="s">
        <v>33</v>
      </c>
      <c r="L1299" s="3" t="s">
        <v>51</v>
      </c>
      <c r="M1299" s="3" t="s">
        <v>355</v>
      </c>
      <c r="N1299" s="3" t="s">
        <v>356</v>
      </c>
      <c r="O1299" s="3" t="s">
        <v>197</v>
      </c>
      <c r="P1299" s="3" t="s">
        <v>198</v>
      </c>
      <c r="Q1299" s="3" t="s">
        <v>39</v>
      </c>
      <c r="R1299" s="3" t="s">
        <v>40</v>
      </c>
      <c r="S1299" s="55">
        <v>43694.2</v>
      </c>
      <c r="T1299" s="55">
        <v>21914.021400000001</v>
      </c>
      <c r="U1299" s="55">
        <v>1637.0536</v>
      </c>
      <c r="V1299" s="55">
        <v>21780.178599999999</v>
      </c>
      <c r="W1299" s="3">
        <v>50</v>
      </c>
    </row>
    <row r="1300" spans="1:23" x14ac:dyDescent="0.35">
      <c r="A1300" s="3" t="s">
        <v>492</v>
      </c>
      <c r="B1300" s="3" t="s">
        <v>493</v>
      </c>
      <c r="C1300" s="3" t="s">
        <v>463</v>
      </c>
      <c r="D1300" s="3" t="s">
        <v>337</v>
      </c>
      <c r="E1300" s="3" t="s">
        <v>327</v>
      </c>
      <c r="F1300" s="3" t="s">
        <v>116</v>
      </c>
      <c r="G1300" s="3" t="s">
        <v>338</v>
      </c>
      <c r="H1300" s="3" t="s">
        <v>146</v>
      </c>
      <c r="I1300" s="3" t="s">
        <v>329</v>
      </c>
      <c r="J1300" s="3" t="s">
        <v>330</v>
      </c>
      <c r="K1300" s="3" t="s">
        <v>33</v>
      </c>
      <c r="L1300" s="3" t="s">
        <v>51</v>
      </c>
      <c r="M1300" s="3" t="s">
        <v>464</v>
      </c>
      <c r="N1300" s="3" t="s">
        <v>465</v>
      </c>
      <c r="O1300" s="3" t="s">
        <v>197</v>
      </c>
      <c r="P1300" s="3" t="s">
        <v>198</v>
      </c>
      <c r="Q1300" s="3" t="s">
        <v>39</v>
      </c>
      <c r="R1300" s="3" t="s">
        <v>40</v>
      </c>
      <c r="S1300" s="55">
        <v>194092.1</v>
      </c>
      <c r="T1300" s="55">
        <v>138175.7905</v>
      </c>
      <c r="U1300" s="55">
        <v>136044.85649999999</v>
      </c>
      <c r="V1300" s="55">
        <v>55916.309500000003</v>
      </c>
      <c r="W1300" s="3">
        <v>71</v>
      </c>
    </row>
    <row r="1301" spans="1:23" x14ac:dyDescent="0.35">
      <c r="A1301" s="3" t="s">
        <v>492</v>
      </c>
      <c r="B1301" s="3" t="s">
        <v>493</v>
      </c>
      <c r="C1301" s="3" t="s">
        <v>363</v>
      </c>
      <c r="D1301" s="3" t="s">
        <v>364</v>
      </c>
      <c r="E1301" s="3" t="s">
        <v>365</v>
      </c>
      <c r="F1301" s="3" t="s">
        <v>189</v>
      </c>
      <c r="G1301" s="3" t="s">
        <v>366</v>
      </c>
      <c r="H1301" s="3" t="s">
        <v>28</v>
      </c>
      <c r="I1301" s="3" t="s">
        <v>231</v>
      </c>
      <c r="J1301" s="3" t="s">
        <v>232</v>
      </c>
      <c r="K1301" s="3" t="s">
        <v>33</v>
      </c>
      <c r="L1301" s="3" t="s">
        <v>51</v>
      </c>
      <c r="M1301" s="3" t="s">
        <v>367</v>
      </c>
      <c r="N1301" s="3" t="s">
        <v>368</v>
      </c>
      <c r="O1301" s="3" t="s">
        <v>108</v>
      </c>
      <c r="P1301" s="3" t="s">
        <v>109</v>
      </c>
      <c r="Q1301" s="3" t="s">
        <v>39</v>
      </c>
      <c r="R1301" s="3" t="s">
        <v>40</v>
      </c>
      <c r="S1301" s="55">
        <v>181890.3</v>
      </c>
      <c r="T1301" s="55">
        <v>125688.99950000001</v>
      </c>
      <c r="U1301" s="55">
        <v>13373.9329</v>
      </c>
      <c r="V1301" s="55">
        <v>56201.300499999998</v>
      </c>
      <c r="W1301" s="3">
        <v>69</v>
      </c>
    </row>
    <row r="1302" spans="1:23" x14ac:dyDescent="0.35">
      <c r="A1302" s="3" t="s">
        <v>492</v>
      </c>
      <c r="B1302" s="3" t="s">
        <v>493</v>
      </c>
      <c r="C1302" s="3" t="s">
        <v>369</v>
      </c>
      <c r="D1302" s="3" t="s">
        <v>364</v>
      </c>
      <c r="E1302" s="3" t="s">
        <v>365</v>
      </c>
      <c r="F1302" s="3" t="s">
        <v>189</v>
      </c>
      <c r="G1302" s="3" t="s">
        <v>366</v>
      </c>
      <c r="H1302" s="3" t="s">
        <v>28</v>
      </c>
      <c r="I1302" s="3" t="s">
        <v>231</v>
      </c>
      <c r="J1302" s="3" t="s">
        <v>232</v>
      </c>
      <c r="K1302" s="3" t="s">
        <v>33</v>
      </c>
      <c r="L1302" s="3" t="s">
        <v>51</v>
      </c>
      <c r="M1302" s="3" t="s">
        <v>367</v>
      </c>
      <c r="N1302" s="3" t="s">
        <v>368</v>
      </c>
      <c r="O1302" s="3" t="s">
        <v>334</v>
      </c>
      <c r="P1302" s="3" t="s">
        <v>335</v>
      </c>
      <c r="Q1302" s="3" t="s">
        <v>39</v>
      </c>
      <c r="R1302" s="3" t="s">
        <v>40</v>
      </c>
      <c r="S1302" s="55">
        <v>18356.2</v>
      </c>
      <c r="T1302" s="55">
        <v>9495.8480999999992</v>
      </c>
      <c r="U1302" s="55">
        <v>1313.2497000000001</v>
      </c>
      <c r="V1302" s="55">
        <v>8860.3518999999997</v>
      </c>
      <c r="W1302" s="3">
        <v>52</v>
      </c>
    </row>
    <row r="1303" spans="1:23" x14ac:dyDescent="0.35">
      <c r="A1303" s="3" t="s">
        <v>492</v>
      </c>
      <c r="B1303" s="3" t="s">
        <v>493</v>
      </c>
      <c r="C1303" s="3" t="s">
        <v>373</v>
      </c>
      <c r="D1303" s="3" t="s">
        <v>364</v>
      </c>
      <c r="E1303" s="3" t="s">
        <v>365</v>
      </c>
      <c r="F1303" s="3" t="s">
        <v>189</v>
      </c>
      <c r="G1303" s="3" t="s">
        <v>366</v>
      </c>
      <c r="H1303" s="3" t="s">
        <v>28</v>
      </c>
      <c r="I1303" s="3" t="s">
        <v>231</v>
      </c>
      <c r="J1303" s="3" t="s">
        <v>232</v>
      </c>
      <c r="K1303" s="3" t="s">
        <v>33</v>
      </c>
      <c r="L1303" s="3" t="s">
        <v>51</v>
      </c>
      <c r="M1303" s="3" t="s">
        <v>371</v>
      </c>
      <c r="N1303" s="3" t="s">
        <v>372</v>
      </c>
      <c r="O1303" s="3" t="s">
        <v>334</v>
      </c>
      <c r="P1303" s="3" t="s">
        <v>335</v>
      </c>
      <c r="Q1303" s="3" t="s">
        <v>39</v>
      </c>
      <c r="R1303" s="3" t="s">
        <v>40</v>
      </c>
      <c r="S1303" s="55">
        <v>109296.5</v>
      </c>
      <c r="T1303" s="55">
        <v>79923.867100000003</v>
      </c>
      <c r="U1303" s="55">
        <v>5532.5721999999996</v>
      </c>
      <c r="V1303" s="55">
        <v>29372.632900000001</v>
      </c>
      <c r="W1303" s="3">
        <v>73</v>
      </c>
    </row>
    <row r="1304" spans="1:23" x14ac:dyDescent="0.35">
      <c r="A1304" s="3" t="s">
        <v>492</v>
      </c>
      <c r="B1304" s="3" t="s">
        <v>493</v>
      </c>
      <c r="C1304" s="3" t="s">
        <v>374</v>
      </c>
      <c r="D1304" s="3" t="s">
        <v>364</v>
      </c>
      <c r="E1304" s="3" t="s">
        <v>365</v>
      </c>
      <c r="F1304" s="3" t="s">
        <v>189</v>
      </c>
      <c r="G1304" s="3" t="s">
        <v>366</v>
      </c>
      <c r="H1304" s="3" t="s">
        <v>28</v>
      </c>
      <c r="I1304" s="3" t="s">
        <v>231</v>
      </c>
      <c r="J1304" s="3" t="s">
        <v>232</v>
      </c>
      <c r="K1304" s="3" t="s">
        <v>33</v>
      </c>
      <c r="L1304" s="3" t="s">
        <v>51</v>
      </c>
      <c r="M1304" s="3" t="s">
        <v>375</v>
      </c>
      <c r="N1304" s="3" t="s">
        <v>376</v>
      </c>
      <c r="O1304" s="3" t="s">
        <v>197</v>
      </c>
      <c r="P1304" s="3" t="s">
        <v>198</v>
      </c>
      <c r="Q1304" s="3" t="s">
        <v>39</v>
      </c>
      <c r="R1304" s="3" t="s">
        <v>40</v>
      </c>
      <c r="S1304" s="55">
        <v>10386</v>
      </c>
      <c r="T1304" s="55">
        <v>0</v>
      </c>
      <c r="U1304" s="55">
        <v>0</v>
      </c>
      <c r="V1304" s="55">
        <v>10386</v>
      </c>
      <c r="W1304" s="3">
        <v>0</v>
      </c>
    </row>
    <row r="1305" spans="1:23" x14ac:dyDescent="0.35">
      <c r="A1305" s="3" t="s">
        <v>492</v>
      </c>
      <c r="B1305" s="3" t="s">
        <v>493</v>
      </c>
      <c r="C1305" s="3" t="s">
        <v>377</v>
      </c>
      <c r="D1305" s="3" t="s">
        <v>364</v>
      </c>
      <c r="E1305" s="3" t="s">
        <v>365</v>
      </c>
      <c r="F1305" s="3" t="s">
        <v>189</v>
      </c>
      <c r="G1305" s="3" t="s">
        <v>366</v>
      </c>
      <c r="H1305" s="3" t="s">
        <v>28</v>
      </c>
      <c r="I1305" s="3" t="s">
        <v>231</v>
      </c>
      <c r="J1305" s="3" t="s">
        <v>232</v>
      </c>
      <c r="K1305" s="3" t="s">
        <v>33</v>
      </c>
      <c r="L1305" s="3" t="s">
        <v>51</v>
      </c>
      <c r="M1305" s="3" t="s">
        <v>378</v>
      </c>
      <c r="N1305" s="3" t="s">
        <v>549</v>
      </c>
      <c r="O1305" s="3" t="s">
        <v>108</v>
      </c>
      <c r="P1305" s="3" t="s">
        <v>109</v>
      </c>
      <c r="Q1305" s="3" t="s">
        <v>39</v>
      </c>
      <c r="R1305" s="3" t="s">
        <v>40</v>
      </c>
      <c r="S1305" s="55">
        <v>12844.7</v>
      </c>
      <c r="T1305" s="55">
        <v>9055.4231</v>
      </c>
      <c r="U1305" s="55">
        <v>1064.3463999999999</v>
      </c>
      <c r="V1305" s="55">
        <v>3789.2768999999998</v>
      </c>
      <c r="W1305" s="3">
        <v>70</v>
      </c>
    </row>
    <row r="1306" spans="1:23" x14ac:dyDescent="0.35">
      <c r="A1306" s="3" t="s">
        <v>492</v>
      </c>
      <c r="B1306" s="3" t="s">
        <v>493</v>
      </c>
      <c r="C1306" s="3" t="s">
        <v>380</v>
      </c>
      <c r="D1306" s="3" t="s">
        <v>364</v>
      </c>
      <c r="E1306" s="3" t="s">
        <v>365</v>
      </c>
      <c r="F1306" s="3" t="s">
        <v>189</v>
      </c>
      <c r="G1306" s="3" t="s">
        <v>366</v>
      </c>
      <c r="H1306" s="3" t="s">
        <v>28</v>
      </c>
      <c r="I1306" s="3" t="s">
        <v>231</v>
      </c>
      <c r="J1306" s="3" t="s">
        <v>232</v>
      </c>
      <c r="K1306" s="3" t="s">
        <v>33</v>
      </c>
      <c r="L1306" s="3" t="s">
        <v>51</v>
      </c>
      <c r="M1306" s="3" t="s">
        <v>378</v>
      </c>
      <c r="N1306" s="3" t="s">
        <v>549</v>
      </c>
      <c r="O1306" s="3" t="s">
        <v>334</v>
      </c>
      <c r="P1306" s="3" t="s">
        <v>335</v>
      </c>
      <c r="Q1306" s="3" t="s">
        <v>39</v>
      </c>
      <c r="R1306" s="3" t="s">
        <v>40</v>
      </c>
      <c r="S1306" s="55">
        <v>443478.3</v>
      </c>
      <c r="T1306" s="55">
        <v>300965.07900000003</v>
      </c>
      <c r="U1306" s="55">
        <v>38245.759400000003</v>
      </c>
      <c r="V1306" s="55">
        <v>142513.22099999999</v>
      </c>
      <c r="W1306" s="3">
        <v>68</v>
      </c>
    </row>
    <row r="1307" spans="1:23" x14ac:dyDescent="0.35">
      <c r="A1307" s="3" t="s">
        <v>492</v>
      </c>
      <c r="B1307" s="3" t="s">
        <v>493</v>
      </c>
      <c r="C1307" s="3" t="s">
        <v>384</v>
      </c>
      <c r="D1307" s="3" t="s">
        <v>364</v>
      </c>
      <c r="E1307" s="3" t="s">
        <v>365</v>
      </c>
      <c r="F1307" s="3" t="s">
        <v>189</v>
      </c>
      <c r="G1307" s="3" t="s">
        <v>366</v>
      </c>
      <c r="H1307" s="3" t="s">
        <v>28</v>
      </c>
      <c r="I1307" s="3" t="s">
        <v>231</v>
      </c>
      <c r="J1307" s="3" t="s">
        <v>232</v>
      </c>
      <c r="K1307" s="3" t="s">
        <v>33</v>
      </c>
      <c r="L1307" s="3" t="s">
        <v>51</v>
      </c>
      <c r="M1307" s="3" t="s">
        <v>382</v>
      </c>
      <c r="N1307" s="3" t="s">
        <v>383</v>
      </c>
      <c r="O1307" s="3" t="s">
        <v>334</v>
      </c>
      <c r="P1307" s="3" t="s">
        <v>335</v>
      </c>
      <c r="Q1307" s="3" t="s">
        <v>39</v>
      </c>
      <c r="R1307" s="3" t="s">
        <v>40</v>
      </c>
      <c r="S1307" s="55">
        <v>51058.7</v>
      </c>
      <c r="T1307" s="55">
        <v>34902.458899999998</v>
      </c>
      <c r="U1307" s="55">
        <v>3776.2231999999999</v>
      </c>
      <c r="V1307" s="55">
        <v>16156.241099999999</v>
      </c>
      <c r="W1307" s="3">
        <v>68</v>
      </c>
    </row>
    <row r="1308" spans="1:23" x14ac:dyDescent="0.35">
      <c r="A1308" s="3" t="s">
        <v>492</v>
      </c>
      <c r="B1308" s="3" t="s">
        <v>493</v>
      </c>
      <c r="C1308" s="3" t="s">
        <v>391</v>
      </c>
      <c r="D1308" s="3" t="s">
        <v>392</v>
      </c>
      <c r="E1308" s="3" t="s">
        <v>365</v>
      </c>
      <c r="F1308" s="3" t="s">
        <v>28</v>
      </c>
      <c r="G1308" s="3" t="s">
        <v>393</v>
      </c>
      <c r="H1308" s="3" t="s">
        <v>28</v>
      </c>
      <c r="I1308" s="3" t="s">
        <v>231</v>
      </c>
      <c r="J1308" s="3" t="s">
        <v>232</v>
      </c>
      <c r="K1308" s="3" t="s">
        <v>33</v>
      </c>
      <c r="L1308" s="3" t="s">
        <v>51</v>
      </c>
      <c r="M1308" s="3" t="s">
        <v>394</v>
      </c>
      <c r="N1308" s="3" t="s">
        <v>395</v>
      </c>
      <c r="O1308" s="3" t="s">
        <v>197</v>
      </c>
      <c r="P1308" s="3" t="s">
        <v>198</v>
      </c>
      <c r="Q1308" s="3" t="s">
        <v>39</v>
      </c>
      <c r="R1308" s="3" t="s">
        <v>40</v>
      </c>
      <c r="S1308" s="55">
        <v>48948.800000000003</v>
      </c>
      <c r="T1308" s="55">
        <v>41905.463000000003</v>
      </c>
      <c r="U1308" s="55">
        <v>1207.8605</v>
      </c>
      <c r="V1308" s="55">
        <v>7043.3370000000004</v>
      </c>
      <c r="W1308" s="3">
        <v>86</v>
      </c>
    </row>
    <row r="1309" spans="1:23" x14ac:dyDescent="0.35">
      <c r="A1309" s="3" t="s">
        <v>492</v>
      </c>
      <c r="B1309" s="3" t="s">
        <v>493</v>
      </c>
      <c r="C1309" s="3" t="s">
        <v>550</v>
      </c>
      <c r="D1309" s="3" t="s">
        <v>397</v>
      </c>
      <c r="E1309" s="3" t="s">
        <v>365</v>
      </c>
      <c r="F1309" s="3" t="s">
        <v>318</v>
      </c>
      <c r="G1309" s="3" t="s">
        <v>398</v>
      </c>
      <c r="H1309" s="3" t="s">
        <v>28</v>
      </c>
      <c r="I1309" s="3" t="s">
        <v>231</v>
      </c>
      <c r="J1309" s="3" t="s">
        <v>232</v>
      </c>
      <c r="K1309" s="3" t="s">
        <v>33</v>
      </c>
      <c r="L1309" s="3" t="s">
        <v>51</v>
      </c>
      <c r="M1309" s="3" t="s">
        <v>551</v>
      </c>
      <c r="N1309" s="3" t="s">
        <v>552</v>
      </c>
      <c r="O1309" s="3" t="s">
        <v>108</v>
      </c>
      <c r="P1309" s="3" t="s">
        <v>109</v>
      </c>
      <c r="Q1309" s="3" t="s">
        <v>39</v>
      </c>
      <c r="R1309" s="3" t="s">
        <v>40</v>
      </c>
      <c r="S1309" s="55">
        <v>32359.3</v>
      </c>
      <c r="T1309" s="55">
        <v>16225.0841</v>
      </c>
      <c r="U1309" s="55">
        <v>1328.3235999999999</v>
      </c>
      <c r="V1309" s="55">
        <v>16134.215899999999</v>
      </c>
      <c r="W1309" s="3">
        <v>50</v>
      </c>
    </row>
    <row r="1310" spans="1:23" x14ac:dyDescent="0.35">
      <c r="A1310" s="3" t="s">
        <v>492</v>
      </c>
      <c r="B1310" s="3" t="s">
        <v>493</v>
      </c>
      <c r="C1310" s="3" t="s">
        <v>553</v>
      </c>
      <c r="D1310" s="3" t="s">
        <v>404</v>
      </c>
      <c r="E1310" s="3" t="s">
        <v>405</v>
      </c>
      <c r="F1310" s="3" t="s">
        <v>146</v>
      </c>
      <c r="G1310" s="3" t="s">
        <v>406</v>
      </c>
      <c r="H1310" s="3" t="s">
        <v>318</v>
      </c>
      <c r="I1310" s="3" t="s">
        <v>407</v>
      </c>
      <c r="J1310" s="3" t="s">
        <v>554</v>
      </c>
      <c r="K1310" s="3" t="s">
        <v>23</v>
      </c>
      <c r="L1310" s="3" t="s">
        <v>203</v>
      </c>
      <c r="M1310" s="3" t="s">
        <v>555</v>
      </c>
      <c r="N1310" s="3" t="s">
        <v>442</v>
      </c>
      <c r="O1310" s="3" t="s">
        <v>197</v>
      </c>
      <c r="P1310" s="3" t="s">
        <v>198</v>
      </c>
      <c r="Q1310" s="3" t="s">
        <v>39</v>
      </c>
      <c r="R1310" s="3" t="s">
        <v>40</v>
      </c>
      <c r="S1310" s="55">
        <v>9879.5</v>
      </c>
      <c r="T1310" s="55">
        <v>9208.0640999999996</v>
      </c>
      <c r="U1310" s="55">
        <v>0</v>
      </c>
      <c r="V1310" s="55">
        <v>671.43589999999995</v>
      </c>
      <c r="W1310" s="3">
        <v>93</v>
      </c>
    </row>
    <row r="1311" spans="1:23" x14ac:dyDescent="0.35">
      <c r="A1311" s="3" t="s">
        <v>492</v>
      </c>
      <c r="B1311" s="3" t="s">
        <v>493</v>
      </c>
      <c r="C1311" s="3" t="s">
        <v>403</v>
      </c>
      <c r="D1311" s="3" t="s">
        <v>404</v>
      </c>
      <c r="E1311" s="3" t="s">
        <v>405</v>
      </c>
      <c r="F1311" s="3" t="s">
        <v>146</v>
      </c>
      <c r="G1311" s="3" t="s">
        <v>406</v>
      </c>
      <c r="H1311" s="3" t="s">
        <v>318</v>
      </c>
      <c r="I1311" s="3" t="s">
        <v>407</v>
      </c>
      <c r="J1311" s="3" t="s">
        <v>408</v>
      </c>
      <c r="K1311" s="3" t="s">
        <v>33</v>
      </c>
      <c r="L1311" s="3" t="s">
        <v>51</v>
      </c>
      <c r="M1311" s="3" t="s">
        <v>409</v>
      </c>
      <c r="N1311" s="3" t="s">
        <v>410</v>
      </c>
      <c r="O1311" s="3" t="s">
        <v>108</v>
      </c>
      <c r="P1311" s="3" t="s">
        <v>109</v>
      </c>
      <c r="Q1311" s="3" t="s">
        <v>39</v>
      </c>
      <c r="R1311" s="3" t="s">
        <v>40</v>
      </c>
      <c r="S1311" s="55">
        <v>183125.7</v>
      </c>
      <c r="T1311" s="55">
        <v>118106.4451</v>
      </c>
      <c r="U1311" s="55">
        <v>11940.986500000001</v>
      </c>
      <c r="V1311" s="55">
        <v>65019.2549</v>
      </c>
      <c r="W1311" s="3">
        <v>64</v>
      </c>
    </row>
    <row r="1312" spans="1:23" x14ac:dyDescent="0.35">
      <c r="A1312" s="3" t="s">
        <v>492</v>
      </c>
      <c r="B1312" s="3" t="s">
        <v>493</v>
      </c>
      <c r="C1312" s="3" t="s">
        <v>556</v>
      </c>
      <c r="D1312" s="3" t="s">
        <v>412</v>
      </c>
      <c r="E1312" s="3" t="s">
        <v>405</v>
      </c>
      <c r="F1312" s="3" t="s">
        <v>189</v>
      </c>
      <c r="G1312" s="3" t="s">
        <v>413</v>
      </c>
      <c r="H1312" s="3" t="s">
        <v>318</v>
      </c>
      <c r="I1312" s="3" t="s">
        <v>407</v>
      </c>
      <c r="J1312" s="3" t="s">
        <v>554</v>
      </c>
      <c r="K1312" s="3" t="s">
        <v>23</v>
      </c>
      <c r="L1312" s="3" t="s">
        <v>203</v>
      </c>
      <c r="M1312" s="3" t="s">
        <v>557</v>
      </c>
      <c r="N1312" s="3" t="s">
        <v>415</v>
      </c>
      <c r="O1312" s="3" t="s">
        <v>197</v>
      </c>
      <c r="P1312" s="3" t="s">
        <v>198</v>
      </c>
      <c r="Q1312" s="3" t="s">
        <v>39</v>
      </c>
      <c r="R1312" s="3" t="s">
        <v>40</v>
      </c>
      <c r="S1312" s="55">
        <v>3545.6</v>
      </c>
      <c r="T1312" s="55">
        <v>1511.1197999999999</v>
      </c>
      <c r="U1312" s="55">
        <v>259.01369999999997</v>
      </c>
      <c r="V1312" s="55">
        <v>2034.4802</v>
      </c>
      <c r="W1312" s="3">
        <v>43</v>
      </c>
    </row>
    <row r="1313" spans="1:23" x14ac:dyDescent="0.35">
      <c r="A1313" s="3" t="s">
        <v>492</v>
      </c>
      <c r="B1313" s="3" t="s">
        <v>493</v>
      </c>
      <c r="C1313" s="3" t="s">
        <v>416</v>
      </c>
      <c r="D1313" s="3" t="s">
        <v>417</v>
      </c>
      <c r="E1313" s="3" t="s">
        <v>405</v>
      </c>
      <c r="F1313" s="3" t="s">
        <v>28</v>
      </c>
      <c r="G1313" s="3" t="s">
        <v>418</v>
      </c>
      <c r="H1313" s="3" t="s">
        <v>318</v>
      </c>
      <c r="I1313" s="3" t="s">
        <v>407</v>
      </c>
      <c r="J1313" s="3" t="s">
        <v>408</v>
      </c>
      <c r="K1313" s="3" t="s">
        <v>33</v>
      </c>
      <c r="L1313" s="3" t="s">
        <v>51</v>
      </c>
      <c r="M1313" s="3" t="s">
        <v>419</v>
      </c>
      <c r="N1313" s="3" t="s">
        <v>420</v>
      </c>
      <c r="O1313" s="3" t="s">
        <v>108</v>
      </c>
      <c r="P1313" s="3" t="s">
        <v>109</v>
      </c>
      <c r="Q1313" s="3" t="s">
        <v>39</v>
      </c>
      <c r="R1313" s="3" t="s">
        <v>40</v>
      </c>
      <c r="S1313" s="55">
        <v>324843.3</v>
      </c>
      <c r="T1313" s="55">
        <v>219602.7746</v>
      </c>
      <c r="U1313" s="55">
        <v>33385.696199999998</v>
      </c>
      <c r="V1313" s="55">
        <v>105240.5254</v>
      </c>
      <c r="W1313" s="3">
        <v>68</v>
      </c>
    </row>
    <row r="1314" spans="1:23" x14ac:dyDescent="0.35">
      <c r="A1314" s="3" t="s">
        <v>584</v>
      </c>
      <c r="B1314" s="3" t="s">
        <v>585</v>
      </c>
      <c r="C1314" s="3" t="s">
        <v>25</v>
      </c>
      <c r="D1314" s="3" t="s">
        <v>26</v>
      </c>
      <c r="E1314" s="3" t="s">
        <v>27</v>
      </c>
      <c r="F1314" s="3" t="s">
        <v>28</v>
      </c>
      <c r="G1314" s="3" t="s">
        <v>29</v>
      </c>
      <c r="H1314" s="3" t="s">
        <v>30</v>
      </c>
      <c r="I1314" s="3" t="s">
        <v>31</v>
      </c>
      <c r="J1314" s="3" t="s">
        <v>32</v>
      </c>
      <c r="K1314" s="3" t="s">
        <v>33</v>
      </c>
      <c r="L1314" s="3" t="s">
        <v>51</v>
      </c>
      <c r="M1314" s="3" t="s">
        <v>35</v>
      </c>
      <c r="N1314" s="3" t="s">
        <v>36</v>
      </c>
      <c r="O1314" s="3" t="s">
        <v>37</v>
      </c>
      <c r="P1314" s="3" t="s">
        <v>38</v>
      </c>
      <c r="Q1314" s="3" t="s">
        <v>39</v>
      </c>
      <c r="R1314" s="3" t="s">
        <v>40</v>
      </c>
      <c r="S1314" s="55">
        <v>3772.6</v>
      </c>
      <c r="T1314" s="55">
        <v>50.020899999999997</v>
      </c>
      <c r="U1314" s="55">
        <v>1.3041</v>
      </c>
      <c r="V1314" s="55">
        <v>3722.5790999999999</v>
      </c>
      <c r="W1314" s="3">
        <v>1</v>
      </c>
    </row>
    <row r="1315" spans="1:23" x14ac:dyDescent="0.35">
      <c r="A1315" s="3" t="s">
        <v>584</v>
      </c>
      <c r="B1315" s="3" t="s">
        <v>585</v>
      </c>
      <c r="C1315" s="3" t="s">
        <v>41</v>
      </c>
      <c r="D1315" s="3" t="s">
        <v>26</v>
      </c>
      <c r="E1315" s="3" t="s">
        <v>27</v>
      </c>
      <c r="F1315" s="3" t="s">
        <v>28</v>
      </c>
      <c r="G1315" s="3" t="s">
        <v>29</v>
      </c>
      <c r="H1315" s="3" t="s">
        <v>30</v>
      </c>
      <c r="I1315" s="3" t="s">
        <v>31</v>
      </c>
      <c r="J1315" s="3" t="s">
        <v>32</v>
      </c>
      <c r="K1315" s="3" t="s">
        <v>33</v>
      </c>
      <c r="L1315" s="3" t="s">
        <v>51</v>
      </c>
      <c r="M1315" s="3" t="s">
        <v>35</v>
      </c>
      <c r="N1315" s="3" t="s">
        <v>36</v>
      </c>
      <c r="O1315" s="3" t="s">
        <v>42</v>
      </c>
      <c r="P1315" s="3" t="s">
        <v>43</v>
      </c>
      <c r="Q1315" s="3" t="s">
        <v>39</v>
      </c>
      <c r="R1315" s="3" t="s">
        <v>40</v>
      </c>
      <c r="S1315" s="55">
        <v>8.3000000000000007</v>
      </c>
      <c r="T1315" s="55">
        <v>0.92269999999999996</v>
      </c>
      <c r="U1315" s="55">
        <v>0</v>
      </c>
      <c r="V1315" s="55">
        <v>7.3773</v>
      </c>
      <c r="W1315" s="3">
        <v>11</v>
      </c>
    </row>
    <row r="1316" spans="1:23" x14ac:dyDescent="0.35">
      <c r="A1316" s="3" t="s">
        <v>584</v>
      </c>
      <c r="B1316" s="3" t="s">
        <v>585</v>
      </c>
      <c r="C1316" s="3" t="s">
        <v>44</v>
      </c>
      <c r="D1316" s="3" t="s">
        <v>45</v>
      </c>
      <c r="E1316" s="3" t="s">
        <v>27</v>
      </c>
      <c r="F1316" s="3" t="s">
        <v>46</v>
      </c>
      <c r="G1316" s="3" t="s">
        <v>47</v>
      </c>
      <c r="H1316" s="3" t="s">
        <v>48</v>
      </c>
      <c r="I1316" s="3" t="s">
        <v>49</v>
      </c>
      <c r="J1316" s="3" t="s">
        <v>50</v>
      </c>
      <c r="K1316" s="3" t="s">
        <v>33</v>
      </c>
      <c r="L1316" s="3" t="s">
        <v>51</v>
      </c>
      <c r="M1316" s="3" t="s">
        <v>52</v>
      </c>
      <c r="N1316" s="3" t="s">
        <v>53</v>
      </c>
      <c r="O1316" s="3" t="s">
        <v>54</v>
      </c>
      <c r="P1316" s="3" t="s">
        <v>55</v>
      </c>
      <c r="Q1316" s="3" t="s">
        <v>39</v>
      </c>
      <c r="R1316" s="3" t="s">
        <v>40</v>
      </c>
      <c r="S1316" s="55">
        <v>64.400000000000006</v>
      </c>
      <c r="T1316" s="55">
        <v>0</v>
      </c>
      <c r="U1316" s="55">
        <v>0</v>
      </c>
      <c r="V1316" s="55">
        <v>64.400000000000006</v>
      </c>
      <c r="W1316" s="3">
        <v>0</v>
      </c>
    </row>
    <row r="1317" spans="1:23" x14ac:dyDescent="0.35">
      <c r="A1317" s="3" t="s">
        <v>584</v>
      </c>
      <c r="B1317" s="3" t="s">
        <v>585</v>
      </c>
      <c r="C1317" s="3" t="s">
        <v>59</v>
      </c>
      <c r="D1317" s="3" t="s">
        <v>45</v>
      </c>
      <c r="E1317" s="3" t="s">
        <v>27</v>
      </c>
      <c r="F1317" s="3" t="s">
        <v>46</v>
      </c>
      <c r="G1317" s="3" t="s">
        <v>47</v>
      </c>
      <c r="H1317" s="3" t="s">
        <v>60</v>
      </c>
      <c r="I1317" s="3" t="s">
        <v>61</v>
      </c>
      <c r="J1317" s="3" t="s">
        <v>62</v>
      </c>
      <c r="K1317" s="3" t="s">
        <v>33</v>
      </c>
      <c r="L1317" s="3" t="s">
        <v>51</v>
      </c>
      <c r="M1317" s="3" t="s">
        <v>63</v>
      </c>
      <c r="N1317" s="3" t="s">
        <v>64</v>
      </c>
      <c r="O1317" s="3" t="s">
        <v>37</v>
      </c>
      <c r="P1317" s="3" t="s">
        <v>38</v>
      </c>
      <c r="Q1317" s="3" t="s">
        <v>39</v>
      </c>
      <c r="R1317" s="3" t="s">
        <v>40</v>
      </c>
      <c r="S1317" s="55">
        <v>208.2</v>
      </c>
      <c r="T1317" s="55">
        <v>95.19</v>
      </c>
      <c r="U1317" s="55">
        <v>6.7</v>
      </c>
      <c r="V1317" s="55">
        <v>113.01</v>
      </c>
      <c r="W1317" s="3">
        <v>46</v>
      </c>
    </row>
    <row r="1318" spans="1:23" x14ac:dyDescent="0.35">
      <c r="A1318" s="3" t="s">
        <v>584</v>
      </c>
      <c r="B1318" s="3" t="s">
        <v>585</v>
      </c>
      <c r="C1318" s="3" t="s">
        <v>65</v>
      </c>
      <c r="D1318" s="3" t="s">
        <v>45</v>
      </c>
      <c r="E1318" s="3" t="s">
        <v>27</v>
      </c>
      <c r="F1318" s="3" t="s">
        <v>46</v>
      </c>
      <c r="G1318" s="3" t="s">
        <v>47</v>
      </c>
      <c r="H1318" s="3" t="s">
        <v>66</v>
      </c>
      <c r="I1318" s="3" t="s">
        <v>67</v>
      </c>
      <c r="J1318" s="3" t="s">
        <v>68</v>
      </c>
      <c r="K1318" s="3" t="s">
        <v>33</v>
      </c>
      <c r="L1318" s="3" t="s">
        <v>51</v>
      </c>
      <c r="M1318" s="3" t="s">
        <v>69</v>
      </c>
      <c r="N1318" s="3" t="s">
        <v>70</v>
      </c>
      <c r="O1318" s="3" t="s">
        <v>37</v>
      </c>
      <c r="P1318" s="3" t="s">
        <v>38</v>
      </c>
      <c r="Q1318" s="3" t="s">
        <v>39</v>
      </c>
      <c r="R1318" s="3" t="s">
        <v>40</v>
      </c>
      <c r="S1318" s="55">
        <v>567.9</v>
      </c>
      <c r="T1318" s="55">
        <v>267.5752</v>
      </c>
      <c r="U1318" s="55">
        <v>55.911299999999997</v>
      </c>
      <c r="V1318" s="55">
        <v>300.32479999999998</v>
      </c>
      <c r="W1318" s="3">
        <v>47</v>
      </c>
    </row>
    <row r="1319" spans="1:23" x14ac:dyDescent="0.35">
      <c r="A1319" s="3" t="s">
        <v>584</v>
      </c>
      <c r="B1319" s="3" t="s">
        <v>585</v>
      </c>
      <c r="C1319" s="3" t="s">
        <v>71</v>
      </c>
      <c r="D1319" s="3" t="s">
        <v>45</v>
      </c>
      <c r="E1319" s="3" t="s">
        <v>27</v>
      </c>
      <c r="F1319" s="3" t="s">
        <v>46</v>
      </c>
      <c r="G1319" s="3" t="s">
        <v>47</v>
      </c>
      <c r="H1319" s="3" t="s">
        <v>30</v>
      </c>
      <c r="I1319" s="3" t="s">
        <v>31</v>
      </c>
      <c r="J1319" s="3" t="s">
        <v>32</v>
      </c>
      <c r="K1319" s="3" t="s">
        <v>33</v>
      </c>
      <c r="L1319" s="3" t="s">
        <v>51</v>
      </c>
      <c r="M1319" s="3" t="s">
        <v>72</v>
      </c>
      <c r="N1319" s="3" t="s">
        <v>73</v>
      </c>
      <c r="O1319" s="3" t="s">
        <v>74</v>
      </c>
      <c r="P1319" s="3" t="s">
        <v>75</v>
      </c>
      <c r="Q1319" s="3" t="s">
        <v>39</v>
      </c>
      <c r="R1319" s="3" t="s">
        <v>40</v>
      </c>
      <c r="S1319" s="55">
        <v>246128.1</v>
      </c>
      <c r="T1319" s="55">
        <v>185433.9431</v>
      </c>
      <c r="U1319" s="55">
        <v>23342.936600000001</v>
      </c>
      <c r="V1319" s="55">
        <v>60694.156900000002</v>
      </c>
      <c r="W1319" s="3">
        <v>75</v>
      </c>
    </row>
    <row r="1320" spans="1:23" x14ac:dyDescent="0.35">
      <c r="A1320" s="3" t="s">
        <v>584</v>
      </c>
      <c r="B1320" s="3" t="s">
        <v>585</v>
      </c>
      <c r="C1320" s="3" t="s">
        <v>76</v>
      </c>
      <c r="D1320" s="3" t="s">
        <v>45</v>
      </c>
      <c r="E1320" s="3" t="s">
        <v>27</v>
      </c>
      <c r="F1320" s="3" t="s">
        <v>46</v>
      </c>
      <c r="G1320" s="3" t="s">
        <v>47</v>
      </c>
      <c r="H1320" s="3" t="s">
        <v>30</v>
      </c>
      <c r="I1320" s="3" t="s">
        <v>31</v>
      </c>
      <c r="J1320" s="3" t="s">
        <v>32</v>
      </c>
      <c r="K1320" s="3" t="s">
        <v>33</v>
      </c>
      <c r="L1320" s="3" t="s">
        <v>51</v>
      </c>
      <c r="M1320" s="3" t="s">
        <v>72</v>
      </c>
      <c r="N1320" s="3" t="s">
        <v>73</v>
      </c>
      <c r="O1320" s="3" t="s">
        <v>77</v>
      </c>
      <c r="P1320" s="3" t="s">
        <v>78</v>
      </c>
      <c r="Q1320" s="3" t="s">
        <v>39</v>
      </c>
      <c r="R1320" s="3" t="s">
        <v>40</v>
      </c>
      <c r="S1320" s="55">
        <v>140.5</v>
      </c>
      <c r="T1320" s="55">
        <v>80.436000000000007</v>
      </c>
      <c r="U1320" s="55">
        <v>2</v>
      </c>
      <c r="V1320" s="55">
        <v>60.064</v>
      </c>
      <c r="W1320" s="3">
        <v>57</v>
      </c>
    </row>
    <row r="1321" spans="1:23" x14ac:dyDescent="0.35">
      <c r="A1321" s="3" t="s">
        <v>584</v>
      </c>
      <c r="B1321" s="3" t="s">
        <v>585</v>
      </c>
      <c r="C1321" s="3" t="s">
        <v>79</v>
      </c>
      <c r="D1321" s="3" t="s">
        <v>45</v>
      </c>
      <c r="E1321" s="3" t="s">
        <v>27</v>
      </c>
      <c r="F1321" s="3" t="s">
        <v>46</v>
      </c>
      <c r="G1321" s="3" t="s">
        <v>47</v>
      </c>
      <c r="H1321" s="3" t="s">
        <v>30</v>
      </c>
      <c r="I1321" s="3" t="s">
        <v>31</v>
      </c>
      <c r="J1321" s="3" t="s">
        <v>32</v>
      </c>
      <c r="K1321" s="3" t="s">
        <v>33</v>
      </c>
      <c r="L1321" s="3" t="s">
        <v>51</v>
      </c>
      <c r="M1321" s="3" t="s">
        <v>72</v>
      </c>
      <c r="N1321" s="3" t="s">
        <v>73</v>
      </c>
      <c r="O1321" s="3" t="s">
        <v>80</v>
      </c>
      <c r="P1321" s="3" t="s">
        <v>81</v>
      </c>
      <c r="Q1321" s="3" t="s">
        <v>39</v>
      </c>
      <c r="R1321" s="3" t="s">
        <v>40</v>
      </c>
      <c r="S1321" s="55">
        <v>73726.399999999994</v>
      </c>
      <c r="T1321" s="55">
        <v>55978.9251</v>
      </c>
      <c r="U1321" s="55">
        <v>5780.3281999999999</v>
      </c>
      <c r="V1321" s="55">
        <v>17747.474900000001</v>
      </c>
      <c r="W1321" s="3">
        <v>76</v>
      </c>
    </row>
    <row r="1322" spans="1:23" x14ac:dyDescent="0.35">
      <c r="A1322" s="3" t="s">
        <v>584</v>
      </c>
      <c r="B1322" s="3" t="s">
        <v>585</v>
      </c>
      <c r="C1322" s="3" t="s">
        <v>82</v>
      </c>
      <c r="D1322" s="3" t="s">
        <v>45</v>
      </c>
      <c r="E1322" s="3" t="s">
        <v>27</v>
      </c>
      <c r="F1322" s="3" t="s">
        <v>46</v>
      </c>
      <c r="G1322" s="3" t="s">
        <v>47</v>
      </c>
      <c r="H1322" s="3" t="s">
        <v>30</v>
      </c>
      <c r="I1322" s="3" t="s">
        <v>31</v>
      </c>
      <c r="J1322" s="3" t="s">
        <v>32</v>
      </c>
      <c r="K1322" s="3" t="s">
        <v>33</v>
      </c>
      <c r="L1322" s="3" t="s">
        <v>51</v>
      </c>
      <c r="M1322" s="3" t="s">
        <v>72</v>
      </c>
      <c r="N1322" s="3" t="s">
        <v>73</v>
      </c>
      <c r="O1322" s="3" t="s">
        <v>83</v>
      </c>
      <c r="P1322" s="3" t="s">
        <v>84</v>
      </c>
      <c r="Q1322" s="3" t="s">
        <v>39</v>
      </c>
      <c r="R1322" s="3" t="s">
        <v>40</v>
      </c>
      <c r="S1322" s="55">
        <v>300</v>
      </c>
      <c r="T1322" s="55">
        <v>142.66909999999999</v>
      </c>
      <c r="U1322" s="55">
        <v>45.560899999999997</v>
      </c>
      <c r="V1322" s="55">
        <v>157.33090000000001</v>
      </c>
      <c r="W1322" s="3">
        <v>48</v>
      </c>
    </row>
    <row r="1323" spans="1:23" x14ac:dyDescent="0.35">
      <c r="A1323" s="3" t="s">
        <v>584</v>
      </c>
      <c r="B1323" s="3" t="s">
        <v>585</v>
      </c>
      <c r="C1323" s="3" t="s">
        <v>85</v>
      </c>
      <c r="D1323" s="3" t="s">
        <v>45</v>
      </c>
      <c r="E1323" s="3" t="s">
        <v>27</v>
      </c>
      <c r="F1323" s="3" t="s">
        <v>46</v>
      </c>
      <c r="G1323" s="3" t="s">
        <v>47</v>
      </c>
      <c r="H1323" s="3" t="s">
        <v>30</v>
      </c>
      <c r="I1323" s="3" t="s">
        <v>31</v>
      </c>
      <c r="J1323" s="3" t="s">
        <v>32</v>
      </c>
      <c r="K1323" s="3" t="s">
        <v>33</v>
      </c>
      <c r="L1323" s="3" t="s">
        <v>51</v>
      </c>
      <c r="M1323" s="3" t="s">
        <v>72</v>
      </c>
      <c r="N1323" s="3" t="s">
        <v>73</v>
      </c>
      <c r="O1323" s="3" t="s">
        <v>86</v>
      </c>
      <c r="P1323" s="3" t="s">
        <v>87</v>
      </c>
      <c r="Q1323" s="3" t="s">
        <v>39</v>
      </c>
      <c r="R1323" s="3" t="s">
        <v>40</v>
      </c>
      <c r="S1323" s="55">
        <v>9797.9</v>
      </c>
      <c r="T1323" s="55">
        <v>0</v>
      </c>
      <c r="U1323" s="55">
        <v>0</v>
      </c>
      <c r="V1323" s="55">
        <v>9797.9</v>
      </c>
      <c r="W1323" s="3">
        <v>0</v>
      </c>
    </row>
    <row r="1324" spans="1:23" x14ac:dyDescent="0.35">
      <c r="A1324" s="3" t="s">
        <v>584</v>
      </c>
      <c r="B1324" s="3" t="s">
        <v>585</v>
      </c>
      <c r="C1324" s="3" t="s">
        <v>88</v>
      </c>
      <c r="D1324" s="3" t="s">
        <v>45</v>
      </c>
      <c r="E1324" s="3" t="s">
        <v>27</v>
      </c>
      <c r="F1324" s="3" t="s">
        <v>46</v>
      </c>
      <c r="G1324" s="3" t="s">
        <v>47</v>
      </c>
      <c r="H1324" s="3" t="s">
        <v>30</v>
      </c>
      <c r="I1324" s="3" t="s">
        <v>31</v>
      </c>
      <c r="J1324" s="3" t="s">
        <v>32</v>
      </c>
      <c r="K1324" s="3" t="s">
        <v>33</v>
      </c>
      <c r="L1324" s="3" t="s">
        <v>51</v>
      </c>
      <c r="M1324" s="3" t="s">
        <v>72</v>
      </c>
      <c r="N1324" s="3" t="s">
        <v>73</v>
      </c>
      <c r="O1324" s="3" t="s">
        <v>37</v>
      </c>
      <c r="P1324" s="3" t="s">
        <v>38</v>
      </c>
      <c r="Q1324" s="3" t="s">
        <v>39</v>
      </c>
      <c r="R1324" s="3" t="s">
        <v>40</v>
      </c>
      <c r="S1324" s="55">
        <v>97216.5</v>
      </c>
      <c r="T1324" s="55">
        <v>44602.339200000002</v>
      </c>
      <c r="U1324" s="55">
        <v>23151.6806</v>
      </c>
      <c r="V1324" s="55">
        <v>52614.160799999998</v>
      </c>
      <c r="W1324" s="3">
        <v>46</v>
      </c>
    </row>
    <row r="1325" spans="1:23" x14ac:dyDescent="0.35">
      <c r="A1325" s="3" t="s">
        <v>584</v>
      </c>
      <c r="B1325" s="3" t="s">
        <v>585</v>
      </c>
      <c r="C1325" s="3" t="s">
        <v>89</v>
      </c>
      <c r="D1325" s="3" t="s">
        <v>45</v>
      </c>
      <c r="E1325" s="3" t="s">
        <v>27</v>
      </c>
      <c r="F1325" s="3" t="s">
        <v>46</v>
      </c>
      <c r="G1325" s="3" t="s">
        <v>47</v>
      </c>
      <c r="H1325" s="3" t="s">
        <v>30</v>
      </c>
      <c r="I1325" s="3" t="s">
        <v>31</v>
      </c>
      <c r="J1325" s="3" t="s">
        <v>32</v>
      </c>
      <c r="K1325" s="3" t="s">
        <v>33</v>
      </c>
      <c r="L1325" s="3" t="s">
        <v>51</v>
      </c>
      <c r="M1325" s="3" t="s">
        <v>72</v>
      </c>
      <c r="N1325" s="3" t="s">
        <v>73</v>
      </c>
      <c r="O1325" s="3" t="s">
        <v>42</v>
      </c>
      <c r="P1325" s="3" t="s">
        <v>43</v>
      </c>
      <c r="Q1325" s="3" t="s">
        <v>39</v>
      </c>
      <c r="R1325" s="3" t="s">
        <v>40</v>
      </c>
      <c r="S1325" s="55">
        <v>16160.9</v>
      </c>
      <c r="T1325" s="55">
        <v>11109.2531</v>
      </c>
      <c r="U1325" s="55">
        <v>634.11590000000001</v>
      </c>
      <c r="V1325" s="55">
        <v>5051.6468999999997</v>
      </c>
      <c r="W1325" s="3">
        <v>69</v>
      </c>
    </row>
    <row r="1326" spans="1:23" x14ac:dyDescent="0.35">
      <c r="A1326" s="3" t="s">
        <v>584</v>
      </c>
      <c r="B1326" s="3" t="s">
        <v>585</v>
      </c>
      <c r="C1326" s="3" t="s">
        <v>90</v>
      </c>
      <c r="D1326" s="3" t="s">
        <v>45</v>
      </c>
      <c r="E1326" s="3" t="s">
        <v>27</v>
      </c>
      <c r="F1326" s="3" t="s">
        <v>46</v>
      </c>
      <c r="G1326" s="3" t="s">
        <v>47</v>
      </c>
      <c r="H1326" s="3" t="s">
        <v>30</v>
      </c>
      <c r="I1326" s="3" t="s">
        <v>31</v>
      </c>
      <c r="J1326" s="3" t="s">
        <v>32</v>
      </c>
      <c r="K1326" s="3" t="s">
        <v>33</v>
      </c>
      <c r="L1326" s="3" t="s">
        <v>51</v>
      </c>
      <c r="M1326" s="3" t="s">
        <v>72</v>
      </c>
      <c r="N1326" s="3" t="s">
        <v>73</v>
      </c>
      <c r="O1326" s="3" t="s">
        <v>91</v>
      </c>
      <c r="P1326" s="3" t="s">
        <v>92</v>
      </c>
      <c r="Q1326" s="3" t="s">
        <v>39</v>
      </c>
      <c r="R1326" s="3" t="s">
        <v>40</v>
      </c>
      <c r="S1326" s="55">
        <v>503.1</v>
      </c>
      <c r="T1326" s="55">
        <v>502.91250000000002</v>
      </c>
      <c r="U1326" s="55">
        <v>72.383399999999995</v>
      </c>
      <c r="V1326" s="55">
        <v>0.1875</v>
      </c>
      <c r="W1326" s="3">
        <v>100</v>
      </c>
    </row>
    <row r="1327" spans="1:23" x14ac:dyDescent="0.35">
      <c r="A1327" s="3" t="s">
        <v>584</v>
      </c>
      <c r="B1327" s="3" t="s">
        <v>585</v>
      </c>
      <c r="C1327" s="3" t="s">
        <v>559</v>
      </c>
      <c r="D1327" s="3" t="s">
        <v>45</v>
      </c>
      <c r="E1327" s="3" t="s">
        <v>27</v>
      </c>
      <c r="F1327" s="3" t="s">
        <v>46</v>
      </c>
      <c r="G1327" s="3" t="s">
        <v>47</v>
      </c>
      <c r="H1327" s="3" t="s">
        <v>30</v>
      </c>
      <c r="I1327" s="3" t="s">
        <v>31</v>
      </c>
      <c r="J1327" s="3" t="s">
        <v>32</v>
      </c>
      <c r="K1327" s="3" t="s">
        <v>33</v>
      </c>
      <c r="L1327" s="3" t="s">
        <v>51</v>
      </c>
      <c r="M1327" s="3" t="s">
        <v>72</v>
      </c>
      <c r="N1327" s="3" t="s">
        <v>73</v>
      </c>
      <c r="O1327" s="3" t="s">
        <v>125</v>
      </c>
      <c r="P1327" s="3" t="s">
        <v>126</v>
      </c>
      <c r="Q1327" s="3" t="s">
        <v>39</v>
      </c>
      <c r="R1327" s="3" t="s">
        <v>40</v>
      </c>
      <c r="S1327" s="55">
        <v>179.8</v>
      </c>
      <c r="T1327" s="55">
        <v>179.71199999999999</v>
      </c>
      <c r="U1327" s="55">
        <v>0</v>
      </c>
      <c r="V1327" s="55">
        <v>8.7999999999999995E-2</v>
      </c>
      <c r="W1327" s="3">
        <v>100</v>
      </c>
    </row>
    <row r="1328" spans="1:23" x14ac:dyDescent="0.35">
      <c r="A1328" s="3" t="s">
        <v>584</v>
      </c>
      <c r="B1328" s="3" t="s">
        <v>585</v>
      </c>
      <c r="C1328" s="3" t="s">
        <v>93</v>
      </c>
      <c r="D1328" s="3" t="s">
        <v>45</v>
      </c>
      <c r="E1328" s="3" t="s">
        <v>27</v>
      </c>
      <c r="F1328" s="3" t="s">
        <v>46</v>
      </c>
      <c r="G1328" s="3" t="s">
        <v>47</v>
      </c>
      <c r="H1328" s="3" t="s">
        <v>30</v>
      </c>
      <c r="I1328" s="3" t="s">
        <v>31</v>
      </c>
      <c r="J1328" s="3" t="s">
        <v>32</v>
      </c>
      <c r="K1328" s="3" t="s">
        <v>33</v>
      </c>
      <c r="L1328" s="3" t="s">
        <v>51</v>
      </c>
      <c r="M1328" s="3" t="s">
        <v>94</v>
      </c>
      <c r="N1328" s="3" t="s">
        <v>95</v>
      </c>
      <c r="O1328" s="3" t="s">
        <v>96</v>
      </c>
      <c r="P1328" s="3" t="s">
        <v>97</v>
      </c>
      <c r="Q1328" s="3" t="s">
        <v>39</v>
      </c>
      <c r="R1328" s="3" t="s">
        <v>40</v>
      </c>
      <c r="S1328" s="55">
        <v>181743.4</v>
      </c>
      <c r="T1328" s="55">
        <v>129139.38340000001</v>
      </c>
      <c r="U1328" s="55">
        <v>12349.470499999999</v>
      </c>
      <c r="V1328" s="55">
        <v>52604.016600000003</v>
      </c>
      <c r="W1328" s="3">
        <v>71</v>
      </c>
    </row>
    <row r="1329" spans="1:23" x14ac:dyDescent="0.35">
      <c r="A1329" s="3" t="s">
        <v>584</v>
      </c>
      <c r="B1329" s="3" t="s">
        <v>585</v>
      </c>
      <c r="C1329" s="3" t="s">
        <v>98</v>
      </c>
      <c r="D1329" s="3" t="s">
        <v>45</v>
      </c>
      <c r="E1329" s="3" t="s">
        <v>27</v>
      </c>
      <c r="F1329" s="3" t="s">
        <v>46</v>
      </c>
      <c r="G1329" s="3" t="s">
        <v>47</v>
      </c>
      <c r="H1329" s="3" t="s">
        <v>30</v>
      </c>
      <c r="I1329" s="3" t="s">
        <v>31</v>
      </c>
      <c r="J1329" s="3" t="s">
        <v>32</v>
      </c>
      <c r="K1329" s="3" t="s">
        <v>33</v>
      </c>
      <c r="L1329" s="3" t="s">
        <v>51</v>
      </c>
      <c r="M1329" s="3" t="s">
        <v>94</v>
      </c>
      <c r="N1329" s="3" t="s">
        <v>95</v>
      </c>
      <c r="O1329" s="3" t="s">
        <v>99</v>
      </c>
      <c r="P1329" s="3" t="s">
        <v>100</v>
      </c>
      <c r="Q1329" s="3" t="s">
        <v>39</v>
      </c>
      <c r="R1329" s="3" t="s">
        <v>40</v>
      </c>
      <c r="S1329" s="55">
        <v>54698.400000000001</v>
      </c>
      <c r="T1329" s="55">
        <v>38245.272700000001</v>
      </c>
      <c r="U1329" s="55">
        <v>4617.6859999999997</v>
      </c>
      <c r="V1329" s="55">
        <v>16453.1273</v>
      </c>
      <c r="W1329" s="3">
        <v>70</v>
      </c>
    </row>
    <row r="1330" spans="1:23" x14ac:dyDescent="0.35">
      <c r="A1330" s="3" t="s">
        <v>584</v>
      </c>
      <c r="B1330" s="3" t="s">
        <v>585</v>
      </c>
      <c r="C1330" s="3" t="s">
        <v>101</v>
      </c>
      <c r="D1330" s="3" t="s">
        <v>45</v>
      </c>
      <c r="E1330" s="3" t="s">
        <v>27</v>
      </c>
      <c r="F1330" s="3" t="s">
        <v>46</v>
      </c>
      <c r="G1330" s="3" t="s">
        <v>47</v>
      </c>
      <c r="H1330" s="3" t="s">
        <v>30</v>
      </c>
      <c r="I1330" s="3" t="s">
        <v>31</v>
      </c>
      <c r="J1330" s="3" t="s">
        <v>32</v>
      </c>
      <c r="K1330" s="3" t="s">
        <v>33</v>
      </c>
      <c r="L1330" s="3" t="s">
        <v>51</v>
      </c>
      <c r="M1330" s="3" t="s">
        <v>94</v>
      </c>
      <c r="N1330" s="3" t="s">
        <v>95</v>
      </c>
      <c r="O1330" s="3" t="s">
        <v>37</v>
      </c>
      <c r="P1330" s="3" t="s">
        <v>38</v>
      </c>
      <c r="Q1330" s="3" t="s">
        <v>39</v>
      </c>
      <c r="R1330" s="3" t="s">
        <v>40</v>
      </c>
      <c r="S1330" s="55">
        <v>2625.5</v>
      </c>
      <c r="T1330" s="55">
        <v>2418.7381</v>
      </c>
      <c r="U1330" s="55">
        <v>103.84350000000001</v>
      </c>
      <c r="V1330" s="55">
        <v>206.7619</v>
      </c>
      <c r="W1330" s="3">
        <v>92</v>
      </c>
    </row>
    <row r="1331" spans="1:23" x14ac:dyDescent="0.35">
      <c r="A1331" s="3" t="s">
        <v>584</v>
      </c>
      <c r="B1331" s="3" t="s">
        <v>585</v>
      </c>
      <c r="C1331" s="3" t="s">
        <v>467</v>
      </c>
      <c r="D1331" s="3" t="s">
        <v>45</v>
      </c>
      <c r="E1331" s="3" t="s">
        <v>27</v>
      </c>
      <c r="F1331" s="3" t="s">
        <v>46</v>
      </c>
      <c r="G1331" s="3" t="s">
        <v>47</v>
      </c>
      <c r="H1331" s="3" t="s">
        <v>30</v>
      </c>
      <c r="I1331" s="3" t="s">
        <v>31</v>
      </c>
      <c r="J1331" s="3" t="s">
        <v>32</v>
      </c>
      <c r="K1331" s="3" t="s">
        <v>33</v>
      </c>
      <c r="L1331" s="3" t="s">
        <v>51</v>
      </c>
      <c r="M1331" s="3" t="s">
        <v>94</v>
      </c>
      <c r="N1331" s="3" t="s">
        <v>95</v>
      </c>
      <c r="O1331" s="3" t="s">
        <v>468</v>
      </c>
      <c r="P1331" s="3" t="s">
        <v>469</v>
      </c>
      <c r="Q1331" s="3" t="s">
        <v>39</v>
      </c>
      <c r="R1331" s="3" t="s">
        <v>40</v>
      </c>
      <c r="S1331" s="55">
        <v>2</v>
      </c>
      <c r="T1331" s="55">
        <v>1.9904999999999999</v>
      </c>
      <c r="U1331" s="55">
        <v>0</v>
      </c>
      <c r="V1331" s="55">
        <v>9.4999999999999998E-3</v>
      </c>
      <c r="W1331" s="3">
        <v>100</v>
      </c>
    </row>
    <row r="1332" spans="1:23" x14ac:dyDescent="0.35">
      <c r="A1332" s="3" t="s">
        <v>584</v>
      </c>
      <c r="B1332" s="3" t="s">
        <v>585</v>
      </c>
      <c r="C1332" s="3" t="s">
        <v>102</v>
      </c>
      <c r="D1332" s="3" t="s">
        <v>45</v>
      </c>
      <c r="E1332" s="3" t="s">
        <v>27</v>
      </c>
      <c r="F1332" s="3" t="s">
        <v>46</v>
      </c>
      <c r="G1332" s="3" t="s">
        <v>47</v>
      </c>
      <c r="H1332" s="3" t="s">
        <v>30</v>
      </c>
      <c r="I1332" s="3" t="s">
        <v>31</v>
      </c>
      <c r="J1332" s="3" t="s">
        <v>32</v>
      </c>
      <c r="K1332" s="3" t="s">
        <v>33</v>
      </c>
      <c r="L1332" s="3" t="s">
        <v>51</v>
      </c>
      <c r="M1332" s="3" t="s">
        <v>94</v>
      </c>
      <c r="N1332" s="3" t="s">
        <v>95</v>
      </c>
      <c r="O1332" s="3" t="s">
        <v>103</v>
      </c>
      <c r="P1332" s="3" t="s">
        <v>104</v>
      </c>
      <c r="Q1332" s="3" t="s">
        <v>39</v>
      </c>
      <c r="R1332" s="3" t="s">
        <v>40</v>
      </c>
      <c r="S1332" s="55">
        <v>3.7</v>
      </c>
      <c r="T1332" s="55">
        <v>2.3089</v>
      </c>
      <c r="U1332" s="55">
        <v>0</v>
      </c>
      <c r="V1332" s="55">
        <v>1.3911</v>
      </c>
      <c r="W1332" s="3">
        <v>62</v>
      </c>
    </row>
    <row r="1333" spans="1:23" x14ac:dyDescent="0.35">
      <c r="A1333" s="3" t="s">
        <v>584</v>
      </c>
      <c r="B1333" s="3" t="s">
        <v>585</v>
      </c>
      <c r="C1333" s="3" t="s">
        <v>105</v>
      </c>
      <c r="D1333" s="3" t="s">
        <v>45</v>
      </c>
      <c r="E1333" s="3" t="s">
        <v>27</v>
      </c>
      <c r="F1333" s="3" t="s">
        <v>46</v>
      </c>
      <c r="G1333" s="3" t="s">
        <v>47</v>
      </c>
      <c r="H1333" s="3" t="s">
        <v>30</v>
      </c>
      <c r="I1333" s="3" t="s">
        <v>31</v>
      </c>
      <c r="J1333" s="3" t="s">
        <v>32</v>
      </c>
      <c r="K1333" s="3" t="s">
        <v>33</v>
      </c>
      <c r="L1333" s="3" t="s">
        <v>51</v>
      </c>
      <c r="M1333" s="3" t="s">
        <v>106</v>
      </c>
      <c r="N1333" s="3" t="s">
        <v>107</v>
      </c>
      <c r="O1333" s="3" t="s">
        <v>108</v>
      </c>
      <c r="P1333" s="3" t="s">
        <v>109</v>
      </c>
      <c r="Q1333" s="3" t="s">
        <v>39</v>
      </c>
      <c r="R1333" s="3" t="s">
        <v>40</v>
      </c>
      <c r="S1333" s="55">
        <v>70925.600000000006</v>
      </c>
      <c r="T1333" s="55">
        <v>50562.712599999999</v>
      </c>
      <c r="U1333" s="55">
        <v>5576.7199000000001</v>
      </c>
      <c r="V1333" s="55">
        <v>20362.8874</v>
      </c>
      <c r="W1333" s="3">
        <v>71</v>
      </c>
    </row>
    <row r="1334" spans="1:23" x14ac:dyDescent="0.35">
      <c r="A1334" s="3" t="s">
        <v>584</v>
      </c>
      <c r="B1334" s="3" t="s">
        <v>585</v>
      </c>
      <c r="C1334" s="3" t="s">
        <v>110</v>
      </c>
      <c r="D1334" s="3" t="s">
        <v>45</v>
      </c>
      <c r="E1334" s="3" t="s">
        <v>27</v>
      </c>
      <c r="F1334" s="3" t="s">
        <v>46</v>
      </c>
      <c r="G1334" s="3" t="s">
        <v>47</v>
      </c>
      <c r="H1334" s="3" t="s">
        <v>30</v>
      </c>
      <c r="I1334" s="3" t="s">
        <v>31</v>
      </c>
      <c r="J1334" s="3" t="s">
        <v>32</v>
      </c>
      <c r="K1334" s="3" t="s">
        <v>33</v>
      </c>
      <c r="L1334" s="3" t="s">
        <v>51</v>
      </c>
      <c r="M1334" s="3" t="s">
        <v>111</v>
      </c>
      <c r="N1334" s="3" t="s">
        <v>112</v>
      </c>
      <c r="O1334" s="3" t="s">
        <v>37</v>
      </c>
      <c r="P1334" s="3" t="s">
        <v>38</v>
      </c>
      <c r="Q1334" s="3" t="s">
        <v>39</v>
      </c>
      <c r="R1334" s="3" t="s">
        <v>40</v>
      </c>
      <c r="S1334" s="55">
        <v>4360.5</v>
      </c>
      <c r="T1334" s="55">
        <v>2819.3098</v>
      </c>
      <c r="U1334" s="55">
        <v>217.61410000000001</v>
      </c>
      <c r="V1334" s="55">
        <v>1541.1902</v>
      </c>
      <c r="W1334" s="3">
        <v>65</v>
      </c>
    </row>
    <row r="1335" spans="1:23" x14ac:dyDescent="0.35">
      <c r="A1335" s="3" t="s">
        <v>584</v>
      </c>
      <c r="B1335" s="3" t="s">
        <v>585</v>
      </c>
      <c r="C1335" s="3" t="s">
        <v>113</v>
      </c>
      <c r="D1335" s="3" t="s">
        <v>114</v>
      </c>
      <c r="E1335" s="3" t="s">
        <v>115</v>
      </c>
      <c r="F1335" s="3" t="s">
        <v>116</v>
      </c>
      <c r="G1335" s="3" t="s">
        <v>117</v>
      </c>
      <c r="H1335" s="3" t="s">
        <v>48</v>
      </c>
      <c r="I1335" s="3" t="s">
        <v>49</v>
      </c>
      <c r="J1335" s="3" t="s">
        <v>50</v>
      </c>
      <c r="K1335" s="3" t="s">
        <v>33</v>
      </c>
      <c r="L1335" s="3" t="s">
        <v>51</v>
      </c>
      <c r="M1335" s="3" t="s">
        <v>118</v>
      </c>
      <c r="N1335" s="3" t="s">
        <v>119</v>
      </c>
      <c r="O1335" s="3" t="s">
        <v>37</v>
      </c>
      <c r="P1335" s="3" t="s">
        <v>38</v>
      </c>
      <c r="Q1335" s="3" t="s">
        <v>39</v>
      </c>
      <c r="R1335" s="3" t="s">
        <v>40</v>
      </c>
      <c r="S1335" s="55">
        <v>4082.8</v>
      </c>
      <c r="T1335" s="55">
        <v>3256.9695000000002</v>
      </c>
      <c r="U1335" s="55">
        <v>0</v>
      </c>
      <c r="V1335" s="55">
        <v>825.83050000000003</v>
      </c>
      <c r="W1335" s="3">
        <v>80</v>
      </c>
    </row>
    <row r="1336" spans="1:23" x14ac:dyDescent="0.35">
      <c r="A1336" s="3" t="s">
        <v>584</v>
      </c>
      <c r="B1336" s="3" t="s">
        <v>585</v>
      </c>
      <c r="C1336" s="3" t="s">
        <v>120</v>
      </c>
      <c r="D1336" s="3" t="s">
        <v>114</v>
      </c>
      <c r="E1336" s="3" t="s">
        <v>115</v>
      </c>
      <c r="F1336" s="3" t="s">
        <v>116</v>
      </c>
      <c r="G1336" s="3" t="s">
        <v>117</v>
      </c>
      <c r="H1336" s="3" t="s">
        <v>48</v>
      </c>
      <c r="I1336" s="3" t="s">
        <v>49</v>
      </c>
      <c r="J1336" s="3" t="s">
        <v>50</v>
      </c>
      <c r="K1336" s="3" t="s">
        <v>33</v>
      </c>
      <c r="L1336" s="3" t="s">
        <v>51</v>
      </c>
      <c r="M1336" s="3" t="s">
        <v>118</v>
      </c>
      <c r="N1336" s="3" t="s">
        <v>119</v>
      </c>
      <c r="O1336" s="3" t="s">
        <v>42</v>
      </c>
      <c r="P1336" s="3" t="s">
        <v>43</v>
      </c>
      <c r="Q1336" s="3" t="s">
        <v>39</v>
      </c>
      <c r="R1336" s="3" t="s">
        <v>40</v>
      </c>
      <c r="S1336" s="55">
        <v>8518.1</v>
      </c>
      <c r="T1336" s="55">
        <v>403.39819999999997</v>
      </c>
      <c r="U1336" s="55">
        <v>138.57929999999999</v>
      </c>
      <c r="V1336" s="55">
        <v>8114.7017999999998</v>
      </c>
      <c r="W1336" s="3">
        <v>5</v>
      </c>
    </row>
    <row r="1337" spans="1:23" x14ac:dyDescent="0.35">
      <c r="A1337" s="3" t="s">
        <v>584</v>
      </c>
      <c r="B1337" s="3" t="s">
        <v>585</v>
      </c>
      <c r="C1337" s="3" t="s">
        <v>121</v>
      </c>
      <c r="D1337" s="3" t="s">
        <v>114</v>
      </c>
      <c r="E1337" s="3" t="s">
        <v>115</v>
      </c>
      <c r="F1337" s="3" t="s">
        <v>116</v>
      </c>
      <c r="G1337" s="3" t="s">
        <v>117</v>
      </c>
      <c r="H1337" s="3" t="s">
        <v>48</v>
      </c>
      <c r="I1337" s="3" t="s">
        <v>49</v>
      </c>
      <c r="J1337" s="3" t="s">
        <v>50</v>
      </c>
      <c r="K1337" s="3" t="s">
        <v>33</v>
      </c>
      <c r="L1337" s="3" t="s">
        <v>51</v>
      </c>
      <c r="M1337" s="3" t="s">
        <v>118</v>
      </c>
      <c r="N1337" s="3" t="s">
        <v>119</v>
      </c>
      <c r="O1337" s="3" t="s">
        <v>122</v>
      </c>
      <c r="P1337" s="3" t="s">
        <v>123</v>
      </c>
      <c r="Q1337" s="3" t="s">
        <v>39</v>
      </c>
      <c r="R1337" s="3" t="s">
        <v>40</v>
      </c>
      <c r="S1337" s="55">
        <v>5312.2</v>
      </c>
      <c r="T1337" s="55">
        <v>4513.5222000000003</v>
      </c>
      <c r="U1337" s="55">
        <v>0</v>
      </c>
      <c r="V1337" s="55">
        <v>798.67780000000005</v>
      </c>
      <c r="W1337" s="3">
        <v>85</v>
      </c>
    </row>
    <row r="1338" spans="1:23" x14ac:dyDescent="0.35">
      <c r="A1338" s="3" t="s">
        <v>584</v>
      </c>
      <c r="B1338" s="3" t="s">
        <v>585</v>
      </c>
      <c r="C1338" s="3" t="s">
        <v>124</v>
      </c>
      <c r="D1338" s="3" t="s">
        <v>114</v>
      </c>
      <c r="E1338" s="3" t="s">
        <v>115</v>
      </c>
      <c r="F1338" s="3" t="s">
        <v>116</v>
      </c>
      <c r="G1338" s="3" t="s">
        <v>117</v>
      </c>
      <c r="H1338" s="3" t="s">
        <v>48</v>
      </c>
      <c r="I1338" s="3" t="s">
        <v>49</v>
      </c>
      <c r="J1338" s="3" t="s">
        <v>50</v>
      </c>
      <c r="K1338" s="3" t="s">
        <v>33</v>
      </c>
      <c r="L1338" s="3" t="s">
        <v>51</v>
      </c>
      <c r="M1338" s="3" t="s">
        <v>118</v>
      </c>
      <c r="N1338" s="3" t="s">
        <v>119</v>
      </c>
      <c r="O1338" s="3" t="s">
        <v>125</v>
      </c>
      <c r="P1338" s="3" t="s">
        <v>126</v>
      </c>
      <c r="Q1338" s="3" t="s">
        <v>39</v>
      </c>
      <c r="R1338" s="3" t="s">
        <v>40</v>
      </c>
      <c r="S1338" s="55">
        <v>2554.3000000000002</v>
      </c>
      <c r="T1338" s="55">
        <v>2068.2707</v>
      </c>
      <c r="U1338" s="55">
        <v>485.94260000000003</v>
      </c>
      <c r="V1338" s="55">
        <v>486.02929999999998</v>
      </c>
      <c r="W1338" s="3">
        <v>81</v>
      </c>
    </row>
    <row r="1339" spans="1:23" x14ac:dyDescent="0.35">
      <c r="A1339" s="3" t="s">
        <v>584</v>
      </c>
      <c r="B1339" s="3" t="s">
        <v>585</v>
      </c>
      <c r="C1339" s="3" t="s">
        <v>130</v>
      </c>
      <c r="D1339" s="3" t="s">
        <v>131</v>
      </c>
      <c r="E1339" s="3" t="s">
        <v>115</v>
      </c>
      <c r="F1339" s="3" t="s">
        <v>132</v>
      </c>
      <c r="G1339" s="3" t="s">
        <v>133</v>
      </c>
      <c r="H1339" s="3" t="s">
        <v>48</v>
      </c>
      <c r="I1339" s="3" t="s">
        <v>49</v>
      </c>
      <c r="J1339" s="3" t="s">
        <v>50</v>
      </c>
      <c r="K1339" s="3" t="s">
        <v>33</v>
      </c>
      <c r="L1339" s="3" t="s">
        <v>51</v>
      </c>
      <c r="M1339" s="3" t="s">
        <v>134</v>
      </c>
      <c r="N1339" s="3" t="s">
        <v>135</v>
      </c>
      <c r="O1339" s="3" t="s">
        <v>37</v>
      </c>
      <c r="P1339" s="3" t="s">
        <v>38</v>
      </c>
      <c r="Q1339" s="3" t="s">
        <v>39</v>
      </c>
      <c r="R1339" s="3" t="s">
        <v>40</v>
      </c>
      <c r="S1339" s="55">
        <v>22.1</v>
      </c>
      <c r="T1339" s="55">
        <v>11.1165</v>
      </c>
      <c r="U1339" s="55">
        <v>0</v>
      </c>
      <c r="V1339" s="55">
        <v>10.983499999999999</v>
      </c>
      <c r="W1339" s="3">
        <v>50</v>
      </c>
    </row>
    <row r="1340" spans="1:23" x14ac:dyDescent="0.35">
      <c r="A1340" s="3" t="s">
        <v>584</v>
      </c>
      <c r="B1340" s="3" t="s">
        <v>585</v>
      </c>
      <c r="C1340" s="3" t="s">
        <v>448</v>
      </c>
      <c r="D1340" s="3" t="s">
        <v>137</v>
      </c>
      <c r="E1340" s="3" t="s">
        <v>138</v>
      </c>
      <c r="F1340" s="3" t="s">
        <v>139</v>
      </c>
      <c r="G1340" s="3" t="s">
        <v>140</v>
      </c>
      <c r="H1340" s="3" t="s">
        <v>48</v>
      </c>
      <c r="I1340" s="3" t="s">
        <v>49</v>
      </c>
      <c r="J1340" s="3" t="s">
        <v>50</v>
      </c>
      <c r="K1340" s="3" t="s">
        <v>33</v>
      </c>
      <c r="L1340" s="3" t="s">
        <v>51</v>
      </c>
      <c r="M1340" s="3" t="s">
        <v>446</v>
      </c>
      <c r="N1340" s="3" t="s">
        <v>447</v>
      </c>
      <c r="O1340" s="3" t="s">
        <v>197</v>
      </c>
      <c r="P1340" s="3" t="s">
        <v>198</v>
      </c>
      <c r="Q1340" s="3" t="s">
        <v>39</v>
      </c>
      <c r="R1340" s="3" t="s">
        <v>40</v>
      </c>
      <c r="S1340" s="55">
        <v>33219</v>
      </c>
      <c r="T1340" s="55">
        <v>7323.1282000000001</v>
      </c>
      <c r="U1340" s="55">
        <v>6318.6469999999999</v>
      </c>
      <c r="V1340" s="55">
        <v>25895.871800000001</v>
      </c>
      <c r="W1340" s="3">
        <v>22</v>
      </c>
    </row>
    <row r="1341" spans="1:23" x14ac:dyDescent="0.35">
      <c r="A1341" s="3" t="s">
        <v>584</v>
      </c>
      <c r="B1341" s="3" t="s">
        <v>585</v>
      </c>
      <c r="C1341" s="3" t="s">
        <v>136</v>
      </c>
      <c r="D1341" s="3" t="s">
        <v>137</v>
      </c>
      <c r="E1341" s="3" t="s">
        <v>138</v>
      </c>
      <c r="F1341" s="3" t="s">
        <v>139</v>
      </c>
      <c r="G1341" s="3" t="s">
        <v>140</v>
      </c>
      <c r="H1341" s="3" t="s">
        <v>30</v>
      </c>
      <c r="I1341" s="3" t="s">
        <v>31</v>
      </c>
      <c r="J1341" s="3" t="s">
        <v>32</v>
      </c>
      <c r="K1341" s="3" t="s">
        <v>33</v>
      </c>
      <c r="L1341" s="3" t="s">
        <v>51</v>
      </c>
      <c r="M1341" s="3" t="s">
        <v>141</v>
      </c>
      <c r="N1341" s="3" t="s">
        <v>142</v>
      </c>
      <c r="O1341" s="3" t="s">
        <v>83</v>
      </c>
      <c r="P1341" s="3" t="s">
        <v>84</v>
      </c>
      <c r="Q1341" s="3" t="s">
        <v>39</v>
      </c>
      <c r="R1341" s="3" t="s">
        <v>40</v>
      </c>
      <c r="S1341" s="55">
        <v>5402.8</v>
      </c>
      <c r="T1341" s="55">
        <v>3719.8539000000001</v>
      </c>
      <c r="U1341" s="55">
        <v>140.35599999999999</v>
      </c>
      <c r="V1341" s="55">
        <v>1682.9460999999999</v>
      </c>
      <c r="W1341" s="3">
        <v>69</v>
      </c>
    </row>
    <row r="1342" spans="1:23" x14ac:dyDescent="0.35">
      <c r="A1342" s="3" t="s">
        <v>584</v>
      </c>
      <c r="B1342" s="3" t="s">
        <v>585</v>
      </c>
      <c r="C1342" s="3" t="s">
        <v>143</v>
      </c>
      <c r="D1342" s="3" t="s">
        <v>144</v>
      </c>
      <c r="E1342" s="3" t="s">
        <v>145</v>
      </c>
      <c r="F1342" s="3" t="s">
        <v>146</v>
      </c>
      <c r="G1342" s="3" t="s">
        <v>147</v>
      </c>
      <c r="H1342" s="3" t="s">
        <v>116</v>
      </c>
      <c r="I1342" s="3" t="s">
        <v>148</v>
      </c>
      <c r="J1342" s="3" t="s">
        <v>149</v>
      </c>
      <c r="K1342" s="3" t="s">
        <v>33</v>
      </c>
      <c r="L1342" s="3" t="s">
        <v>51</v>
      </c>
      <c r="M1342" s="3" t="s">
        <v>150</v>
      </c>
      <c r="N1342" s="3" t="s">
        <v>151</v>
      </c>
      <c r="O1342" s="3" t="s">
        <v>37</v>
      </c>
      <c r="P1342" s="3" t="s">
        <v>38</v>
      </c>
      <c r="Q1342" s="3" t="s">
        <v>39</v>
      </c>
      <c r="R1342" s="3" t="s">
        <v>40</v>
      </c>
      <c r="S1342" s="55">
        <v>5247.5</v>
      </c>
      <c r="T1342" s="55">
        <v>5021.99</v>
      </c>
      <c r="U1342" s="55">
        <v>0</v>
      </c>
      <c r="V1342" s="55">
        <v>225.51</v>
      </c>
      <c r="W1342" s="3">
        <v>96</v>
      </c>
    </row>
    <row r="1343" spans="1:23" x14ac:dyDescent="0.35">
      <c r="A1343" s="3" t="s">
        <v>584</v>
      </c>
      <c r="B1343" s="3" t="s">
        <v>585</v>
      </c>
      <c r="C1343" s="3" t="s">
        <v>152</v>
      </c>
      <c r="D1343" s="3" t="s">
        <v>144</v>
      </c>
      <c r="E1343" s="3" t="s">
        <v>145</v>
      </c>
      <c r="F1343" s="3" t="s">
        <v>146</v>
      </c>
      <c r="G1343" s="3" t="s">
        <v>147</v>
      </c>
      <c r="H1343" s="3" t="s">
        <v>116</v>
      </c>
      <c r="I1343" s="3" t="s">
        <v>148</v>
      </c>
      <c r="J1343" s="3" t="s">
        <v>149</v>
      </c>
      <c r="K1343" s="3" t="s">
        <v>33</v>
      </c>
      <c r="L1343" s="3" t="s">
        <v>51</v>
      </c>
      <c r="M1343" s="3" t="s">
        <v>153</v>
      </c>
      <c r="N1343" s="3" t="s">
        <v>154</v>
      </c>
      <c r="O1343" s="3" t="s">
        <v>37</v>
      </c>
      <c r="P1343" s="3" t="s">
        <v>38</v>
      </c>
      <c r="Q1343" s="3" t="s">
        <v>39</v>
      </c>
      <c r="R1343" s="3" t="s">
        <v>40</v>
      </c>
      <c r="S1343" s="55">
        <v>58395.199999999997</v>
      </c>
      <c r="T1343" s="55">
        <v>10261.186799999999</v>
      </c>
      <c r="U1343" s="55">
        <v>6404.8667999999998</v>
      </c>
      <c r="V1343" s="55">
        <v>48134.013200000001</v>
      </c>
      <c r="W1343" s="3">
        <v>18</v>
      </c>
    </row>
    <row r="1344" spans="1:23" x14ac:dyDescent="0.35">
      <c r="A1344" s="3" t="s">
        <v>584</v>
      </c>
      <c r="B1344" s="3" t="s">
        <v>585</v>
      </c>
      <c r="C1344" s="3" t="s">
        <v>155</v>
      </c>
      <c r="D1344" s="3" t="s">
        <v>144</v>
      </c>
      <c r="E1344" s="3" t="s">
        <v>145</v>
      </c>
      <c r="F1344" s="3" t="s">
        <v>146</v>
      </c>
      <c r="G1344" s="3" t="s">
        <v>147</v>
      </c>
      <c r="H1344" s="3" t="s">
        <v>116</v>
      </c>
      <c r="I1344" s="3" t="s">
        <v>148</v>
      </c>
      <c r="J1344" s="3" t="s">
        <v>149</v>
      </c>
      <c r="K1344" s="3" t="s">
        <v>33</v>
      </c>
      <c r="L1344" s="3" t="s">
        <v>51</v>
      </c>
      <c r="M1344" s="3" t="s">
        <v>156</v>
      </c>
      <c r="N1344" s="3" t="s">
        <v>157</v>
      </c>
      <c r="O1344" s="3" t="s">
        <v>37</v>
      </c>
      <c r="P1344" s="3" t="s">
        <v>38</v>
      </c>
      <c r="Q1344" s="3" t="s">
        <v>39</v>
      </c>
      <c r="R1344" s="3" t="s">
        <v>40</v>
      </c>
      <c r="S1344" s="55">
        <v>3467.9</v>
      </c>
      <c r="T1344" s="55">
        <v>586.33839999999998</v>
      </c>
      <c r="U1344" s="55">
        <v>182.17590000000001</v>
      </c>
      <c r="V1344" s="55">
        <v>2881.5616</v>
      </c>
      <c r="W1344" s="3">
        <v>17</v>
      </c>
    </row>
    <row r="1345" spans="1:23" x14ac:dyDescent="0.35">
      <c r="A1345" s="3" t="s">
        <v>584</v>
      </c>
      <c r="B1345" s="3" t="s">
        <v>585</v>
      </c>
      <c r="C1345" s="3" t="s">
        <v>158</v>
      </c>
      <c r="D1345" s="3" t="s">
        <v>144</v>
      </c>
      <c r="E1345" s="3" t="s">
        <v>145</v>
      </c>
      <c r="F1345" s="3" t="s">
        <v>146</v>
      </c>
      <c r="G1345" s="3" t="s">
        <v>147</v>
      </c>
      <c r="H1345" s="3" t="s">
        <v>116</v>
      </c>
      <c r="I1345" s="3" t="s">
        <v>148</v>
      </c>
      <c r="J1345" s="3" t="s">
        <v>149</v>
      </c>
      <c r="K1345" s="3" t="s">
        <v>33</v>
      </c>
      <c r="L1345" s="3" t="s">
        <v>51</v>
      </c>
      <c r="M1345" s="3" t="s">
        <v>156</v>
      </c>
      <c r="N1345" s="3" t="s">
        <v>157</v>
      </c>
      <c r="O1345" s="3" t="s">
        <v>125</v>
      </c>
      <c r="P1345" s="3" t="s">
        <v>126</v>
      </c>
      <c r="Q1345" s="3" t="s">
        <v>39</v>
      </c>
      <c r="R1345" s="3" t="s">
        <v>40</v>
      </c>
      <c r="S1345" s="55">
        <v>104832.7</v>
      </c>
      <c r="T1345" s="55">
        <v>78135.755099999995</v>
      </c>
      <c r="U1345" s="55">
        <v>15719.151400000001</v>
      </c>
      <c r="V1345" s="55">
        <v>26696.944899999999</v>
      </c>
      <c r="W1345" s="3">
        <v>75</v>
      </c>
    </row>
    <row r="1346" spans="1:23" x14ac:dyDescent="0.35">
      <c r="A1346" s="3" t="s">
        <v>584</v>
      </c>
      <c r="B1346" s="3" t="s">
        <v>585</v>
      </c>
      <c r="C1346" s="3" t="s">
        <v>159</v>
      </c>
      <c r="D1346" s="3" t="s">
        <v>144</v>
      </c>
      <c r="E1346" s="3" t="s">
        <v>145</v>
      </c>
      <c r="F1346" s="3" t="s">
        <v>146</v>
      </c>
      <c r="G1346" s="3" t="s">
        <v>147</v>
      </c>
      <c r="H1346" s="3" t="s">
        <v>116</v>
      </c>
      <c r="I1346" s="3" t="s">
        <v>148</v>
      </c>
      <c r="J1346" s="3" t="s">
        <v>149</v>
      </c>
      <c r="K1346" s="3" t="s">
        <v>33</v>
      </c>
      <c r="L1346" s="3" t="s">
        <v>51</v>
      </c>
      <c r="M1346" s="3" t="s">
        <v>160</v>
      </c>
      <c r="N1346" s="3" t="s">
        <v>161</v>
      </c>
      <c r="O1346" s="3" t="s">
        <v>37</v>
      </c>
      <c r="P1346" s="3" t="s">
        <v>38</v>
      </c>
      <c r="Q1346" s="3" t="s">
        <v>39</v>
      </c>
      <c r="R1346" s="3" t="s">
        <v>40</v>
      </c>
      <c r="S1346" s="55">
        <v>16844.5</v>
      </c>
      <c r="T1346" s="55">
        <v>10081.2371</v>
      </c>
      <c r="U1346" s="55">
        <v>65.282399999999996</v>
      </c>
      <c r="V1346" s="55">
        <v>6763.2628999999997</v>
      </c>
      <c r="W1346" s="3">
        <v>60</v>
      </c>
    </row>
    <row r="1347" spans="1:23" x14ac:dyDescent="0.35">
      <c r="A1347" s="3" t="s">
        <v>584</v>
      </c>
      <c r="B1347" s="3" t="s">
        <v>585</v>
      </c>
      <c r="C1347" s="3" t="s">
        <v>162</v>
      </c>
      <c r="D1347" s="3" t="s">
        <v>144</v>
      </c>
      <c r="E1347" s="3" t="s">
        <v>145</v>
      </c>
      <c r="F1347" s="3" t="s">
        <v>146</v>
      </c>
      <c r="G1347" s="3" t="s">
        <v>147</v>
      </c>
      <c r="H1347" s="3" t="s">
        <v>116</v>
      </c>
      <c r="I1347" s="3" t="s">
        <v>148</v>
      </c>
      <c r="J1347" s="3" t="s">
        <v>149</v>
      </c>
      <c r="K1347" s="3" t="s">
        <v>33</v>
      </c>
      <c r="L1347" s="3" t="s">
        <v>51</v>
      </c>
      <c r="M1347" s="3" t="s">
        <v>160</v>
      </c>
      <c r="N1347" s="3" t="s">
        <v>161</v>
      </c>
      <c r="O1347" s="3" t="s">
        <v>42</v>
      </c>
      <c r="P1347" s="3" t="s">
        <v>43</v>
      </c>
      <c r="Q1347" s="3" t="s">
        <v>39</v>
      </c>
      <c r="R1347" s="3" t="s">
        <v>40</v>
      </c>
      <c r="S1347" s="55">
        <v>6321.4</v>
      </c>
      <c r="T1347" s="55">
        <v>228.6628</v>
      </c>
      <c r="U1347" s="55">
        <v>228.6628</v>
      </c>
      <c r="V1347" s="55">
        <v>6092.7371999999996</v>
      </c>
      <c r="W1347" s="3">
        <v>4</v>
      </c>
    </row>
    <row r="1348" spans="1:23" x14ac:dyDescent="0.35">
      <c r="A1348" s="3" t="s">
        <v>584</v>
      </c>
      <c r="B1348" s="3" t="s">
        <v>585</v>
      </c>
      <c r="C1348" s="3" t="s">
        <v>163</v>
      </c>
      <c r="D1348" s="3" t="s">
        <v>144</v>
      </c>
      <c r="E1348" s="3" t="s">
        <v>145</v>
      </c>
      <c r="F1348" s="3" t="s">
        <v>146</v>
      </c>
      <c r="G1348" s="3" t="s">
        <v>147</v>
      </c>
      <c r="H1348" s="3" t="s">
        <v>116</v>
      </c>
      <c r="I1348" s="3" t="s">
        <v>148</v>
      </c>
      <c r="J1348" s="3" t="s">
        <v>149</v>
      </c>
      <c r="K1348" s="3" t="s">
        <v>33</v>
      </c>
      <c r="L1348" s="3" t="s">
        <v>51</v>
      </c>
      <c r="M1348" s="3" t="s">
        <v>160</v>
      </c>
      <c r="N1348" s="3" t="s">
        <v>161</v>
      </c>
      <c r="O1348" s="3" t="s">
        <v>125</v>
      </c>
      <c r="P1348" s="3" t="s">
        <v>126</v>
      </c>
      <c r="Q1348" s="3" t="s">
        <v>39</v>
      </c>
      <c r="R1348" s="3" t="s">
        <v>40</v>
      </c>
      <c r="S1348" s="55">
        <v>4785.7</v>
      </c>
      <c r="T1348" s="55">
        <v>3837.5237000000002</v>
      </c>
      <c r="U1348" s="55">
        <v>790.68299999999999</v>
      </c>
      <c r="V1348" s="55">
        <v>948.17629999999997</v>
      </c>
      <c r="W1348" s="3">
        <v>80</v>
      </c>
    </row>
    <row r="1349" spans="1:23" x14ac:dyDescent="0.35">
      <c r="A1349" s="3" t="s">
        <v>584</v>
      </c>
      <c r="B1349" s="3" t="s">
        <v>585</v>
      </c>
      <c r="C1349" s="3" t="s">
        <v>423</v>
      </c>
      <c r="D1349" s="3" t="s">
        <v>165</v>
      </c>
      <c r="E1349" s="3" t="s">
        <v>145</v>
      </c>
      <c r="F1349" s="3" t="s">
        <v>28</v>
      </c>
      <c r="G1349" s="3" t="s">
        <v>166</v>
      </c>
      <c r="H1349" s="3" t="s">
        <v>139</v>
      </c>
      <c r="I1349" s="3" t="s">
        <v>167</v>
      </c>
      <c r="J1349" s="3" t="s">
        <v>168</v>
      </c>
      <c r="K1349" s="3" t="s">
        <v>33</v>
      </c>
      <c r="L1349" s="3" t="s">
        <v>51</v>
      </c>
      <c r="M1349" s="3" t="s">
        <v>424</v>
      </c>
      <c r="N1349" s="3" t="s">
        <v>507</v>
      </c>
      <c r="O1349" s="3" t="s">
        <v>37</v>
      </c>
      <c r="P1349" s="3" t="s">
        <v>38</v>
      </c>
      <c r="Q1349" s="3" t="s">
        <v>39</v>
      </c>
      <c r="R1349" s="3" t="s">
        <v>40</v>
      </c>
      <c r="S1349" s="55">
        <v>3229.3</v>
      </c>
      <c r="T1349" s="55">
        <v>340</v>
      </c>
      <c r="U1349" s="55">
        <v>0</v>
      </c>
      <c r="V1349" s="55">
        <v>2889.3</v>
      </c>
      <c r="W1349" s="3">
        <v>11</v>
      </c>
    </row>
    <row r="1350" spans="1:23" x14ac:dyDescent="0.35">
      <c r="A1350" s="3" t="s">
        <v>584</v>
      </c>
      <c r="B1350" s="3" t="s">
        <v>585</v>
      </c>
      <c r="C1350" s="3" t="s">
        <v>560</v>
      </c>
      <c r="D1350" s="3" t="s">
        <v>165</v>
      </c>
      <c r="E1350" s="3" t="s">
        <v>145</v>
      </c>
      <c r="F1350" s="3" t="s">
        <v>28</v>
      </c>
      <c r="G1350" s="3" t="s">
        <v>166</v>
      </c>
      <c r="H1350" s="3" t="s">
        <v>139</v>
      </c>
      <c r="I1350" s="3" t="s">
        <v>167</v>
      </c>
      <c r="J1350" s="3" t="s">
        <v>168</v>
      </c>
      <c r="K1350" s="3" t="s">
        <v>33</v>
      </c>
      <c r="L1350" s="3" t="s">
        <v>51</v>
      </c>
      <c r="M1350" s="3" t="s">
        <v>424</v>
      </c>
      <c r="N1350" s="3" t="s">
        <v>507</v>
      </c>
      <c r="O1350" s="3" t="s">
        <v>125</v>
      </c>
      <c r="P1350" s="3" t="s">
        <v>126</v>
      </c>
      <c r="Q1350" s="3" t="s">
        <v>39</v>
      </c>
      <c r="R1350" s="3" t="s">
        <v>40</v>
      </c>
      <c r="S1350" s="55">
        <v>250.7</v>
      </c>
      <c r="T1350" s="55">
        <v>250.65</v>
      </c>
      <c r="U1350" s="55">
        <v>0</v>
      </c>
      <c r="V1350" s="55">
        <v>0.05</v>
      </c>
      <c r="W1350" s="3">
        <v>100</v>
      </c>
    </row>
    <row r="1351" spans="1:23" x14ac:dyDescent="0.35">
      <c r="A1351" s="3" t="s">
        <v>584</v>
      </c>
      <c r="B1351" s="3" t="s">
        <v>585</v>
      </c>
      <c r="C1351" s="3" t="s">
        <v>164</v>
      </c>
      <c r="D1351" s="3" t="s">
        <v>165</v>
      </c>
      <c r="E1351" s="3" t="s">
        <v>145</v>
      </c>
      <c r="F1351" s="3" t="s">
        <v>28</v>
      </c>
      <c r="G1351" s="3" t="s">
        <v>166</v>
      </c>
      <c r="H1351" s="3" t="s">
        <v>139</v>
      </c>
      <c r="I1351" s="3" t="s">
        <v>167</v>
      </c>
      <c r="J1351" s="3" t="s">
        <v>168</v>
      </c>
      <c r="K1351" s="3" t="s">
        <v>33</v>
      </c>
      <c r="L1351" s="3" t="s">
        <v>51</v>
      </c>
      <c r="M1351" s="3" t="s">
        <v>169</v>
      </c>
      <c r="N1351" s="3" t="s">
        <v>170</v>
      </c>
      <c r="O1351" s="3" t="s">
        <v>37</v>
      </c>
      <c r="P1351" s="3" t="s">
        <v>38</v>
      </c>
      <c r="Q1351" s="3" t="s">
        <v>39</v>
      </c>
      <c r="R1351" s="3" t="s">
        <v>40</v>
      </c>
      <c r="S1351" s="55">
        <v>52212.9</v>
      </c>
      <c r="T1351" s="55">
        <v>8439.4480999999996</v>
      </c>
      <c r="U1351" s="55">
        <v>1842.5355999999999</v>
      </c>
      <c r="V1351" s="55">
        <v>43773.4519</v>
      </c>
      <c r="W1351" s="3">
        <v>16</v>
      </c>
    </row>
    <row r="1352" spans="1:23" x14ac:dyDescent="0.35">
      <c r="A1352" s="3" t="s">
        <v>584</v>
      </c>
      <c r="B1352" s="3" t="s">
        <v>585</v>
      </c>
      <c r="C1352" s="3" t="s">
        <v>561</v>
      </c>
      <c r="D1352" s="3" t="s">
        <v>165</v>
      </c>
      <c r="E1352" s="3" t="s">
        <v>145</v>
      </c>
      <c r="F1352" s="3" t="s">
        <v>28</v>
      </c>
      <c r="G1352" s="3" t="s">
        <v>166</v>
      </c>
      <c r="H1352" s="3" t="s">
        <v>139</v>
      </c>
      <c r="I1352" s="3" t="s">
        <v>167</v>
      </c>
      <c r="J1352" s="3" t="s">
        <v>168</v>
      </c>
      <c r="K1352" s="3" t="s">
        <v>33</v>
      </c>
      <c r="L1352" s="3" t="s">
        <v>51</v>
      </c>
      <c r="M1352" s="3" t="s">
        <v>169</v>
      </c>
      <c r="N1352" s="3" t="s">
        <v>170</v>
      </c>
      <c r="O1352" s="3" t="s">
        <v>125</v>
      </c>
      <c r="P1352" s="3" t="s">
        <v>126</v>
      </c>
      <c r="Q1352" s="3" t="s">
        <v>39</v>
      </c>
      <c r="R1352" s="3" t="s">
        <v>40</v>
      </c>
      <c r="S1352" s="55">
        <v>406.8</v>
      </c>
      <c r="T1352" s="55">
        <v>406.8</v>
      </c>
      <c r="U1352" s="55">
        <v>0</v>
      </c>
      <c r="V1352" s="55">
        <v>0</v>
      </c>
      <c r="W1352" s="3">
        <v>100</v>
      </c>
    </row>
    <row r="1353" spans="1:23" x14ac:dyDescent="0.35">
      <c r="A1353" s="3" t="s">
        <v>584</v>
      </c>
      <c r="B1353" s="3" t="s">
        <v>585</v>
      </c>
      <c r="C1353" s="3" t="s">
        <v>171</v>
      </c>
      <c r="D1353" s="3" t="s">
        <v>165</v>
      </c>
      <c r="E1353" s="3" t="s">
        <v>145</v>
      </c>
      <c r="F1353" s="3" t="s">
        <v>28</v>
      </c>
      <c r="G1353" s="3" t="s">
        <v>166</v>
      </c>
      <c r="H1353" s="3" t="s">
        <v>139</v>
      </c>
      <c r="I1353" s="3" t="s">
        <v>167</v>
      </c>
      <c r="J1353" s="3" t="s">
        <v>168</v>
      </c>
      <c r="K1353" s="3" t="s">
        <v>33</v>
      </c>
      <c r="L1353" s="3" t="s">
        <v>51</v>
      </c>
      <c r="M1353" s="3" t="s">
        <v>172</v>
      </c>
      <c r="N1353" s="3" t="s">
        <v>173</v>
      </c>
      <c r="O1353" s="3" t="s">
        <v>37</v>
      </c>
      <c r="P1353" s="3" t="s">
        <v>38</v>
      </c>
      <c r="Q1353" s="3" t="s">
        <v>39</v>
      </c>
      <c r="R1353" s="3" t="s">
        <v>40</v>
      </c>
      <c r="S1353" s="55">
        <v>152084.6</v>
      </c>
      <c r="T1353" s="55">
        <v>44981.402099999999</v>
      </c>
      <c r="U1353" s="55">
        <v>41157.281000000003</v>
      </c>
      <c r="V1353" s="55">
        <v>107103.1979</v>
      </c>
      <c r="W1353" s="3">
        <v>30</v>
      </c>
    </row>
    <row r="1354" spans="1:23" x14ac:dyDescent="0.35">
      <c r="A1354" s="3" t="s">
        <v>584</v>
      </c>
      <c r="B1354" s="3" t="s">
        <v>585</v>
      </c>
      <c r="C1354" s="3" t="s">
        <v>562</v>
      </c>
      <c r="D1354" s="3" t="s">
        <v>165</v>
      </c>
      <c r="E1354" s="3" t="s">
        <v>145</v>
      </c>
      <c r="F1354" s="3" t="s">
        <v>28</v>
      </c>
      <c r="G1354" s="3" t="s">
        <v>166</v>
      </c>
      <c r="H1354" s="3" t="s">
        <v>139</v>
      </c>
      <c r="I1354" s="3" t="s">
        <v>167</v>
      </c>
      <c r="J1354" s="3" t="s">
        <v>168</v>
      </c>
      <c r="K1354" s="3" t="s">
        <v>33</v>
      </c>
      <c r="L1354" s="3" t="s">
        <v>51</v>
      </c>
      <c r="M1354" s="3" t="s">
        <v>172</v>
      </c>
      <c r="N1354" s="3" t="s">
        <v>173</v>
      </c>
      <c r="O1354" s="3" t="s">
        <v>125</v>
      </c>
      <c r="P1354" s="3" t="s">
        <v>126</v>
      </c>
      <c r="Q1354" s="3" t="s">
        <v>39</v>
      </c>
      <c r="R1354" s="3" t="s">
        <v>40</v>
      </c>
      <c r="S1354" s="55">
        <v>2086.8000000000002</v>
      </c>
      <c r="T1354" s="55">
        <v>2086.8000000000002</v>
      </c>
      <c r="U1354" s="55">
        <v>0</v>
      </c>
      <c r="V1354" s="55">
        <v>0</v>
      </c>
      <c r="W1354" s="3">
        <v>100</v>
      </c>
    </row>
    <row r="1355" spans="1:23" x14ac:dyDescent="0.35">
      <c r="A1355" s="3" t="s">
        <v>584</v>
      </c>
      <c r="B1355" s="3" t="s">
        <v>585</v>
      </c>
      <c r="C1355" s="3" t="s">
        <v>174</v>
      </c>
      <c r="D1355" s="3" t="s">
        <v>175</v>
      </c>
      <c r="E1355" s="3" t="s">
        <v>145</v>
      </c>
      <c r="F1355" s="3" t="s">
        <v>176</v>
      </c>
      <c r="G1355" s="3" t="s">
        <v>177</v>
      </c>
      <c r="H1355" s="3" t="s">
        <v>116</v>
      </c>
      <c r="I1355" s="3" t="s">
        <v>148</v>
      </c>
      <c r="J1355" s="3" t="s">
        <v>149</v>
      </c>
      <c r="K1355" s="3" t="s">
        <v>33</v>
      </c>
      <c r="L1355" s="3" t="s">
        <v>51</v>
      </c>
      <c r="M1355" s="3" t="s">
        <v>178</v>
      </c>
      <c r="N1355" s="3" t="s">
        <v>179</v>
      </c>
      <c r="O1355" s="3" t="s">
        <v>96</v>
      </c>
      <c r="P1355" s="3" t="s">
        <v>97</v>
      </c>
      <c r="Q1355" s="3" t="s">
        <v>39</v>
      </c>
      <c r="R1355" s="3" t="s">
        <v>40</v>
      </c>
      <c r="S1355" s="55">
        <v>470237.7</v>
      </c>
      <c r="T1355" s="55">
        <v>322161.28460000001</v>
      </c>
      <c r="U1355" s="55">
        <v>27912.1077</v>
      </c>
      <c r="V1355" s="55">
        <v>148076.4154</v>
      </c>
      <c r="W1355" s="3">
        <v>69</v>
      </c>
    </row>
    <row r="1356" spans="1:23" x14ac:dyDescent="0.35">
      <c r="A1356" s="3" t="s">
        <v>584</v>
      </c>
      <c r="B1356" s="3" t="s">
        <v>585</v>
      </c>
      <c r="C1356" s="3" t="s">
        <v>180</v>
      </c>
      <c r="D1356" s="3" t="s">
        <v>175</v>
      </c>
      <c r="E1356" s="3" t="s">
        <v>145</v>
      </c>
      <c r="F1356" s="3" t="s">
        <v>176</v>
      </c>
      <c r="G1356" s="3" t="s">
        <v>177</v>
      </c>
      <c r="H1356" s="3" t="s">
        <v>116</v>
      </c>
      <c r="I1356" s="3" t="s">
        <v>148</v>
      </c>
      <c r="J1356" s="3" t="s">
        <v>149</v>
      </c>
      <c r="K1356" s="3" t="s">
        <v>33</v>
      </c>
      <c r="L1356" s="3" t="s">
        <v>51</v>
      </c>
      <c r="M1356" s="3" t="s">
        <v>178</v>
      </c>
      <c r="N1356" s="3" t="s">
        <v>179</v>
      </c>
      <c r="O1356" s="3" t="s">
        <v>99</v>
      </c>
      <c r="P1356" s="3" t="s">
        <v>100</v>
      </c>
      <c r="Q1356" s="3" t="s">
        <v>39</v>
      </c>
      <c r="R1356" s="3" t="s">
        <v>40</v>
      </c>
      <c r="S1356" s="55">
        <v>140950.39999999999</v>
      </c>
      <c r="T1356" s="55">
        <v>99296.0576</v>
      </c>
      <c r="U1356" s="55">
        <v>3193.7609000000002</v>
      </c>
      <c r="V1356" s="55">
        <v>41654.342400000001</v>
      </c>
      <c r="W1356" s="3">
        <v>70</v>
      </c>
    </row>
    <row r="1357" spans="1:23" x14ac:dyDescent="0.35">
      <c r="A1357" s="3" t="s">
        <v>584</v>
      </c>
      <c r="B1357" s="3" t="s">
        <v>585</v>
      </c>
      <c r="C1357" s="3" t="s">
        <v>181</v>
      </c>
      <c r="D1357" s="3" t="s">
        <v>175</v>
      </c>
      <c r="E1357" s="3" t="s">
        <v>145</v>
      </c>
      <c r="F1357" s="3" t="s">
        <v>176</v>
      </c>
      <c r="G1357" s="3" t="s">
        <v>177</v>
      </c>
      <c r="H1357" s="3" t="s">
        <v>116</v>
      </c>
      <c r="I1357" s="3" t="s">
        <v>148</v>
      </c>
      <c r="J1357" s="3" t="s">
        <v>149</v>
      </c>
      <c r="K1357" s="3" t="s">
        <v>33</v>
      </c>
      <c r="L1357" s="3" t="s">
        <v>51</v>
      </c>
      <c r="M1357" s="3" t="s">
        <v>178</v>
      </c>
      <c r="N1357" s="3" t="s">
        <v>179</v>
      </c>
      <c r="O1357" s="3" t="s">
        <v>37</v>
      </c>
      <c r="P1357" s="3" t="s">
        <v>38</v>
      </c>
      <c r="Q1357" s="3" t="s">
        <v>39</v>
      </c>
      <c r="R1357" s="3" t="s">
        <v>40</v>
      </c>
      <c r="S1357" s="55">
        <v>122127.4</v>
      </c>
      <c r="T1357" s="55">
        <v>51002.823100000001</v>
      </c>
      <c r="U1357" s="55">
        <v>5685.2222000000002</v>
      </c>
      <c r="V1357" s="55">
        <v>71124.5769</v>
      </c>
      <c r="W1357" s="3">
        <v>42</v>
      </c>
    </row>
    <row r="1358" spans="1:23" x14ac:dyDescent="0.35">
      <c r="A1358" s="3" t="s">
        <v>584</v>
      </c>
      <c r="B1358" s="3" t="s">
        <v>585</v>
      </c>
      <c r="C1358" s="3" t="s">
        <v>182</v>
      </c>
      <c r="D1358" s="3" t="s">
        <v>175</v>
      </c>
      <c r="E1358" s="3" t="s">
        <v>145</v>
      </c>
      <c r="F1358" s="3" t="s">
        <v>176</v>
      </c>
      <c r="G1358" s="3" t="s">
        <v>177</v>
      </c>
      <c r="H1358" s="3" t="s">
        <v>116</v>
      </c>
      <c r="I1358" s="3" t="s">
        <v>148</v>
      </c>
      <c r="J1358" s="3" t="s">
        <v>149</v>
      </c>
      <c r="K1358" s="3" t="s">
        <v>33</v>
      </c>
      <c r="L1358" s="3" t="s">
        <v>51</v>
      </c>
      <c r="M1358" s="3" t="s">
        <v>178</v>
      </c>
      <c r="N1358" s="3" t="s">
        <v>179</v>
      </c>
      <c r="O1358" s="3" t="s">
        <v>42</v>
      </c>
      <c r="P1358" s="3" t="s">
        <v>43</v>
      </c>
      <c r="Q1358" s="3" t="s">
        <v>39</v>
      </c>
      <c r="R1358" s="3" t="s">
        <v>40</v>
      </c>
      <c r="S1358" s="55">
        <v>5728.8</v>
      </c>
      <c r="T1358" s="55">
        <v>2166.5657999999999</v>
      </c>
      <c r="U1358" s="55">
        <v>416.09469999999999</v>
      </c>
      <c r="V1358" s="55">
        <v>3562.2341999999999</v>
      </c>
      <c r="W1358" s="3">
        <v>38</v>
      </c>
    </row>
    <row r="1359" spans="1:23" x14ac:dyDescent="0.35">
      <c r="A1359" s="3" t="s">
        <v>584</v>
      </c>
      <c r="B1359" s="3" t="s">
        <v>585</v>
      </c>
      <c r="C1359" s="3" t="s">
        <v>486</v>
      </c>
      <c r="D1359" s="3" t="s">
        <v>175</v>
      </c>
      <c r="E1359" s="3" t="s">
        <v>145</v>
      </c>
      <c r="F1359" s="3" t="s">
        <v>176</v>
      </c>
      <c r="G1359" s="3" t="s">
        <v>177</v>
      </c>
      <c r="H1359" s="3" t="s">
        <v>116</v>
      </c>
      <c r="I1359" s="3" t="s">
        <v>148</v>
      </c>
      <c r="J1359" s="3" t="s">
        <v>149</v>
      </c>
      <c r="K1359" s="3" t="s">
        <v>33</v>
      </c>
      <c r="L1359" s="3" t="s">
        <v>51</v>
      </c>
      <c r="M1359" s="3" t="s">
        <v>178</v>
      </c>
      <c r="N1359" s="3" t="s">
        <v>179</v>
      </c>
      <c r="O1359" s="3" t="s">
        <v>91</v>
      </c>
      <c r="P1359" s="3" t="s">
        <v>92</v>
      </c>
      <c r="Q1359" s="3" t="s">
        <v>39</v>
      </c>
      <c r="R1359" s="3" t="s">
        <v>40</v>
      </c>
      <c r="S1359" s="55">
        <v>284.7</v>
      </c>
      <c r="T1359" s="55">
        <v>280.87279999999998</v>
      </c>
      <c r="U1359" s="55">
        <v>0</v>
      </c>
      <c r="V1359" s="55">
        <v>3.8271999999999999</v>
      </c>
      <c r="W1359" s="3">
        <v>99</v>
      </c>
    </row>
    <row r="1360" spans="1:23" x14ac:dyDescent="0.35">
      <c r="A1360" s="3" t="s">
        <v>584</v>
      </c>
      <c r="B1360" s="3" t="s">
        <v>585</v>
      </c>
      <c r="C1360" s="3" t="s">
        <v>183</v>
      </c>
      <c r="D1360" s="3" t="s">
        <v>175</v>
      </c>
      <c r="E1360" s="3" t="s">
        <v>145</v>
      </c>
      <c r="F1360" s="3" t="s">
        <v>176</v>
      </c>
      <c r="G1360" s="3" t="s">
        <v>177</v>
      </c>
      <c r="H1360" s="3" t="s">
        <v>116</v>
      </c>
      <c r="I1360" s="3" t="s">
        <v>148</v>
      </c>
      <c r="J1360" s="3" t="s">
        <v>149</v>
      </c>
      <c r="K1360" s="3" t="s">
        <v>33</v>
      </c>
      <c r="L1360" s="3" t="s">
        <v>51</v>
      </c>
      <c r="M1360" s="3" t="s">
        <v>178</v>
      </c>
      <c r="N1360" s="3" t="s">
        <v>179</v>
      </c>
      <c r="O1360" s="3" t="s">
        <v>122</v>
      </c>
      <c r="P1360" s="3" t="s">
        <v>123</v>
      </c>
      <c r="Q1360" s="3" t="s">
        <v>39</v>
      </c>
      <c r="R1360" s="3" t="s">
        <v>40</v>
      </c>
      <c r="S1360" s="55">
        <v>1454.5</v>
      </c>
      <c r="T1360" s="55">
        <v>91.74</v>
      </c>
      <c r="U1360" s="55">
        <v>0</v>
      </c>
      <c r="V1360" s="55">
        <v>1362.76</v>
      </c>
      <c r="W1360" s="3">
        <v>6</v>
      </c>
    </row>
    <row r="1361" spans="1:23" x14ac:dyDescent="0.35">
      <c r="A1361" s="3" t="s">
        <v>584</v>
      </c>
      <c r="B1361" s="3" t="s">
        <v>585</v>
      </c>
      <c r="C1361" s="3" t="s">
        <v>184</v>
      </c>
      <c r="D1361" s="3" t="s">
        <v>175</v>
      </c>
      <c r="E1361" s="3" t="s">
        <v>145</v>
      </c>
      <c r="F1361" s="3" t="s">
        <v>176</v>
      </c>
      <c r="G1361" s="3" t="s">
        <v>177</v>
      </c>
      <c r="H1361" s="3" t="s">
        <v>116</v>
      </c>
      <c r="I1361" s="3" t="s">
        <v>148</v>
      </c>
      <c r="J1361" s="3" t="s">
        <v>149</v>
      </c>
      <c r="K1361" s="3" t="s">
        <v>33</v>
      </c>
      <c r="L1361" s="3" t="s">
        <v>51</v>
      </c>
      <c r="M1361" s="3" t="s">
        <v>178</v>
      </c>
      <c r="N1361" s="3" t="s">
        <v>179</v>
      </c>
      <c r="O1361" s="3" t="s">
        <v>103</v>
      </c>
      <c r="P1361" s="3" t="s">
        <v>104</v>
      </c>
      <c r="Q1361" s="3" t="s">
        <v>39</v>
      </c>
      <c r="R1361" s="3" t="s">
        <v>40</v>
      </c>
      <c r="S1361" s="55">
        <v>675.8</v>
      </c>
      <c r="T1361" s="55">
        <v>433.1327</v>
      </c>
      <c r="U1361" s="55">
        <v>0</v>
      </c>
      <c r="V1361" s="55">
        <v>242.66730000000001</v>
      </c>
      <c r="W1361" s="3">
        <v>64</v>
      </c>
    </row>
    <row r="1362" spans="1:23" x14ac:dyDescent="0.35">
      <c r="A1362" s="3" t="s">
        <v>584</v>
      </c>
      <c r="B1362" s="3" t="s">
        <v>585</v>
      </c>
      <c r="C1362" s="3" t="s">
        <v>563</v>
      </c>
      <c r="D1362" s="3" t="s">
        <v>175</v>
      </c>
      <c r="E1362" s="3" t="s">
        <v>145</v>
      </c>
      <c r="F1362" s="3" t="s">
        <v>176</v>
      </c>
      <c r="G1362" s="3" t="s">
        <v>177</v>
      </c>
      <c r="H1362" s="3" t="s">
        <v>116</v>
      </c>
      <c r="I1362" s="3" t="s">
        <v>148</v>
      </c>
      <c r="J1362" s="3" t="s">
        <v>149</v>
      </c>
      <c r="K1362" s="3" t="s">
        <v>33</v>
      </c>
      <c r="L1362" s="3" t="s">
        <v>51</v>
      </c>
      <c r="M1362" s="3" t="s">
        <v>178</v>
      </c>
      <c r="N1362" s="3" t="s">
        <v>179</v>
      </c>
      <c r="O1362" s="3" t="s">
        <v>125</v>
      </c>
      <c r="P1362" s="3" t="s">
        <v>126</v>
      </c>
      <c r="Q1362" s="3" t="s">
        <v>39</v>
      </c>
      <c r="R1362" s="3" t="s">
        <v>40</v>
      </c>
      <c r="S1362" s="55">
        <v>185</v>
      </c>
      <c r="T1362" s="55">
        <v>185</v>
      </c>
      <c r="U1362" s="55">
        <v>0</v>
      </c>
      <c r="V1362" s="55">
        <v>0</v>
      </c>
      <c r="W1362" s="3">
        <v>100</v>
      </c>
    </row>
    <row r="1363" spans="1:23" x14ac:dyDescent="0.35">
      <c r="A1363" s="3" t="s">
        <v>584</v>
      </c>
      <c r="B1363" s="3" t="s">
        <v>585</v>
      </c>
      <c r="C1363" s="3" t="s">
        <v>473</v>
      </c>
      <c r="D1363" s="3" t="s">
        <v>175</v>
      </c>
      <c r="E1363" s="3" t="s">
        <v>145</v>
      </c>
      <c r="F1363" s="3" t="s">
        <v>176</v>
      </c>
      <c r="G1363" s="3" t="s">
        <v>177</v>
      </c>
      <c r="H1363" s="3" t="s">
        <v>116</v>
      </c>
      <c r="I1363" s="3" t="s">
        <v>148</v>
      </c>
      <c r="J1363" s="3" t="s">
        <v>149</v>
      </c>
      <c r="K1363" s="3" t="s">
        <v>33</v>
      </c>
      <c r="L1363" s="3" t="s">
        <v>51</v>
      </c>
      <c r="M1363" s="3" t="s">
        <v>474</v>
      </c>
      <c r="N1363" s="3" t="s">
        <v>475</v>
      </c>
      <c r="O1363" s="3" t="s">
        <v>37</v>
      </c>
      <c r="P1363" s="3" t="s">
        <v>38</v>
      </c>
      <c r="Q1363" s="3" t="s">
        <v>39</v>
      </c>
      <c r="R1363" s="3" t="s">
        <v>40</v>
      </c>
      <c r="S1363" s="55">
        <v>3157.5</v>
      </c>
      <c r="T1363" s="55">
        <v>0</v>
      </c>
      <c r="U1363" s="55">
        <v>0</v>
      </c>
      <c r="V1363" s="55">
        <v>3157.5</v>
      </c>
      <c r="W1363" s="3">
        <v>0</v>
      </c>
    </row>
    <row r="1364" spans="1:23" x14ac:dyDescent="0.35">
      <c r="A1364" s="3" t="s">
        <v>584</v>
      </c>
      <c r="B1364" s="3" t="s">
        <v>585</v>
      </c>
      <c r="C1364" s="3" t="s">
        <v>185</v>
      </c>
      <c r="D1364" s="3" t="s">
        <v>186</v>
      </c>
      <c r="E1364" s="3" t="s">
        <v>187</v>
      </c>
      <c r="F1364" s="3" t="s">
        <v>146</v>
      </c>
      <c r="G1364" s="3" t="s">
        <v>188</v>
      </c>
      <c r="H1364" s="3" t="s">
        <v>189</v>
      </c>
      <c r="I1364" s="3" t="s">
        <v>190</v>
      </c>
      <c r="J1364" s="3" t="s">
        <v>191</v>
      </c>
      <c r="K1364" s="3" t="s">
        <v>33</v>
      </c>
      <c r="L1364" s="3" t="s">
        <v>51</v>
      </c>
      <c r="M1364" s="3" t="s">
        <v>192</v>
      </c>
      <c r="N1364" s="3" t="s">
        <v>193</v>
      </c>
      <c r="O1364" s="3" t="s">
        <v>108</v>
      </c>
      <c r="P1364" s="3" t="s">
        <v>109</v>
      </c>
      <c r="Q1364" s="3" t="s">
        <v>39</v>
      </c>
      <c r="R1364" s="3" t="s">
        <v>40</v>
      </c>
      <c r="S1364" s="55">
        <v>4988386</v>
      </c>
      <c r="T1364" s="55">
        <v>3509541.1553000002</v>
      </c>
      <c r="U1364" s="55">
        <v>352222.739</v>
      </c>
      <c r="V1364" s="55">
        <v>1478844.8447</v>
      </c>
      <c r="W1364" s="3">
        <v>70</v>
      </c>
    </row>
    <row r="1365" spans="1:23" x14ac:dyDescent="0.35">
      <c r="A1365" s="3" t="s">
        <v>584</v>
      </c>
      <c r="B1365" s="3" t="s">
        <v>585</v>
      </c>
      <c r="C1365" s="3" t="s">
        <v>508</v>
      </c>
      <c r="D1365" s="3" t="s">
        <v>186</v>
      </c>
      <c r="E1365" s="3" t="s">
        <v>187</v>
      </c>
      <c r="F1365" s="3" t="s">
        <v>146</v>
      </c>
      <c r="G1365" s="3" t="s">
        <v>188</v>
      </c>
      <c r="H1365" s="3" t="s">
        <v>189</v>
      </c>
      <c r="I1365" s="3" t="s">
        <v>190</v>
      </c>
      <c r="J1365" s="3" t="s">
        <v>191</v>
      </c>
      <c r="K1365" s="3" t="s">
        <v>33</v>
      </c>
      <c r="L1365" s="3" t="s">
        <v>51</v>
      </c>
      <c r="M1365" s="3" t="s">
        <v>227</v>
      </c>
      <c r="N1365" s="3" t="s">
        <v>228</v>
      </c>
      <c r="O1365" s="3" t="s">
        <v>197</v>
      </c>
      <c r="P1365" s="3" t="s">
        <v>198</v>
      </c>
      <c r="Q1365" s="3" t="s">
        <v>39</v>
      </c>
      <c r="R1365" s="3" t="s">
        <v>40</v>
      </c>
      <c r="S1365" s="55">
        <v>29473.1</v>
      </c>
      <c r="T1365" s="55">
        <v>8176.0011999999997</v>
      </c>
      <c r="U1365" s="55">
        <v>8143.6012000000001</v>
      </c>
      <c r="V1365" s="55">
        <v>21297.0988</v>
      </c>
      <c r="W1365" s="3">
        <v>28</v>
      </c>
    </row>
    <row r="1366" spans="1:23" x14ac:dyDescent="0.35">
      <c r="A1366" s="3" t="s">
        <v>584</v>
      </c>
      <c r="B1366" s="3" t="s">
        <v>585</v>
      </c>
      <c r="C1366" s="3" t="s">
        <v>194</v>
      </c>
      <c r="D1366" s="3" t="s">
        <v>186</v>
      </c>
      <c r="E1366" s="3" t="s">
        <v>187</v>
      </c>
      <c r="F1366" s="3" t="s">
        <v>146</v>
      </c>
      <c r="G1366" s="3" t="s">
        <v>188</v>
      </c>
      <c r="H1366" s="3" t="s">
        <v>189</v>
      </c>
      <c r="I1366" s="3" t="s">
        <v>190</v>
      </c>
      <c r="J1366" s="3" t="s">
        <v>191</v>
      </c>
      <c r="K1366" s="3" t="s">
        <v>33</v>
      </c>
      <c r="L1366" s="3" t="s">
        <v>51</v>
      </c>
      <c r="M1366" s="3" t="s">
        <v>195</v>
      </c>
      <c r="N1366" s="3" t="s">
        <v>509</v>
      </c>
      <c r="O1366" s="3" t="s">
        <v>197</v>
      </c>
      <c r="P1366" s="3" t="s">
        <v>198</v>
      </c>
      <c r="Q1366" s="3" t="s">
        <v>39</v>
      </c>
      <c r="R1366" s="3" t="s">
        <v>40</v>
      </c>
      <c r="S1366" s="55">
        <v>32937.4</v>
      </c>
      <c r="T1366" s="55">
        <v>28207.702000000001</v>
      </c>
      <c r="U1366" s="55">
        <v>2905.4508000000001</v>
      </c>
      <c r="V1366" s="55">
        <v>4729.6980000000003</v>
      </c>
      <c r="W1366" s="3">
        <v>86</v>
      </c>
    </row>
    <row r="1367" spans="1:23" x14ac:dyDescent="0.35">
      <c r="A1367" s="3" t="s">
        <v>584</v>
      </c>
      <c r="B1367" s="3" t="s">
        <v>585</v>
      </c>
      <c r="C1367" s="3" t="s">
        <v>510</v>
      </c>
      <c r="D1367" s="3" t="s">
        <v>200</v>
      </c>
      <c r="E1367" s="3" t="s">
        <v>187</v>
      </c>
      <c r="F1367" s="3" t="s">
        <v>189</v>
      </c>
      <c r="G1367" s="3" t="s">
        <v>201</v>
      </c>
      <c r="H1367" s="3" t="s">
        <v>189</v>
      </c>
      <c r="I1367" s="3" t="s">
        <v>190</v>
      </c>
      <c r="J1367" s="3" t="s">
        <v>202</v>
      </c>
      <c r="K1367" s="3" t="s">
        <v>23</v>
      </c>
      <c r="L1367" s="3" t="s">
        <v>203</v>
      </c>
      <c r="M1367" s="3" t="s">
        <v>511</v>
      </c>
      <c r="N1367" s="3" t="s">
        <v>205</v>
      </c>
      <c r="O1367" s="3" t="s">
        <v>197</v>
      </c>
      <c r="P1367" s="3" t="s">
        <v>198</v>
      </c>
      <c r="Q1367" s="3" t="s">
        <v>39</v>
      </c>
      <c r="R1367" s="3" t="s">
        <v>40</v>
      </c>
      <c r="S1367" s="55">
        <v>21148</v>
      </c>
      <c r="T1367" s="55">
        <v>15860.8182</v>
      </c>
      <c r="U1367" s="55">
        <v>1762.2418</v>
      </c>
      <c r="V1367" s="55">
        <v>5287.1818000000003</v>
      </c>
      <c r="W1367" s="3">
        <v>75</v>
      </c>
    </row>
    <row r="1368" spans="1:23" x14ac:dyDescent="0.35">
      <c r="A1368" s="3" t="s">
        <v>584</v>
      </c>
      <c r="B1368" s="3" t="s">
        <v>585</v>
      </c>
      <c r="C1368" s="3" t="s">
        <v>512</v>
      </c>
      <c r="D1368" s="3" t="s">
        <v>200</v>
      </c>
      <c r="E1368" s="3" t="s">
        <v>187</v>
      </c>
      <c r="F1368" s="3" t="s">
        <v>189</v>
      </c>
      <c r="G1368" s="3" t="s">
        <v>201</v>
      </c>
      <c r="H1368" s="3" t="s">
        <v>189</v>
      </c>
      <c r="I1368" s="3" t="s">
        <v>190</v>
      </c>
      <c r="J1368" s="3" t="s">
        <v>202</v>
      </c>
      <c r="K1368" s="3" t="s">
        <v>23</v>
      </c>
      <c r="L1368" s="3" t="s">
        <v>203</v>
      </c>
      <c r="M1368" s="3" t="s">
        <v>513</v>
      </c>
      <c r="N1368" s="3" t="s">
        <v>514</v>
      </c>
      <c r="O1368" s="3" t="s">
        <v>197</v>
      </c>
      <c r="P1368" s="3" t="s">
        <v>198</v>
      </c>
      <c r="Q1368" s="3" t="s">
        <v>39</v>
      </c>
      <c r="R1368" s="3" t="s">
        <v>40</v>
      </c>
      <c r="S1368" s="55">
        <v>1977.2</v>
      </c>
      <c r="T1368" s="55">
        <v>1975.2195999999999</v>
      </c>
      <c r="U1368" s="55">
        <v>0</v>
      </c>
      <c r="V1368" s="55">
        <v>1.9803999999999999</v>
      </c>
      <c r="W1368" s="3">
        <v>100</v>
      </c>
    </row>
    <row r="1369" spans="1:23" x14ac:dyDescent="0.35">
      <c r="A1369" s="3" t="s">
        <v>584</v>
      </c>
      <c r="B1369" s="3" t="s">
        <v>585</v>
      </c>
      <c r="C1369" s="3" t="s">
        <v>209</v>
      </c>
      <c r="D1369" s="3" t="s">
        <v>200</v>
      </c>
      <c r="E1369" s="3" t="s">
        <v>187</v>
      </c>
      <c r="F1369" s="3" t="s">
        <v>189</v>
      </c>
      <c r="G1369" s="3" t="s">
        <v>201</v>
      </c>
      <c r="H1369" s="3" t="s">
        <v>189</v>
      </c>
      <c r="I1369" s="3" t="s">
        <v>190</v>
      </c>
      <c r="J1369" s="3" t="s">
        <v>191</v>
      </c>
      <c r="K1369" s="3" t="s">
        <v>33</v>
      </c>
      <c r="L1369" s="3" t="s">
        <v>51</v>
      </c>
      <c r="M1369" s="3" t="s">
        <v>210</v>
      </c>
      <c r="N1369" s="3" t="s">
        <v>211</v>
      </c>
      <c r="O1369" s="3" t="s">
        <v>108</v>
      </c>
      <c r="P1369" s="3" t="s">
        <v>109</v>
      </c>
      <c r="Q1369" s="3" t="s">
        <v>39</v>
      </c>
      <c r="R1369" s="3" t="s">
        <v>40</v>
      </c>
      <c r="S1369" s="55">
        <v>4853108.9000000004</v>
      </c>
      <c r="T1369" s="55">
        <v>3482298.8843</v>
      </c>
      <c r="U1369" s="55">
        <v>298794.93199999997</v>
      </c>
      <c r="V1369" s="55">
        <v>1370810.0157000001</v>
      </c>
      <c r="W1369" s="3">
        <v>72</v>
      </c>
    </row>
    <row r="1370" spans="1:23" x14ac:dyDescent="0.35">
      <c r="A1370" s="3" t="s">
        <v>584</v>
      </c>
      <c r="B1370" s="3" t="s">
        <v>585</v>
      </c>
      <c r="C1370" s="3" t="s">
        <v>212</v>
      </c>
      <c r="D1370" s="3" t="s">
        <v>200</v>
      </c>
      <c r="E1370" s="3" t="s">
        <v>187</v>
      </c>
      <c r="F1370" s="3" t="s">
        <v>189</v>
      </c>
      <c r="G1370" s="3" t="s">
        <v>201</v>
      </c>
      <c r="H1370" s="3" t="s">
        <v>189</v>
      </c>
      <c r="I1370" s="3" t="s">
        <v>190</v>
      </c>
      <c r="J1370" s="3" t="s">
        <v>191</v>
      </c>
      <c r="K1370" s="3" t="s">
        <v>33</v>
      </c>
      <c r="L1370" s="3" t="s">
        <v>51</v>
      </c>
      <c r="M1370" s="3" t="s">
        <v>213</v>
      </c>
      <c r="N1370" s="3" t="s">
        <v>214</v>
      </c>
      <c r="O1370" s="3" t="s">
        <v>108</v>
      </c>
      <c r="P1370" s="3" t="s">
        <v>109</v>
      </c>
      <c r="Q1370" s="3" t="s">
        <v>39</v>
      </c>
      <c r="R1370" s="3" t="s">
        <v>40</v>
      </c>
      <c r="S1370" s="55">
        <v>168859</v>
      </c>
      <c r="T1370" s="55">
        <v>108030.0022</v>
      </c>
      <c r="U1370" s="55">
        <v>9746.3860999999997</v>
      </c>
      <c r="V1370" s="55">
        <v>60828.997799999997</v>
      </c>
      <c r="W1370" s="3">
        <v>64</v>
      </c>
    </row>
    <row r="1371" spans="1:23" x14ac:dyDescent="0.35">
      <c r="A1371" s="3" t="s">
        <v>584</v>
      </c>
      <c r="B1371" s="3" t="s">
        <v>585</v>
      </c>
      <c r="C1371" s="3" t="s">
        <v>215</v>
      </c>
      <c r="D1371" s="3" t="s">
        <v>200</v>
      </c>
      <c r="E1371" s="3" t="s">
        <v>187</v>
      </c>
      <c r="F1371" s="3" t="s">
        <v>189</v>
      </c>
      <c r="G1371" s="3" t="s">
        <v>201</v>
      </c>
      <c r="H1371" s="3" t="s">
        <v>189</v>
      </c>
      <c r="I1371" s="3" t="s">
        <v>190</v>
      </c>
      <c r="J1371" s="3" t="s">
        <v>191</v>
      </c>
      <c r="K1371" s="3" t="s">
        <v>33</v>
      </c>
      <c r="L1371" s="3" t="s">
        <v>51</v>
      </c>
      <c r="M1371" s="3" t="s">
        <v>216</v>
      </c>
      <c r="N1371" s="3" t="s">
        <v>217</v>
      </c>
      <c r="O1371" s="3" t="s">
        <v>108</v>
      </c>
      <c r="P1371" s="3" t="s">
        <v>109</v>
      </c>
      <c r="Q1371" s="3" t="s">
        <v>39</v>
      </c>
      <c r="R1371" s="3" t="s">
        <v>40</v>
      </c>
      <c r="S1371" s="55">
        <v>81930.899999999994</v>
      </c>
      <c r="T1371" s="55">
        <v>57889.6875</v>
      </c>
      <c r="U1371" s="55">
        <v>5225.3231999999998</v>
      </c>
      <c r="V1371" s="55">
        <v>24041.212500000001</v>
      </c>
      <c r="W1371" s="3">
        <v>71</v>
      </c>
    </row>
    <row r="1372" spans="1:23" x14ac:dyDescent="0.35">
      <c r="A1372" s="3" t="s">
        <v>584</v>
      </c>
      <c r="B1372" s="3" t="s">
        <v>585</v>
      </c>
      <c r="C1372" s="3" t="s">
        <v>476</v>
      </c>
      <c r="D1372" s="3" t="s">
        <v>200</v>
      </c>
      <c r="E1372" s="3" t="s">
        <v>187</v>
      </c>
      <c r="F1372" s="3" t="s">
        <v>189</v>
      </c>
      <c r="G1372" s="3" t="s">
        <v>201</v>
      </c>
      <c r="H1372" s="3" t="s">
        <v>189</v>
      </c>
      <c r="I1372" s="3" t="s">
        <v>190</v>
      </c>
      <c r="J1372" s="3" t="s">
        <v>191</v>
      </c>
      <c r="K1372" s="3" t="s">
        <v>33</v>
      </c>
      <c r="L1372" s="3" t="s">
        <v>51</v>
      </c>
      <c r="M1372" s="3" t="s">
        <v>219</v>
      </c>
      <c r="N1372" s="3" t="s">
        <v>220</v>
      </c>
      <c r="O1372" s="3" t="s">
        <v>477</v>
      </c>
      <c r="P1372" s="3" t="s">
        <v>478</v>
      </c>
      <c r="Q1372" s="3" t="s">
        <v>39</v>
      </c>
      <c r="R1372" s="3" t="s">
        <v>40</v>
      </c>
      <c r="S1372" s="55">
        <v>1102.9000000000001</v>
      </c>
      <c r="T1372" s="55">
        <v>827.17499999999995</v>
      </c>
      <c r="U1372" s="55">
        <v>0</v>
      </c>
      <c r="V1372" s="55">
        <v>275.72500000000002</v>
      </c>
      <c r="W1372" s="3">
        <v>75</v>
      </c>
    </row>
    <row r="1373" spans="1:23" x14ac:dyDescent="0.35">
      <c r="A1373" s="3" t="s">
        <v>584</v>
      </c>
      <c r="B1373" s="3" t="s">
        <v>585</v>
      </c>
      <c r="C1373" s="3" t="s">
        <v>223</v>
      </c>
      <c r="D1373" s="3" t="s">
        <v>200</v>
      </c>
      <c r="E1373" s="3" t="s">
        <v>187</v>
      </c>
      <c r="F1373" s="3" t="s">
        <v>189</v>
      </c>
      <c r="G1373" s="3" t="s">
        <v>201</v>
      </c>
      <c r="H1373" s="3" t="s">
        <v>189</v>
      </c>
      <c r="I1373" s="3" t="s">
        <v>190</v>
      </c>
      <c r="J1373" s="3" t="s">
        <v>191</v>
      </c>
      <c r="K1373" s="3" t="s">
        <v>33</v>
      </c>
      <c r="L1373" s="3" t="s">
        <v>51</v>
      </c>
      <c r="M1373" s="3" t="s">
        <v>224</v>
      </c>
      <c r="N1373" s="3" t="s">
        <v>564</v>
      </c>
      <c r="O1373" s="3" t="s">
        <v>197</v>
      </c>
      <c r="P1373" s="3" t="s">
        <v>198</v>
      </c>
      <c r="Q1373" s="3" t="s">
        <v>39</v>
      </c>
      <c r="R1373" s="3" t="s">
        <v>40</v>
      </c>
      <c r="S1373" s="55">
        <v>107676.4</v>
      </c>
      <c r="T1373" s="55">
        <v>79425.185100000002</v>
      </c>
      <c r="U1373" s="55">
        <v>23729.6518</v>
      </c>
      <c r="V1373" s="55">
        <v>28251.214899999999</v>
      </c>
      <c r="W1373" s="3">
        <v>74</v>
      </c>
    </row>
    <row r="1374" spans="1:23" x14ac:dyDescent="0.35">
      <c r="A1374" s="3" t="s">
        <v>584</v>
      </c>
      <c r="B1374" s="3" t="s">
        <v>585</v>
      </c>
      <c r="C1374" s="3" t="s">
        <v>432</v>
      </c>
      <c r="D1374" s="3" t="s">
        <v>200</v>
      </c>
      <c r="E1374" s="3" t="s">
        <v>187</v>
      </c>
      <c r="F1374" s="3" t="s">
        <v>189</v>
      </c>
      <c r="G1374" s="3" t="s">
        <v>201</v>
      </c>
      <c r="H1374" s="3" t="s">
        <v>189</v>
      </c>
      <c r="I1374" s="3" t="s">
        <v>190</v>
      </c>
      <c r="J1374" s="3" t="s">
        <v>191</v>
      </c>
      <c r="K1374" s="3" t="s">
        <v>33</v>
      </c>
      <c r="L1374" s="3" t="s">
        <v>51</v>
      </c>
      <c r="M1374" s="3" t="s">
        <v>427</v>
      </c>
      <c r="N1374" s="3" t="s">
        <v>565</v>
      </c>
      <c r="O1374" s="3" t="s">
        <v>197</v>
      </c>
      <c r="P1374" s="3" t="s">
        <v>198</v>
      </c>
      <c r="Q1374" s="3" t="s">
        <v>39</v>
      </c>
      <c r="R1374" s="3" t="s">
        <v>40</v>
      </c>
      <c r="S1374" s="55">
        <v>20000</v>
      </c>
      <c r="T1374" s="55">
        <v>19921.684000000001</v>
      </c>
      <c r="U1374" s="55">
        <v>0</v>
      </c>
      <c r="V1374" s="55">
        <v>78.316000000000003</v>
      </c>
      <c r="W1374" s="3">
        <v>100</v>
      </c>
    </row>
    <row r="1375" spans="1:23" x14ac:dyDescent="0.35">
      <c r="A1375" s="3" t="s">
        <v>584</v>
      </c>
      <c r="B1375" s="3" t="s">
        <v>585</v>
      </c>
      <c r="C1375" s="3" t="s">
        <v>515</v>
      </c>
      <c r="D1375" s="3" t="s">
        <v>200</v>
      </c>
      <c r="E1375" s="3" t="s">
        <v>187</v>
      </c>
      <c r="F1375" s="3" t="s">
        <v>189</v>
      </c>
      <c r="G1375" s="3" t="s">
        <v>201</v>
      </c>
      <c r="H1375" s="3" t="s">
        <v>189</v>
      </c>
      <c r="I1375" s="3" t="s">
        <v>190</v>
      </c>
      <c r="J1375" s="3" t="s">
        <v>191</v>
      </c>
      <c r="K1375" s="3" t="s">
        <v>33</v>
      </c>
      <c r="L1375" s="3" t="s">
        <v>51</v>
      </c>
      <c r="M1375" s="3" t="s">
        <v>516</v>
      </c>
      <c r="N1375" s="3" t="s">
        <v>517</v>
      </c>
      <c r="O1375" s="3" t="s">
        <v>197</v>
      </c>
      <c r="P1375" s="3" t="s">
        <v>198</v>
      </c>
      <c r="Q1375" s="3" t="s">
        <v>39</v>
      </c>
      <c r="R1375" s="3" t="s">
        <v>40</v>
      </c>
      <c r="S1375" s="55">
        <v>8490.7000000000007</v>
      </c>
      <c r="T1375" s="55">
        <v>0</v>
      </c>
      <c r="U1375" s="55">
        <v>0</v>
      </c>
      <c r="V1375" s="55">
        <v>8490.7000000000007</v>
      </c>
      <c r="W1375" s="3">
        <v>0</v>
      </c>
    </row>
    <row r="1376" spans="1:23" x14ac:dyDescent="0.35">
      <c r="A1376" s="3" t="s">
        <v>584</v>
      </c>
      <c r="B1376" s="3" t="s">
        <v>585</v>
      </c>
      <c r="C1376" s="3" t="s">
        <v>226</v>
      </c>
      <c r="D1376" s="3" t="s">
        <v>200</v>
      </c>
      <c r="E1376" s="3" t="s">
        <v>187</v>
      </c>
      <c r="F1376" s="3" t="s">
        <v>189</v>
      </c>
      <c r="G1376" s="3" t="s">
        <v>201</v>
      </c>
      <c r="H1376" s="3" t="s">
        <v>189</v>
      </c>
      <c r="I1376" s="3" t="s">
        <v>190</v>
      </c>
      <c r="J1376" s="3" t="s">
        <v>191</v>
      </c>
      <c r="K1376" s="3" t="s">
        <v>33</v>
      </c>
      <c r="L1376" s="3" t="s">
        <v>51</v>
      </c>
      <c r="M1376" s="3" t="s">
        <v>227</v>
      </c>
      <c r="N1376" s="3" t="s">
        <v>228</v>
      </c>
      <c r="O1376" s="3" t="s">
        <v>197</v>
      </c>
      <c r="P1376" s="3" t="s">
        <v>198</v>
      </c>
      <c r="Q1376" s="3" t="s">
        <v>39</v>
      </c>
      <c r="R1376" s="3" t="s">
        <v>40</v>
      </c>
      <c r="S1376" s="55">
        <v>127820.2</v>
      </c>
      <c r="T1376" s="55">
        <v>15342.911400000001</v>
      </c>
      <c r="U1376" s="55">
        <v>4927.8666999999996</v>
      </c>
      <c r="V1376" s="55">
        <v>112477.2886</v>
      </c>
      <c r="W1376" s="3">
        <v>12</v>
      </c>
    </row>
    <row r="1377" spans="1:23" x14ac:dyDescent="0.35">
      <c r="A1377" s="3" t="s">
        <v>584</v>
      </c>
      <c r="B1377" s="3" t="s">
        <v>585</v>
      </c>
      <c r="C1377" s="3" t="s">
        <v>229</v>
      </c>
      <c r="D1377" s="3" t="s">
        <v>200</v>
      </c>
      <c r="E1377" s="3" t="s">
        <v>187</v>
      </c>
      <c r="F1377" s="3" t="s">
        <v>189</v>
      </c>
      <c r="G1377" s="3" t="s">
        <v>201</v>
      </c>
      <c r="H1377" s="3" t="s">
        <v>189</v>
      </c>
      <c r="I1377" s="3" t="s">
        <v>190</v>
      </c>
      <c r="J1377" s="3" t="s">
        <v>191</v>
      </c>
      <c r="K1377" s="3" t="s">
        <v>33</v>
      </c>
      <c r="L1377" s="3" t="s">
        <v>51</v>
      </c>
      <c r="M1377" s="3" t="s">
        <v>195</v>
      </c>
      <c r="N1377" s="3" t="s">
        <v>509</v>
      </c>
      <c r="O1377" s="3" t="s">
        <v>197</v>
      </c>
      <c r="P1377" s="3" t="s">
        <v>198</v>
      </c>
      <c r="Q1377" s="3" t="s">
        <v>39</v>
      </c>
      <c r="R1377" s="3" t="s">
        <v>40</v>
      </c>
      <c r="S1377" s="55">
        <v>25956.9</v>
      </c>
      <c r="T1377" s="55">
        <v>19027.123</v>
      </c>
      <c r="U1377" s="55">
        <v>1024.0748000000001</v>
      </c>
      <c r="V1377" s="55">
        <v>6929.777</v>
      </c>
      <c r="W1377" s="3">
        <v>73</v>
      </c>
    </row>
    <row r="1378" spans="1:23" x14ac:dyDescent="0.35">
      <c r="A1378" s="3" t="s">
        <v>584</v>
      </c>
      <c r="B1378" s="3" t="s">
        <v>585</v>
      </c>
      <c r="C1378" s="3" t="s">
        <v>433</v>
      </c>
      <c r="D1378" s="3" t="s">
        <v>200</v>
      </c>
      <c r="E1378" s="3" t="s">
        <v>187</v>
      </c>
      <c r="F1378" s="3" t="s">
        <v>189</v>
      </c>
      <c r="G1378" s="3" t="s">
        <v>201</v>
      </c>
      <c r="H1378" s="3" t="s">
        <v>189</v>
      </c>
      <c r="I1378" s="3" t="s">
        <v>190</v>
      </c>
      <c r="J1378" s="3" t="s">
        <v>191</v>
      </c>
      <c r="K1378" s="3" t="s">
        <v>33</v>
      </c>
      <c r="L1378" s="3" t="s">
        <v>51</v>
      </c>
      <c r="M1378" s="3" t="s">
        <v>434</v>
      </c>
      <c r="N1378" s="3" t="s">
        <v>435</v>
      </c>
      <c r="O1378" s="3" t="s">
        <v>197</v>
      </c>
      <c r="P1378" s="3" t="s">
        <v>198</v>
      </c>
      <c r="Q1378" s="3" t="s">
        <v>39</v>
      </c>
      <c r="R1378" s="3" t="s">
        <v>40</v>
      </c>
      <c r="S1378" s="55">
        <v>2923.6</v>
      </c>
      <c r="T1378" s="55">
        <v>1958.5275999999999</v>
      </c>
      <c r="U1378" s="55">
        <v>1675.5275999999999</v>
      </c>
      <c r="V1378" s="55">
        <v>965.07240000000002</v>
      </c>
      <c r="W1378" s="3">
        <v>67</v>
      </c>
    </row>
    <row r="1379" spans="1:23" x14ac:dyDescent="0.35">
      <c r="A1379" s="3" t="s">
        <v>584</v>
      </c>
      <c r="B1379" s="3" t="s">
        <v>585</v>
      </c>
      <c r="C1379" s="3" t="s">
        <v>518</v>
      </c>
      <c r="D1379" s="3" t="s">
        <v>200</v>
      </c>
      <c r="E1379" s="3" t="s">
        <v>187</v>
      </c>
      <c r="F1379" s="3" t="s">
        <v>189</v>
      </c>
      <c r="G1379" s="3" t="s">
        <v>201</v>
      </c>
      <c r="H1379" s="3" t="s">
        <v>189</v>
      </c>
      <c r="I1379" s="3" t="s">
        <v>190</v>
      </c>
      <c r="J1379" s="3" t="s">
        <v>191</v>
      </c>
      <c r="K1379" s="3" t="s">
        <v>33</v>
      </c>
      <c r="L1379" s="3" t="s">
        <v>51</v>
      </c>
      <c r="M1379" s="3" t="s">
        <v>519</v>
      </c>
      <c r="N1379" s="3" t="s">
        <v>208</v>
      </c>
      <c r="O1379" s="3" t="s">
        <v>197</v>
      </c>
      <c r="P1379" s="3" t="s">
        <v>198</v>
      </c>
      <c r="Q1379" s="3" t="s">
        <v>39</v>
      </c>
      <c r="R1379" s="3" t="s">
        <v>40</v>
      </c>
      <c r="S1379" s="55">
        <v>104515.5</v>
      </c>
      <c r="T1379" s="55">
        <v>82036.77</v>
      </c>
      <c r="U1379" s="55">
        <v>9000</v>
      </c>
      <c r="V1379" s="55">
        <v>22478.73</v>
      </c>
      <c r="W1379" s="3">
        <v>78</v>
      </c>
    </row>
    <row r="1380" spans="1:23" x14ac:dyDescent="0.35">
      <c r="A1380" s="3" t="s">
        <v>584</v>
      </c>
      <c r="B1380" s="3" t="s">
        <v>585</v>
      </c>
      <c r="C1380" s="3" t="s">
        <v>230</v>
      </c>
      <c r="D1380" s="3" t="s">
        <v>200</v>
      </c>
      <c r="E1380" s="3" t="s">
        <v>187</v>
      </c>
      <c r="F1380" s="3" t="s">
        <v>189</v>
      </c>
      <c r="G1380" s="3" t="s">
        <v>201</v>
      </c>
      <c r="H1380" s="3" t="s">
        <v>28</v>
      </c>
      <c r="I1380" s="3" t="s">
        <v>231</v>
      </c>
      <c r="J1380" s="3" t="s">
        <v>232</v>
      </c>
      <c r="K1380" s="3" t="s">
        <v>33</v>
      </c>
      <c r="L1380" s="3" t="s">
        <v>51</v>
      </c>
      <c r="M1380" s="3" t="s">
        <v>233</v>
      </c>
      <c r="N1380" s="3" t="s">
        <v>234</v>
      </c>
      <c r="O1380" s="3" t="s">
        <v>197</v>
      </c>
      <c r="P1380" s="3" t="s">
        <v>198</v>
      </c>
      <c r="Q1380" s="3" t="s">
        <v>39</v>
      </c>
      <c r="R1380" s="3" t="s">
        <v>40</v>
      </c>
      <c r="S1380" s="55">
        <v>261384</v>
      </c>
      <c r="T1380" s="55">
        <v>168828.55369999999</v>
      </c>
      <c r="U1380" s="55">
        <v>0</v>
      </c>
      <c r="V1380" s="55">
        <v>92555.446299999996</v>
      </c>
      <c r="W1380" s="3">
        <v>65</v>
      </c>
    </row>
    <row r="1381" spans="1:23" x14ac:dyDescent="0.35">
      <c r="A1381" s="3" t="s">
        <v>584</v>
      </c>
      <c r="B1381" s="3" t="s">
        <v>585</v>
      </c>
      <c r="C1381" s="3" t="s">
        <v>235</v>
      </c>
      <c r="D1381" s="3" t="s">
        <v>200</v>
      </c>
      <c r="E1381" s="3" t="s">
        <v>187</v>
      </c>
      <c r="F1381" s="3" t="s">
        <v>189</v>
      </c>
      <c r="G1381" s="3" t="s">
        <v>201</v>
      </c>
      <c r="H1381" s="3" t="s">
        <v>28</v>
      </c>
      <c r="I1381" s="3" t="s">
        <v>231</v>
      </c>
      <c r="J1381" s="3" t="s">
        <v>232</v>
      </c>
      <c r="K1381" s="3" t="s">
        <v>33</v>
      </c>
      <c r="L1381" s="3" t="s">
        <v>51</v>
      </c>
      <c r="M1381" s="3" t="s">
        <v>236</v>
      </c>
      <c r="N1381" s="3" t="s">
        <v>237</v>
      </c>
      <c r="O1381" s="3" t="s">
        <v>197</v>
      </c>
      <c r="P1381" s="3" t="s">
        <v>198</v>
      </c>
      <c r="Q1381" s="3" t="s">
        <v>39</v>
      </c>
      <c r="R1381" s="3" t="s">
        <v>40</v>
      </c>
      <c r="S1381" s="55">
        <v>179288</v>
      </c>
      <c r="T1381" s="55">
        <v>121734.8749</v>
      </c>
      <c r="U1381" s="55">
        <v>7692.3078999999998</v>
      </c>
      <c r="V1381" s="55">
        <v>57553.125099999997</v>
      </c>
      <c r="W1381" s="3">
        <v>68</v>
      </c>
    </row>
    <row r="1382" spans="1:23" x14ac:dyDescent="0.35">
      <c r="A1382" s="3" t="s">
        <v>584</v>
      </c>
      <c r="B1382" s="3" t="s">
        <v>585</v>
      </c>
      <c r="C1382" s="3" t="s">
        <v>238</v>
      </c>
      <c r="D1382" s="3" t="s">
        <v>239</v>
      </c>
      <c r="E1382" s="3" t="s">
        <v>187</v>
      </c>
      <c r="F1382" s="3" t="s">
        <v>28</v>
      </c>
      <c r="G1382" s="3" t="s">
        <v>240</v>
      </c>
      <c r="H1382" s="3" t="s">
        <v>189</v>
      </c>
      <c r="I1382" s="3" t="s">
        <v>190</v>
      </c>
      <c r="J1382" s="3" t="s">
        <v>191</v>
      </c>
      <c r="K1382" s="3" t="s">
        <v>33</v>
      </c>
      <c r="L1382" s="3" t="s">
        <v>51</v>
      </c>
      <c r="M1382" s="3" t="s">
        <v>241</v>
      </c>
      <c r="N1382" s="3" t="s">
        <v>242</v>
      </c>
      <c r="O1382" s="3" t="s">
        <v>108</v>
      </c>
      <c r="P1382" s="3" t="s">
        <v>109</v>
      </c>
      <c r="Q1382" s="3" t="s">
        <v>39</v>
      </c>
      <c r="R1382" s="3" t="s">
        <v>40</v>
      </c>
      <c r="S1382" s="55">
        <v>253526.6</v>
      </c>
      <c r="T1382" s="55">
        <v>194048.83489999999</v>
      </c>
      <c r="U1382" s="55">
        <v>27115.491300000002</v>
      </c>
      <c r="V1382" s="55">
        <v>59477.765099999997</v>
      </c>
      <c r="W1382" s="3">
        <v>77</v>
      </c>
    </row>
    <row r="1383" spans="1:23" x14ac:dyDescent="0.35">
      <c r="A1383" s="3" t="s">
        <v>584</v>
      </c>
      <c r="B1383" s="3" t="s">
        <v>585</v>
      </c>
      <c r="C1383" s="3" t="s">
        <v>520</v>
      </c>
      <c r="D1383" s="3" t="s">
        <v>239</v>
      </c>
      <c r="E1383" s="3" t="s">
        <v>187</v>
      </c>
      <c r="F1383" s="3" t="s">
        <v>28</v>
      </c>
      <c r="G1383" s="3" t="s">
        <v>240</v>
      </c>
      <c r="H1383" s="3" t="s">
        <v>189</v>
      </c>
      <c r="I1383" s="3" t="s">
        <v>190</v>
      </c>
      <c r="J1383" s="3" t="s">
        <v>191</v>
      </c>
      <c r="K1383" s="3" t="s">
        <v>33</v>
      </c>
      <c r="L1383" s="3" t="s">
        <v>51</v>
      </c>
      <c r="M1383" s="3" t="s">
        <v>521</v>
      </c>
      <c r="N1383" s="3" t="s">
        <v>522</v>
      </c>
      <c r="O1383" s="3" t="s">
        <v>523</v>
      </c>
      <c r="P1383" s="3" t="s">
        <v>524</v>
      </c>
      <c r="Q1383" s="3" t="s">
        <v>39</v>
      </c>
      <c r="R1383" s="3" t="s">
        <v>40</v>
      </c>
      <c r="S1383" s="55">
        <v>100</v>
      </c>
      <c r="T1383" s="55">
        <v>0</v>
      </c>
      <c r="U1383" s="55">
        <v>0</v>
      </c>
      <c r="V1383" s="55">
        <v>100</v>
      </c>
      <c r="W1383" s="3">
        <v>0</v>
      </c>
    </row>
    <row r="1384" spans="1:23" x14ac:dyDescent="0.35">
      <c r="A1384" s="3" t="s">
        <v>584</v>
      </c>
      <c r="B1384" s="3" t="s">
        <v>585</v>
      </c>
      <c r="C1384" s="3" t="s">
        <v>525</v>
      </c>
      <c r="D1384" s="3" t="s">
        <v>526</v>
      </c>
      <c r="E1384" s="3" t="s">
        <v>187</v>
      </c>
      <c r="F1384" s="3" t="s">
        <v>176</v>
      </c>
      <c r="G1384" s="3" t="s">
        <v>527</v>
      </c>
      <c r="H1384" s="3" t="s">
        <v>189</v>
      </c>
      <c r="I1384" s="3" t="s">
        <v>190</v>
      </c>
      <c r="J1384" s="3" t="s">
        <v>191</v>
      </c>
      <c r="K1384" s="3" t="s">
        <v>33</v>
      </c>
      <c r="L1384" s="3" t="s">
        <v>51</v>
      </c>
      <c r="M1384" s="3" t="s">
        <v>528</v>
      </c>
      <c r="N1384" s="3" t="s">
        <v>529</v>
      </c>
      <c r="O1384" s="3" t="s">
        <v>197</v>
      </c>
      <c r="P1384" s="3" t="s">
        <v>198</v>
      </c>
      <c r="Q1384" s="3" t="s">
        <v>39</v>
      </c>
      <c r="R1384" s="3" t="s">
        <v>40</v>
      </c>
      <c r="S1384" s="55">
        <v>1003.3</v>
      </c>
      <c r="T1384" s="55">
        <v>602.53210000000001</v>
      </c>
      <c r="U1384" s="55">
        <v>10.131600000000001</v>
      </c>
      <c r="V1384" s="55">
        <v>400.7679</v>
      </c>
      <c r="W1384" s="3">
        <v>60</v>
      </c>
    </row>
    <row r="1385" spans="1:23" x14ac:dyDescent="0.35">
      <c r="A1385" s="3" t="s">
        <v>584</v>
      </c>
      <c r="B1385" s="3" t="s">
        <v>585</v>
      </c>
      <c r="C1385" s="3" t="s">
        <v>243</v>
      </c>
      <c r="D1385" s="3" t="s">
        <v>244</v>
      </c>
      <c r="E1385" s="3" t="s">
        <v>187</v>
      </c>
      <c r="F1385" s="3" t="s">
        <v>245</v>
      </c>
      <c r="G1385" s="3" t="s">
        <v>246</v>
      </c>
      <c r="H1385" s="3" t="s">
        <v>66</v>
      </c>
      <c r="I1385" s="3" t="s">
        <v>67</v>
      </c>
      <c r="J1385" s="3" t="s">
        <v>68</v>
      </c>
      <c r="K1385" s="3" t="s">
        <v>33</v>
      </c>
      <c r="L1385" s="3" t="s">
        <v>51</v>
      </c>
      <c r="M1385" s="3" t="s">
        <v>247</v>
      </c>
      <c r="N1385" s="3" t="s">
        <v>248</v>
      </c>
      <c r="O1385" s="3" t="s">
        <v>108</v>
      </c>
      <c r="P1385" s="3" t="s">
        <v>109</v>
      </c>
      <c r="Q1385" s="3" t="s">
        <v>39</v>
      </c>
      <c r="R1385" s="3" t="s">
        <v>40</v>
      </c>
      <c r="S1385" s="55">
        <v>224582.9</v>
      </c>
      <c r="T1385" s="55">
        <v>132438.03109999999</v>
      </c>
      <c r="U1385" s="55">
        <v>13254.459000000001</v>
      </c>
      <c r="V1385" s="55">
        <v>92144.868900000001</v>
      </c>
      <c r="W1385" s="3">
        <v>59</v>
      </c>
    </row>
    <row r="1386" spans="1:23" x14ac:dyDescent="0.35">
      <c r="A1386" s="3" t="s">
        <v>584</v>
      </c>
      <c r="B1386" s="3" t="s">
        <v>585</v>
      </c>
      <c r="C1386" s="3" t="s">
        <v>249</v>
      </c>
      <c r="D1386" s="3" t="s">
        <v>244</v>
      </c>
      <c r="E1386" s="3" t="s">
        <v>187</v>
      </c>
      <c r="F1386" s="3" t="s">
        <v>245</v>
      </c>
      <c r="G1386" s="3" t="s">
        <v>246</v>
      </c>
      <c r="H1386" s="3" t="s">
        <v>66</v>
      </c>
      <c r="I1386" s="3" t="s">
        <v>67</v>
      </c>
      <c r="J1386" s="3" t="s">
        <v>68</v>
      </c>
      <c r="K1386" s="3" t="s">
        <v>33</v>
      </c>
      <c r="L1386" s="3" t="s">
        <v>51</v>
      </c>
      <c r="M1386" s="3" t="s">
        <v>250</v>
      </c>
      <c r="N1386" s="3" t="s">
        <v>251</v>
      </c>
      <c r="O1386" s="3" t="s">
        <v>197</v>
      </c>
      <c r="P1386" s="3" t="s">
        <v>198</v>
      </c>
      <c r="Q1386" s="3" t="s">
        <v>39</v>
      </c>
      <c r="R1386" s="3" t="s">
        <v>40</v>
      </c>
      <c r="S1386" s="55">
        <v>11946.1</v>
      </c>
      <c r="T1386" s="55">
        <v>0</v>
      </c>
      <c r="U1386" s="55">
        <v>0</v>
      </c>
      <c r="V1386" s="55">
        <v>11946.1</v>
      </c>
      <c r="W1386" s="3">
        <v>0</v>
      </c>
    </row>
    <row r="1387" spans="1:23" x14ac:dyDescent="0.35">
      <c r="A1387" s="3" t="s">
        <v>584</v>
      </c>
      <c r="B1387" s="3" t="s">
        <v>585</v>
      </c>
      <c r="C1387" s="3" t="s">
        <v>252</v>
      </c>
      <c r="D1387" s="3" t="s">
        <v>244</v>
      </c>
      <c r="E1387" s="3" t="s">
        <v>187</v>
      </c>
      <c r="F1387" s="3" t="s">
        <v>245</v>
      </c>
      <c r="G1387" s="3" t="s">
        <v>246</v>
      </c>
      <c r="H1387" s="3" t="s">
        <v>66</v>
      </c>
      <c r="I1387" s="3" t="s">
        <v>67</v>
      </c>
      <c r="J1387" s="3" t="s">
        <v>68</v>
      </c>
      <c r="K1387" s="3" t="s">
        <v>33</v>
      </c>
      <c r="L1387" s="3" t="s">
        <v>51</v>
      </c>
      <c r="M1387" s="3" t="s">
        <v>253</v>
      </c>
      <c r="N1387" s="3" t="s">
        <v>254</v>
      </c>
      <c r="O1387" s="3" t="s">
        <v>197</v>
      </c>
      <c r="P1387" s="3" t="s">
        <v>198</v>
      </c>
      <c r="Q1387" s="3" t="s">
        <v>39</v>
      </c>
      <c r="R1387" s="3" t="s">
        <v>40</v>
      </c>
      <c r="S1387" s="55">
        <v>1648.3</v>
      </c>
      <c r="T1387" s="55">
        <v>0</v>
      </c>
      <c r="U1387" s="55">
        <v>0</v>
      </c>
      <c r="V1387" s="55">
        <v>1648.3</v>
      </c>
      <c r="W1387" s="3">
        <v>0</v>
      </c>
    </row>
    <row r="1388" spans="1:23" x14ac:dyDescent="0.35">
      <c r="A1388" s="3" t="s">
        <v>584</v>
      </c>
      <c r="B1388" s="3" t="s">
        <v>585</v>
      </c>
      <c r="C1388" s="3" t="s">
        <v>255</v>
      </c>
      <c r="D1388" s="3" t="s">
        <v>244</v>
      </c>
      <c r="E1388" s="3" t="s">
        <v>187</v>
      </c>
      <c r="F1388" s="3" t="s">
        <v>245</v>
      </c>
      <c r="G1388" s="3" t="s">
        <v>246</v>
      </c>
      <c r="H1388" s="3" t="s">
        <v>66</v>
      </c>
      <c r="I1388" s="3" t="s">
        <v>67</v>
      </c>
      <c r="J1388" s="3" t="s">
        <v>68</v>
      </c>
      <c r="K1388" s="3" t="s">
        <v>33</v>
      </c>
      <c r="L1388" s="3" t="s">
        <v>51</v>
      </c>
      <c r="M1388" s="3" t="s">
        <v>256</v>
      </c>
      <c r="N1388" s="3" t="s">
        <v>257</v>
      </c>
      <c r="O1388" s="3" t="s">
        <v>197</v>
      </c>
      <c r="P1388" s="3" t="s">
        <v>198</v>
      </c>
      <c r="Q1388" s="3" t="s">
        <v>39</v>
      </c>
      <c r="R1388" s="3" t="s">
        <v>40</v>
      </c>
      <c r="S1388" s="55">
        <v>10032.799999999999</v>
      </c>
      <c r="T1388" s="55">
        <v>5064.0586999999996</v>
      </c>
      <c r="U1388" s="55">
        <v>2994.2411000000002</v>
      </c>
      <c r="V1388" s="55">
        <v>4968.7412999999997</v>
      </c>
      <c r="W1388" s="3">
        <v>50</v>
      </c>
    </row>
    <row r="1389" spans="1:23" x14ac:dyDescent="0.35">
      <c r="A1389" s="3" t="s">
        <v>584</v>
      </c>
      <c r="B1389" s="3" t="s">
        <v>585</v>
      </c>
      <c r="C1389" s="3" t="s">
        <v>566</v>
      </c>
      <c r="D1389" s="3" t="s">
        <v>259</v>
      </c>
      <c r="E1389" s="3" t="s">
        <v>187</v>
      </c>
      <c r="F1389" s="3" t="s">
        <v>116</v>
      </c>
      <c r="G1389" s="3" t="s">
        <v>260</v>
      </c>
      <c r="H1389" s="3" t="s">
        <v>189</v>
      </c>
      <c r="I1389" s="3" t="s">
        <v>190</v>
      </c>
      <c r="J1389" s="3" t="s">
        <v>202</v>
      </c>
      <c r="K1389" s="3" t="s">
        <v>23</v>
      </c>
      <c r="L1389" s="3" t="s">
        <v>203</v>
      </c>
      <c r="M1389" s="3" t="s">
        <v>567</v>
      </c>
      <c r="N1389" s="3" t="s">
        <v>568</v>
      </c>
      <c r="O1389" s="3" t="s">
        <v>197</v>
      </c>
      <c r="P1389" s="3" t="s">
        <v>198</v>
      </c>
      <c r="Q1389" s="3" t="s">
        <v>39</v>
      </c>
      <c r="R1389" s="3" t="s">
        <v>40</v>
      </c>
      <c r="S1389" s="55">
        <v>13914.4</v>
      </c>
      <c r="T1389" s="55">
        <v>13914.3143</v>
      </c>
      <c r="U1389" s="55">
        <v>0</v>
      </c>
      <c r="V1389" s="55">
        <v>8.5699999999999998E-2</v>
      </c>
      <c r="W1389" s="3">
        <v>100</v>
      </c>
    </row>
    <row r="1390" spans="1:23" x14ac:dyDescent="0.35">
      <c r="A1390" s="3" t="s">
        <v>584</v>
      </c>
      <c r="B1390" s="3" t="s">
        <v>585</v>
      </c>
      <c r="C1390" s="3" t="s">
        <v>569</v>
      </c>
      <c r="D1390" s="3" t="s">
        <v>259</v>
      </c>
      <c r="E1390" s="3" t="s">
        <v>187</v>
      </c>
      <c r="F1390" s="3" t="s">
        <v>116</v>
      </c>
      <c r="G1390" s="3" t="s">
        <v>260</v>
      </c>
      <c r="H1390" s="3" t="s">
        <v>189</v>
      </c>
      <c r="I1390" s="3" t="s">
        <v>190</v>
      </c>
      <c r="J1390" s="3" t="s">
        <v>202</v>
      </c>
      <c r="K1390" s="3" t="s">
        <v>23</v>
      </c>
      <c r="L1390" s="3" t="s">
        <v>203</v>
      </c>
      <c r="M1390" s="3" t="s">
        <v>570</v>
      </c>
      <c r="N1390" s="3" t="s">
        <v>568</v>
      </c>
      <c r="O1390" s="3" t="s">
        <v>197</v>
      </c>
      <c r="P1390" s="3" t="s">
        <v>198</v>
      </c>
      <c r="Q1390" s="3" t="s">
        <v>39</v>
      </c>
      <c r="R1390" s="3" t="s">
        <v>40</v>
      </c>
      <c r="S1390" s="55">
        <v>19077.8</v>
      </c>
      <c r="T1390" s="55">
        <v>16687.0828</v>
      </c>
      <c r="U1390" s="55">
        <v>2137.9816000000001</v>
      </c>
      <c r="V1390" s="55">
        <v>2390.7172</v>
      </c>
      <c r="W1390" s="3">
        <v>87</v>
      </c>
    </row>
    <row r="1391" spans="1:23" x14ac:dyDescent="0.35">
      <c r="A1391" s="3" t="s">
        <v>584</v>
      </c>
      <c r="B1391" s="3" t="s">
        <v>585</v>
      </c>
      <c r="C1391" s="3" t="s">
        <v>263</v>
      </c>
      <c r="D1391" s="3" t="s">
        <v>259</v>
      </c>
      <c r="E1391" s="3" t="s">
        <v>187</v>
      </c>
      <c r="F1391" s="3" t="s">
        <v>116</v>
      </c>
      <c r="G1391" s="3" t="s">
        <v>260</v>
      </c>
      <c r="H1391" s="3" t="s">
        <v>189</v>
      </c>
      <c r="I1391" s="3" t="s">
        <v>190</v>
      </c>
      <c r="J1391" s="3" t="s">
        <v>191</v>
      </c>
      <c r="K1391" s="3" t="s">
        <v>33</v>
      </c>
      <c r="L1391" s="3" t="s">
        <v>51</v>
      </c>
      <c r="M1391" s="3" t="s">
        <v>264</v>
      </c>
      <c r="N1391" s="3" t="s">
        <v>265</v>
      </c>
      <c r="O1391" s="3" t="s">
        <v>197</v>
      </c>
      <c r="P1391" s="3" t="s">
        <v>198</v>
      </c>
      <c r="Q1391" s="3" t="s">
        <v>39</v>
      </c>
      <c r="R1391" s="3" t="s">
        <v>40</v>
      </c>
      <c r="S1391" s="55">
        <v>1642.6</v>
      </c>
      <c r="T1391" s="55">
        <v>1642.6</v>
      </c>
      <c r="U1391" s="55">
        <v>1642.6</v>
      </c>
      <c r="V1391" s="55">
        <v>0</v>
      </c>
      <c r="W1391" s="3">
        <v>100</v>
      </c>
    </row>
    <row r="1392" spans="1:23" x14ac:dyDescent="0.35">
      <c r="A1392" s="3" t="s">
        <v>584</v>
      </c>
      <c r="B1392" s="3" t="s">
        <v>585</v>
      </c>
      <c r="C1392" s="3" t="s">
        <v>266</v>
      </c>
      <c r="D1392" s="3" t="s">
        <v>259</v>
      </c>
      <c r="E1392" s="3" t="s">
        <v>187</v>
      </c>
      <c r="F1392" s="3" t="s">
        <v>116</v>
      </c>
      <c r="G1392" s="3" t="s">
        <v>260</v>
      </c>
      <c r="H1392" s="3" t="s">
        <v>189</v>
      </c>
      <c r="I1392" s="3" t="s">
        <v>190</v>
      </c>
      <c r="J1392" s="3" t="s">
        <v>191</v>
      </c>
      <c r="K1392" s="3" t="s">
        <v>33</v>
      </c>
      <c r="L1392" s="3" t="s">
        <v>51</v>
      </c>
      <c r="M1392" s="3" t="s">
        <v>267</v>
      </c>
      <c r="N1392" s="3" t="s">
        <v>268</v>
      </c>
      <c r="O1392" s="3" t="s">
        <v>37</v>
      </c>
      <c r="P1392" s="3" t="s">
        <v>38</v>
      </c>
      <c r="Q1392" s="3" t="s">
        <v>39</v>
      </c>
      <c r="R1392" s="3" t="s">
        <v>40</v>
      </c>
      <c r="S1392" s="55">
        <v>92351.4</v>
      </c>
      <c r="T1392" s="55">
        <v>84443.039000000004</v>
      </c>
      <c r="U1392" s="55">
        <v>16541.724999999999</v>
      </c>
      <c r="V1392" s="55">
        <v>7908.3609999999999</v>
      </c>
      <c r="W1392" s="3">
        <v>91</v>
      </c>
    </row>
    <row r="1393" spans="1:23" x14ac:dyDescent="0.35">
      <c r="A1393" s="3" t="s">
        <v>584</v>
      </c>
      <c r="B1393" s="3" t="s">
        <v>585</v>
      </c>
      <c r="C1393" s="3" t="s">
        <v>269</v>
      </c>
      <c r="D1393" s="3" t="s">
        <v>259</v>
      </c>
      <c r="E1393" s="3" t="s">
        <v>187</v>
      </c>
      <c r="F1393" s="3" t="s">
        <v>116</v>
      </c>
      <c r="G1393" s="3" t="s">
        <v>260</v>
      </c>
      <c r="H1393" s="3" t="s">
        <v>189</v>
      </c>
      <c r="I1393" s="3" t="s">
        <v>190</v>
      </c>
      <c r="J1393" s="3" t="s">
        <v>191</v>
      </c>
      <c r="K1393" s="3" t="s">
        <v>33</v>
      </c>
      <c r="L1393" s="3" t="s">
        <v>51</v>
      </c>
      <c r="M1393" s="3" t="s">
        <v>267</v>
      </c>
      <c r="N1393" s="3" t="s">
        <v>268</v>
      </c>
      <c r="O1393" s="3" t="s">
        <v>197</v>
      </c>
      <c r="P1393" s="3" t="s">
        <v>198</v>
      </c>
      <c r="Q1393" s="3" t="s">
        <v>39</v>
      </c>
      <c r="R1393" s="3" t="s">
        <v>40</v>
      </c>
      <c r="S1393" s="55">
        <v>14681.8</v>
      </c>
      <c r="T1393" s="55">
        <v>13656.830099999999</v>
      </c>
      <c r="U1393" s="55">
        <v>3</v>
      </c>
      <c r="V1393" s="55">
        <v>1024.9699000000001</v>
      </c>
      <c r="W1393" s="3">
        <v>93</v>
      </c>
    </row>
    <row r="1394" spans="1:23" x14ac:dyDescent="0.35">
      <c r="A1394" s="3" t="s">
        <v>584</v>
      </c>
      <c r="B1394" s="3" t="s">
        <v>585</v>
      </c>
      <c r="C1394" s="3" t="s">
        <v>270</v>
      </c>
      <c r="D1394" s="3" t="s">
        <v>259</v>
      </c>
      <c r="E1394" s="3" t="s">
        <v>187</v>
      </c>
      <c r="F1394" s="3" t="s">
        <v>116</v>
      </c>
      <c r="G1394" s="3" t="s">
        <v>260</v>
      </c>
      <c r="H1394" s="3" t="s">
        <v>189</v>
      </c>
      <c r="I1394" s="3" t="s">
        <v>190</v>
      </c>
      <c r="J1394" s="3" t="s">
        <v>191</v>
      </c>
      <c r="K1394" s="3" t="s">
        <v>33</v>
      </c>
      <c r="L1394" s="3" t="s">
        <v>51</v>
      </c>
      <c r="M1394" s="3" t="s">
        <v>271</v>
      </c>
      <c r="N1394" s="3" t="s">
        <v>272</v>
      </c>
      <c r="O1394" s="3" t="s">
        <v>108</v>
      </c>
      <c r="P1394" s="3" t="s">
        <v>109</v>
      </c>
      <c r="Q1394" s="3" t="s">
        <v>39</v>
      </c>
      <c r="R1394" s="3" t="s">
        <v>40</v>
      </c>
      <c r="S1394" s="55">
        <v>43320.4</v>
      </c>
      <c r="T1394" s="55">
        <v>30886.259600000001</v>
      </c>
      <c r="U1394" s="55">
        <v>2996.5558999999998</v>
      </c>
      <c r="V1394" s="55">
        <v>12434.1404</v>
      </c>
      <c r="W1394" s="3">
        <v>71</v>
      </c>
    </row>
    <row r="1395" spans="1:23" x14ac:dyDescent="0.35">
      <c r="A1395" s="3" t="s">
        <v>584</v>
      </c>
      <c r="B1395" s="3" t="s">
        <v>585</v>
      </c>
      <c r="C1395" s="3" t="s">
        <v>273</v>
      </c>
      <c r="D1395" s="3" t="s">
        <v>259</v>
      </c>
      <c r="E1395" s="3" t="s">
        <v>187</v>
      </c>
      <c r="F1395" s="3" t="s">
        <v>116</v>
      </c>
      <c r="G1395" s="3" t="s">
        <v>260</v>
      </c>
      <c r="H1395" s="3" t="s">
        <v>189</v>
      </c>
      <c r="I1395" s="3" t="s">
        <v>190</v>
      </c>
      <c r="J1395" s="3" t="s">
        <v>191</v>
      </c>
      <c r="K1395" s="3" t="s">
        <v>33</v>
      </c>
      <c r="L1395" s="3" t="s">
        <v>51</v>
      </c>
      <c r="M1395" s="3" t="s">
        <v>274</v>
      </c>
      <c r="N1395" s="3" t="s">
        <v>275</v>
      </c>
      <c r="O1395" s="3" t="s">
        <v>108</v>
      </c>
      <c r="P1395" s="3" t="s">
        <v>109</v>
      </c>
      <c r="Q1395" s="3" t="s">
        <v>39</v>
      </c>
      <c r="R1395" s="3" t="s">
        <v>40</v>
      </c>
      <c r="S1395" s="55">
        <v>59928.7</v>
      </c>
      <c r="T1395" s="55">
        <v>43455.807099999998</v>
      </c>
      <c r="U1395" s="55">
        <v>3863.4364999999998</v>
      </c>
      <c r="V1395" s="55">
        <v>16472.892899999999</v>
      </c>
      <c r="W1395" s="3">
        <v>73</v>
      </c>
    </row>
    <row r="1396" spans="1:23" x14ac:dyDescent="0.35">
      <c r="A1396" s="3" t="s">
        <v>584</v>
      </c>
      <c r="B1396" s="3" t="s">
        <v>585</v>
      </c>
      <c r="C1396" s="3" t="s">
        <v>530</v>
      </c>
      <c r="D1396" s="3" t="s">
        <v>259</v>
      </c>
      <c r="E1396" s="3" t="s">
        <v>187</v>
      </c>
      <c r="F1396" s="3" t="s">
        <v>116</v>
      </c>
      <c r="G1396" s="3" t="s">
        <v>260</v>
      </c>
      <c r="H1396" s="3" t="s">
        <v>189</v>
      </c>
      <c r="I1396" s="3" t="s">
        <v>190</v>
      </c>
      <c r="J1396" s="3" t="s">
        <v>191</v>
      </c>
      <c r="K1396" s="3" t="s">
        <v>33</v>
      </c>
      <c r="L1396" s="3" t="s">
        <v>51</v>
      </c>
      <c r="M1396" s="3" t="s">
        <v>531</v>
      </c>
      <c r="N1396" s="3" t="s">
        <v>532</v>
      </c>
      <c r="O1396" s="3" t="s">
        <v>197</v>
      </c>
      <c r="P1396" s="3" t="s">
        <v>198</v>
      </c>
      <c r="Q1396" s="3" t="s">
        <v>39</v>
      </c>
      <c r="R1396" s="3" t="s">
        <v>40</v>
      </c>
      <c r="S1396" s="55">
        <v>7027.2</v>
      </c>
      <c r="T1396" s="55">
        <v>7027.2</v>
      </c>
      <c r="U1396" s="55">
        <v>0</v>
      </c>
      <c r="V1396" s="55">
        <v>0</v>
      </c>
      <c r="W1396" s="3">
        <v>100</v>
      </c>
    </row>
    <row r="1397" spans="1:23" x14ac:dyDescent="0.35">
      <c r="A1397" s="3" t="s">
        <v>584</v>
      </c>
      <c r="B1397" s="3" t="s">
        <v>585</v>
      </c>
      <c r="C1397" s="3" t="s">
        <v>460</v>
      </c>
      <c r="D1397" s="3" t="s">
        <v>259</v>
      </c>
      <c r="E1397" s="3" t="s">
        <v>187</v>
      </c>
      <c r="F1397" s="3" t="s">
        <v>116</v>
      </c>
      <c r="G1397" s="3" t="s">
        <v>260</v>
      </c>
      <c r="H1397" s="3" t="s">
        <v>189</v>
      </c>
      <c r="I1397" s="3" t="s">
        <v>190</v>
      </c>
      <c r="J1397" s="3" t="s">
        <v>191</v>
      </c>
      <c r="K1397" s="3" t="s">
        <v>33</v>
      </c>
      <c r="L1397" s="3" t="s">
        <v>51</v>
      </c>
      <c r="M1397" s="3" t="s">
        <v>461</v>
      </c>
      <c r="N1397" s="3" t="s">
        <v>462</v>
      </c>
      <c r="O1397" s="3" t="s">
        <v>197</v>
      </c>
      <c r="P1397" s="3" t="s">
        <v>198</v>
      </c>
      <c r="Q1397" s="3" t="s">
        <v>39</v>
      </c>
      <c r="R1397" s="3" t="s">
        <v>40</v>
      </c>
      <c r="S1397" s="55">
        <v>19787.3</v>
      </c>
      <c r="T1397" s="55">
        <v>14444.0193</v>
      </c>
      <c r="U1397" s="55">
        <v>2958.1815999999999</v>
      </c>
      <c r="V1397" s="55">
        <v>5343.2807000000003</v>
      </c>
      <c r="W1397" s="3">
        <v>73</v>
      </c>
    </row>
    <row r="1398" spans="1:23" x14ac:dyDescent="0.35">
      <c r="A1398" s="3" t="s">
        <v>584</v>
      </c>
      <c r="B1398" s="3" t="s">
        <v>585</v>
      </c>
      <c r="C1398" s="3" t="s">
        <v>276</v>
      </c>
      <c r="D1398" s="3" t="s">
        <v>259</v>
      </c>
      <c r="E1398" s="3" t="s">
        <v>187</v>
      </c>
      <c r="F1398" s="3" t="s">
        <v>116</v>
      </c>
      <c r="G1398" s="3" t="s">
        <v>260</v>
      </c>
      <c r="H1398" s="3" t="s">
        <v>189</v>
      </c>
      <c r="I1398" s="3" t="s">
        <v>190</v>
      </c>
      <c r="J1398" s="3" t="s">
        <v>191</v>
      </c>
      <c r="K1398" s="3" t="s">
        <v>33</v>
      </c>
      <c r="L1398" s="3" t="s">
        <v>51</v>
      </c>
      <c r="M1398" s="3" t="s">
        <v>277</v>
      </c>
      <c r="N1398" s="3" t="s">
        <v>533</v>
      </c>
      <c r="O1398" s="3" t="s">
        <v>197</v>
      </c>
      <c r="P1398" s="3" t="s">
        <v>198</v>
      </c>
      <c r="Q1398" s="3" t="s">
        <v>39</v>
      </c>
      <c r="R1398" s="3" t="s">
        <v>40</v>
      </c>
      <c r="S1398" s="55">
        <v>44012.1</v>
      </c>
      <c r="T1398" s="55">
        <v>25788.179599999999</v>
      </c>
      <c r="U1398" s="55">
        <v>19253.7739</v>
      </c>
      <c r="V1398" s="55">
        <v>18223.920399999999</v>
      </c>
      <c r="W1398" s="3">
        <v>59</v>
      </c>
    </row>
    <row r="1399" spans="1:23" x14ac:dyDescent="0.35">
      <c r="A1399" s="3" t="s">
        <v>584</v>
      </c>
      <c r="B1399" s="3" t="s">
        <v>585</v>
      </c>
      <c r="C1399" s="3" t="s">
        <v>571</v>
      </c>
      <c r="D1399" s="3" t="s">
        <v>259</v>
      </c>
      <c r="E1399" s="3" t="s">
        <v>187</v>
      </c>
      <c r="F1399" s="3" t="s">
        <v>116</v>
      </c>
      <c r="G1399" s="3" t="s">
        <v>260</v>
      </c>
      <c r="H1399" s="3" t="s">
        <v>189</v>
      </c>
      <c r="I1399" s="3" t="s">
        <v>190</v>
      </c>
      <c r="J1399" s="3" t="s">
        <v>191</v>
      </c>
      <c r="K1399" s="3" t="s">
        <v>33</v>
      </c>
      <c r="L1399" s="3" t="s">
        <v>51</v>
      </c>
      <c r="M1399" s="3" t="s">
        <v>572</v>
      </c>
      <c r="N1399" s="3" t="s">
        <v>262</v>
      </c>
      <c r="O1399" s="3" t="s">
        <v>197</v>
      </c>
      <c r="P1399" s="3" t="s">
        <v>198</v>
      </c>
      <c r="Q1399" s="3" t="s">
        <v>39</v>
      </c>
      <c r="R1399" s="3" t="s">
        <v>40</v>
      </c>
      <c r="S1399" s="55">
        <v>1142.5</v>
      </c>
      <c r="T1399" s="55">
        <v>285.60000000000002</v>
      </c>
      <c r="U1399" s="55">
        <v>285.60000000000002</v>
      </c>
      <c r="V1399" s="55">
        <v>856.9</v>
      </c>
      <c r="W1399" s="3">
        <v>25</v>
      </c>
    </row>
    <row r="1400" spans="1:23" x14ac:dyDescent="0.35">
      <c r="A1400" s="3" t="s">
        <v>584</v>
      </c>
      <c r="B1400" s="3" t="s">
        <v>585</v>
      </c>
      <c r="C1400" s="3" t="s">
        <v>282</v>
      </c>
      <c r="D1400" s="3" t="s">
        <v>259</v>
      </c>
      <c r="E1400" s="3" t="s">
        <v>187</v>
      </c>
      <c r="F1400" s="3" t="s">
        <v>116</v>
      </c>
      <c r="G1400" s="3" t="s">
        <v>260</v>
      </c>
      <c r="H1400" s="3" t="s">
        <v>66</v>
      </c>
      <c r="I1400" s="3" t="s">
        <v>67</v>
      </c>
      <c r="J1400" s="3" t="s">
        <v>68</v>
      </c>
      <c r="K1400" s="3" t="s">
        <v>33</v>
      </c>
      <c r="L1400" s="3" t="s">
        <v>51</v>
      </c>
      <c r="M1400" s="3" t="s">
        <v>283</v>
      </c>
      <c r="N1400" s="3" t="s">
        <v>284</v>
      </c>
      <c r="O1400" s="3" t="s">
        <v>197</v>
      </c>
      <c r="P1400" s="3" t="s">
        <v>198</v>
      </c>
      <c r="Q1400" s="3" t="s">
        <v>39</v>
      </c>
      <c r="R1400" s="3" t="s">
        <v>40</v>
      </c>
      <c r="S1400" s="55">
        <v>500</v>
      </c>
      <c r="T1400" s="55">
        <v>292.2</v>
      </c>
      <c r="U1400" s="55">
        <v>7.2</v>
      </c>
      <c r="V1400" s="55">
        <v>207.8</v>
      </c>
      <c r="W1400" s="3">
        <v>58</v>
      </c>
    </row>
    <row r="1401" spans="1:23" x14ac:dyDescent="0.35">
      <c r="A1401" s="3" t="s">
        <v>584</v>
      </c>
      <c r="B1401" s="3" t="s">
        <v>585</v>
      </c>
      <c r="C1401" s="3" t="s">
        <v>289</v>
      </c>
      <c r="D1401" s="3" t="s">
        <v>290</v>
      </c>
      <c r="E1401" s="3" t="s">
        <v>291</v>
      </c>
      <c r="F1401" s="3" t="s">
        <v>146</v>
      </c>
      <c r="G1401" s="3" t="s">
        <v>534</v>
      </c>
      <c r="H1401" s="3" t="s">
        <v>293</v>
      </c>
      <c r="I1401" s="3" t="s">
        <v>294</v>
      </c>
      <c r="J1401" s="3" t="s">
        <v>295</v>
      </c>
      <c r="K1401" s="3" t="s">
        <v>33</v>
      </c>
      <c r="L1401" s="3" t="s">
        <v>51</v>
      </c>
      <c r="M1401" s="3" t="s">
        <v>296</v>
      </c>
      <c r="N1401" s="3" t="s">
        <v>535</v>
      </c>
      <c r="O1401" s="3" t="s">
        <v>108</v>
      </c>
      <c r="P1401" s="3" t="s">
        <v>109</v>
      </c>
      <c r="Q1401" s="3" t="s">
        <v>39</v>
      </c>
      <c r="R1401" s="3" t="s">
        <v>40</v>
      </c>
      <c r="S1401" s="55">
        <v>232056</v>
      </c>
      <c r="T1401" s="55">
        <v>182715.16</v>
      </c>
      <c r="U1401" s="55">
        <v>17050.979200000002</v>
      </c>
      <c r="V1401" s="55">
        <v>49340.84</v>
      </c>
      <c r="W1401" s="3">
        <v>79</v>
      </c>
    </row>
    <row r="1402" spans="1:23" x14ac:dyDescent="0.35">
      <c r="A1402" s="3" t="s">
        <v>584</v>
      </c>
      <c r="B1402" s="3" t="s">
        <v>585</v>
      </c>
      <c r="C1402" s="3" t="s">
        <v>298</v>
      </c>
      <c r="D1402" s="3" t="s">
        <v>290</v>
      </c>
      <c r="E1402" s="3" t="s">
        <v>291</v>
      </c>
      <c r="F1402" s="3" t="s">
        <v>146</v>
      </c>
      <c r="G1402" s="3" t="s">
        <v>534</v>
      </c>
      <c r="H1402" s="3" t="s">
        <v>293</v>
      </c>
      <c r="I1402" s="3" t="s">
        <v>294</v>
      </c>
      <c r="J1402" s="3" t="s">
        <v>295</v>
      </c>
      <c r="K1402" s="3" t="s">
        <v>33</v>
      </c>
      <c r="L1402" s="3" t="s">
        <v>51</v>
      </c>
      <c r="M1402" s="3" t="s">
        <v>299</v>
      </c>
      <c r="N1402" s="3" t="s">
        <v>536</v>
      </c>
      <c r="O1402" s="3" t="s">
        <v>108</v>
      </c>
      <c r="P1402" s="3" t="s">
        <v>109</v>
      </c>
      <c r="Q1402" s="3" t="s">
        <v>39</v>
      </c>
      <c r="R1402" s="3" t="s">
        <v>40</v>
      </c>
      <c r="S1402" s="55">
        <v>86322.7</v>
      </c>
      <c r="T1402" s="55">
        <v>60698.8773</v>
      </c>
      <c r="U1402" s="55">
        <v>8574.7582000000002</v>
      </c>
      <c r="V1402" s="55">
        <v>25623.822700000001</v>
      </c>
      <c r="W1402" s="3">
        <v>70</v>
      </c>
    </row>
    <row r="1403" spans="1:23" x14ac:dyDescent="0.35">
      <c r="A1403" s="3" t="s">
        <v>584</v>
      </c>
      <c r="B1403" s="3" t="s">
        <v>585</v>
      </c>
      <c r="C1403" s="3" t="s">
        <v>301</v>
      </c>
      <c r="D1403" s="3" t="s">
        <v>290</v>
      </c>
      <c r="E1403" s="3" t="s">
        <v>291</v>
      </c>
      <c r="F1403" s="3" t="s">
        <v>146</v>
      </c>
      <c r="G1403" s="3" t="s">
        <v>534</v>
      </c>
      <c r="H1403" s="3" t="s">
        <v>293</v>
      </c>
      <c r="I1403" s="3" t="s">
        <v>294</v>
      </c>
      <c r="J1403" s="3" t="s">
        <v>295</v>
      </c>
      <c r="K1403" s="3" t="s">
        <v>33</v>
      </c>
      <c r="L1403" s="3" t="s">
        <v>51</v>
      </c>
      <c r="M1403" s="3" t="s">
        <v>302</v>
      </c>
      <c r="N1403" s="3" t="s">
        <v>537</v>
      </c>
      <c r="O1403" s="3" t="s">
        <v>108</v>
      </c>
      <c r="P1403" s="3" t="s">
        <v>109</v>
      </c>
      <c r="Q1403" s="3" t="s">
        <v>39</v>
      </c>
      <c r="R1403" s="3" t="s">
        <v>40</v>
      </c>
      <c r="S1403" s="55">
        <v>192328.9</v>
      </c>
      <c r="T1403" s="55">
        <v>125764.8639</v>
      </c>
      <c r="U1403" s="55">
        <v>10743.669400000001</v>
      </c>
      <c r="V1403" s="55">
        <v>66564.036099999998</v>
      </c>
      <c r="W1403" s="3">
        <v>65</v>
      </c>
    </row>
    <row r="1404" spans="1:23" x14ac:dyDescent="0.35">
      <c r="A1404" s="3" t="s">
        <v>584</v>
      </c>
      <c r="B1404" s="3" t="s">
        <v>585</v>
      </c>
      <c r="C1404" s="3" t="s">
        <v>304</v>
      </c>
      <c r="D1404" s="3" t="s">
        <v>290</v>
      </c>
      <c r="E1404" s="3" t="s">
        <v>291</v>
      </c>
      <c r="F1404" s="3" t="s">
        <v>146</v>
      </c>
      <c r="G1404" s="3" t="s">
        <v>534</v>
      </c>
      <c r="H1404" s="3" t="s">
        <v>293</v>
      </c>
      <c r="I1404" s="3" t="s">
        <v>294</v>
      </c>
      <c r="J1404" s="3" t="s">
        <v>295</v>
      </c>
      <c r="K1404" s="3" t="s">
        <v>33</v>
      </c>
      <c r="L1404" s="3" t="s">
        <v>51</v>
      </c>
      <c r="M1404" s="3" t="s">
        <v>305</v>
      </c>
      <c r="N1404" s="3" t="s">
        <v>538</v>
      </c>
      <c r="O1404" s="3" t="s">
        <v>108</v>
      </c>
      <c r="P1404" s="3" t="s">
        <v>109</v>
      </c>
      <c r="Q1404" s="3" t="s">
        <v>39</v>
      </c>
      <c r="R1404" s="3" t="s">
        <v>40</v>
      </c>
      <c r="S1404" s="55">
        <v>73563</v>
      </c>
      <c r="T1404" s="55">
        <v>53403.3992</v>
      </c>
      <c r="U1404" s="55">
        <v>7220.5002000000004</v>
      </c>
      <c r="V1404" s="55">
        <v>20159.6008</v>
      </c>
      <c r="W1404" s="3">
        <v>73</v>
      </c>
    </row>
    <row r="1405" spans="1:23" x14ac:dyDescent="0.35">
      <c r="A1405" s="3" t="s">
        <v>584</v>
      </c>
      <c r="B1405" s="3" t="s">
        <v>585</v>
      </c>
      <c r="C1405" s="3" t="s">
        <v>307</v>
      </c>
      <c r="D1405" s="3" t="s">
        <v>290</v>
      </c>
      <c r="E1405" s="3" t="s">
        <v>291</v>
      </c>
      <c r="F1405" s="3" t="s">
        <v>146</v>
      </c>
      <c r="G1405" s="3" t="s">
        <v>534</v>
      </c>
      <c r="H1405" s="3" t="s">
        <v>293</v>
      </c>
      <c r="I1405" s="3" t="s">
        <v>294</v>
      </c>
      <c r="J1405" s="3" t="s">
        <v>295</v>
      </c>
      <c r="K1405" s="3" t="s">
        <v>33</v>
      </c>
      <c r="L1405" s="3" t="s">
        <v>51</v>
      </c>
      <c r="M1405" s="3" t="s">
        <v>308</v>
      </c>
      <c r="N1405" s="3" t="s">
        <v>309</v>
      </c>
      <c r="O1405" s="3" t="s">
        <v>37</v>
      </c>
      <c r="P1405" s="3" t="s">
        <v>38</v>
      </c>
      <c r="Q1405" s="3" t="s">
        <v>39</v>
      </c>
      <c r="R1405" s="3" t="s">
        <v>40</v>
      </c>
      <c r="S1405" s="55">
        <v>7870.9</v>
      </c>
      <c r="T1405" s="55">
        <v>3276.7202000000002</v>
      </c>
      <c r="U1405" s="55">
        <v>106.72020000000001</v>
      </c>
      <c r="V1405" s="55">
        <v>4594.1797999999999</v>
      </c>
      <c r="W1405" s="3">
        <v>42</v>
      </c>
    </row>
    <row r="1406" spans="1:23" x14ac:dyDescent="0.35">
      <c r="A1406" s="3" t="s">
        <v>584</v>
      </c>
      <c r="B1406" s="3" t="s">
        <v>585</v>
      </c>
      <c r="C1406" s="3" t="s">
        <v>436</v>
      </c>
      <c r="D1406" s="3" t="s">
        <v>290</v>
      </c>
      <c r="E1406" s="3" t="s">
        <v>291</v>
      </c>
      <c r="F1406" s="3" t="s">
        <v>146</v>
      </c>
      <c r="G1406" s="3" t="s">
        <v>534</v>
      </c>
      <c r="H1406" s="3" t="s">
        <v>293</v>
      </c>
      <c r="I1406" s="3" t="s">
        <v>294</v>
      </c>
      <c r="J1406" s="3" t="s">
        <v>295</v>
      </c>
      <c r="K1406" s="3" t="s">
        <v>33</v>
      </c>
      <c r="L1406" s="3" t="s">
        <v>51</v>
      </c>
      <c r="M1406" s="3" t="s">
        <v>308</v>
      </c>
      <c r="N1406" s="3" t="s">
        <v>309</v>
      </c>
      <c r="O1406" s="3" t="s">
        <v>197</v>
      </c>
      <c r="P1406" s="3" t="s">
        <v>198</v>
      </c>
      <c r="Q1406" s="3" t="s">
        <v>39</v>
      </c>
      <c r="R1406" s="3" t="s">
        <v>40</v>
      </c>
      <c r="S1406" s="55">
        <v>3639.8</v>
      </c>
      <c r="T1406" s="55">
        <v>3413.2981</v>
      </c>
      <c r="U1406" s="55">
        <v>1352.3680999999999</v>
      </c>
      <c r="V1406" s="55">
        <v>226.50190000000001</v>
      </c>
      <c r="W1406" s="3">
        <v>94</v>
      </c>
    </row>
    <row r="1407" spans="1:23" x14ac:dyDescent="0.35">
      <c r="A1407" s="3" t="s">
        <v>584</v>
      </c>
      <c r="B1407" s="3" t="s">
        <v>585</v>
      </c>
      <c r="C1407" s="3" t="s">
        <v>310</v>
      </c>
      <c r="D1407" s="3" t="s">
        <v>290</v>
      </c>
      <c r="E1407" s="3" t="s">
        <v>291</v>
      </c>
      <c r="F1407" s="3" t="s">
        <v>146</v>
      </c>
      <c r="G1407" s="3" t="s">
        <v>534</v>
      </c>
      <c r="H1407" s="3" t="s">
        <v>293</v>
      </c>
      <c r="I1407" s="3" t="s">
        <v>294</v>
      </c>
      <c r="J1407" s="3" t="s">
        <v>295</v>
      </c>
      <c r="K1407" s="3" t="s">
        <v>33</v>
      </c>
      <c r="L1407" s="3" t="s">
        <v>51</v>
      </c>
      <c r="M1407" s="3" t="s">
        <v>311</v>
      </c>
      <c r="N1407" s="3" t="s">
        <v>312</v>
      </c>
      <c r="O1407" s="3" t="s">
        <v>197</v>
      </c>
      <c r="P1407" s="3" t="s">
        <v>198</v>
      </c>
      <c r="Q1407" s="3" t="s">
        <v>39</v>
      </c>
      <c r="R1407" s="3" t="s">
        <v>40</v>
      </c>
      <c r="S1407" s="55">
        <v>40101.9</v>
      </c>
      <c r="T1407" s="55">
        <v>36521.501199999999</v>
      </c>
      <c r="U1407" s="55">
        <v>200.38329999999999</v>
      </c>
      <c r="V1407" s="55">
        <v>3580.3987999999999</v>
      </c>
      <c r="W1407" s="3">
        <v>91</v>
      </c>
    </row>
    <row r="1408" spans="1:23" x14ac:dyDescent="0.35">
      <c r="A1408" s="3" t="s">
        <v>584</v>
      </c>
      <c r="B1408" s="3" t="s">
        <v>585</v>
      </c>
      <c r="C1408" s="3" t="s">
        <v>313</v>
      </c>
      <c r="D1408" s="3" t="s">
        <v>290</v>
      </c>
      <c r="E1408" s="3" t="s">
        <v>291</v>
      </c>
      <c r="F1408" s="3" t="s">
        <v>146</v>
      </c>
      <c r="G1408" s="3" t="s">
        <v>534</v>
      </c>
      <c r="H1408" s="3" t="s">
        <v>293</v>
      </c>
      <c r="I1408" s="3" t="s">
        <v>294</v>
      </c>
      <c r="J1408" s="3" t="s">
        <v>295</v>
      </c>
      <c r="K1408" s="3" t="s">
        <v>33</v>
      </c>
      <c r="L1408" s="3" t="s">
        <v>51</v>
      </c>
      <c r="M1408" s="3" t="s">
        <v>314</v>
      </c>
      <c r="N1408" s="3" t="s">
        <v>315</v>
      </c>
      <c r="O1408" s="3" t="s">
        <v>197</v>
      </c>
      <c r="P1408" s="3" t="s">
        <v>198</v>
      </c>
      <c r="Q1408" s="3" t="s">
        <v>39</v>
      </c>
      <c r="R1408" s="3" t="s">
        <v>40</v>
      </c>
      <c r="S1408" s="55">
        <v>712.6</v>
      </c>
      <c r="T1408" s="55">
        <v>712.53840000000002</v>
      </c>
      <c r="U1408" s="55">
        <v>0</v>
      </c>
      <c r="V1408" s="55">
        <v>6.1600000000000002E-2</v>
      </c>
      <c r="W1408" s="3">
        <v>100</v>
      </c>
    </row>
    <row r="1409" spans="1:23" x14ac:dyDescent="0.35">
      <c r="A1409" s="3" t="s">
        <v>584</v>
      </c>
      <c r="B1409" s="3" t="s">
        <v>585</v>
      </c>
      <c r="C1409" s="3" t="s">
        <v>539</v>
      </c>
      <c r="D1409" s="3" t="s">
        <v>290</v>
      </c>
      <c r="E1409" s="3" t="s">
        <v>291</v>
      </c>
      <c r="F1409" s="3" t="s">
        <v>146</v>
      </c>
      <c r="G1409" s="3" t="s">
        <v>534</v>
      </c>
      <c r="H1409" s="3" t="s">
        <v>293</v>
      </c>
      <c r="I1409" s="3" t="s">
        <v>294</v>
      </c>
      <c r="J1409" s="3" t="s">
        <v>295</v>
      </c>
      <c r="K1409" s="3" t="s">
        <v>33</v>
      </c>
      <c r="L1409" s="3" t="s">
        <v>51</v>
      </c>
      <c r="M1409" s="3" t="s">
        <v>540</v>
      </c>
      <c r="N1409" s="3" t="s">
        <v>541</v>
      </c>
      <c r="O1409" s="3" t="s">
        <v>197</v>
      </c>
      <c r="P1409" s="3" t="s">
        <v>198</v>
      </c>
      <c r="Q1409" s="3" t="s">
        <v>39</v>
      </c>
      <c r="R1409" s="3" t="s">
        <v>40</v>
      </c>
      <c r="S1409" s="55">
        <v>30745.7</v>
      </c>
      <c r="T1409" s="55">
        <v>21451.273399999998</v>
      </c>
      <c r="U1409" s="55">
        <v>0</v>
      </c>
      <c r="V1409" s="55">
        <v>9294.4266000000007</v>
      </c>
      <c r="W1409" s="3">
        <v>70</v>
      </c>
    </row>
    <row r="1410" spans="1:23" x14ac:dyDescent="0.35">
      <c r="A1410" s="3" t="s">
        <v>584</v>
      </c>
      <c r="B1410" s="3" t="s">
        <v>585</v>
      </c>
      <c r="C1410" s="3" t="s">
        <v>322</v>
      </c>
      <c r="D1410" s="3" t="s">
        <v>317</v>
      </c>
      <c r="E1410" s="3" t="s">
        <v>291</v>
      </c>
      <c r="F1410" s="3" t="s">
        <v>318</v>
      </c>
      <c r="G1410" s="3" t="s">
        <v>319</v>
      </c>
      <c r="H1410" s="3" t="s">
        <v>293</v>
      </c>
      <c r="I1410" s="3" t="s">
        <v>294</v>
      </c>
      <c r="J1410" s="3" t="s">
        <v>295</v>
      </c>
      <c r="K1410" s="3" t="s">
        <v>33</v>
      </c>
      <c r="L1410" s="3" t="s">
        <v>51</v>
      </c>
      <c r="M1410" s="3" t="s">
        <v>323</v>
      </c>
      <c r="N1410" s="3" t="s">
        <v>324</v>
      </c>
      <c r="O1410" s="3" t="s">
        <v>197</v>
      </c>
      <c r="P1410" s="3" t="s">
        <v>198</v>
      </c>
      <c r="Q1410" s="3" t="s">
        <v>39</v>
      </c>
      <c r="R1410" s="3" t="s">
        <v>40</v>
      </c>
      <c r="S1410" s="55">
        <v>12448.4</v>
      </c>
      <c r="T1410" s="55">
        <v>3061.3195999999998</v>
      </c>
      <c r="U1410" s="55">
        <v>0</v>
      </c>
      <c r="V1410" s="55">
        <v>9387.0804000000007</v>
      </c>
      <c r="W1410" s="3">
        <v>25</v>
      </c>
    </row>
    <row r="1411" spans="1:23" x14ac:dyDescent="0.35">
      <c r="A1411" s="3" t="s">
        <v>584</v>
      </c>
      <c r="B1411" s="3" t="s">
        <v>585</v>
      </c>
      <c r="C1411" s="3" t="s">
        <v>325</v>
      </c>
      <c r="D1411" s="3" t="s">
        <v>326</v>
      </c>
      <c r="E1411" s="3" t="s">
        <v>327</v>
      </c>
      <c r="F1411" s="3" t="s">
        <v>189</v>
      </c>
      <c r="G1411" s="3" t="s">
        <v>328</v>
      </c>
      <c r="H1411" s="3" t="s">
        <v>146</v>
      </c>
      <c r="I1411" s="3" t="s">
        <v>329</v>
      </c>
      <c r="J1411" s="3" t="s">
        <v>330</v>
      </c>
      <c r="K1411" s="3" t="s">
        <v>33</v>
      </c>
      <c r="L1411" s="3" t="s">
        <v>51</v>
      </c>
      <c r="M1411" s="3" t="s">
        <v>331</v>
      </c>
      <c r="N1411" s="3" t="s">
        <v>332</v>
      </c>
      <c r="O1411" s="3" t="s">
        <v>108</v>
      </c>
      <c r="P1411" s="3" t="s">
        <v>109</v>
      </c>
      <c r="Q1411" s="3" t="s">
        <v>39</v>
      </c>
      <c r="R1411" s="3" t="s">
        <v>40</v>
      </c>
      <c r="S1411" s="55">
        <v>607335</v>
      </c>
      <c r="T1411" s="55">
        <v>379666.51559999998</v>
      </c>
      <c r="U1411" s="55">
        <v>28639.625899999999</v>
      </c>
      <c r="V1411" s="55">
        <v>227668.48439999999</v>
      </c>
      <c r="W1411" s="3">
        <v>63</v>
      </c>
    </row>
    <row r="1412" spans="1:23" x14ac:dyDescent="0.35">
      <c r="A1412" s="3" t="s">
        <v>584</v>
      </c>
      <c r="B1412" s="3" t="s">
        <v>585</v>
      </c>
      <c r="C1412" s="3" t="s">
        <v>333</v>
      </c>
      <c r="D1412" s="3" t="s">
        <v>326</v>
      </c>
      <c r="E1412" s="3" t="s">
        <v>327</v>
      </c>
      <c r="F1412" s="3" t="s">
        <v>189</v>
      </c>
      <c r="G1412" s="3" t="s">
        <v>328</v>
      </c>
      <c r="H1412" s="3" t="s">
        <v>146</v>
      </c>
      <c r="I1412" s="3" t="s">
        <v>329</v>
      </c>
      <c r="J1412" s="3" t="s">
        <v>330</v>
      </c>
      <c r="K1412" s="3" t="s">
        <v>33</v>
      </c>
      <c r="L1412" s="3" t="s">
        <v>51</v>
      </c>
      <c r="M1412" s="3" t="s">
        <v>331</v>
      </c>
      <c r="N1412" s="3" t="s">
        <v>332</v>
      </c>
      <c r="O1412" s="3" t="s">
        <v>334</v>
      </c>
      <c r="P1412" s="3" t="s">
        <v>335</v>
      </c>
      <c r="Q1412" s="3" t="s">
        <v>39</v>
      </c>
      <c r="R1412" s="3" t="s">
        <v>40</v>
      </c>
      <c r="S1412" s="55">
        <v>5154.6000000000004</v>
      </c>
      <c r="T1412" s="55">
        <v>2871.4665</v>
      </c>
      <c r="U1412" s="55">
        <v>275.5016</v>
      </c>
      <c r="V1412" s="55">
        <v>2283.1334999999999</v>
      </c>
      <c r="W1412" s="3">
        <v>56</v>
      </c>
    </row>
    <row r="1413" spans="1:23" x14ac:dyDescent="0.35">
      <c r="A1413" s="3" t="s">
        <v>584</v>
      </c>
      <c r="B1413" s="3" t="s">
        <v>585</v>
      </c>
      <c r="C1413" s="3" t="s">
        <v>542</v>
      </c>
      <c r="D1413" s="3" t="s">
        <v>337</v>
      </c>
      <c r="E1413" s="3" t="s">
        <v>327</v>
      </c>
      <c r="F1413" s="3" t="s">
        <v>116</v>
      </c>
      <c r="G1413" s="3" t="s">
        <v>338</v>
      </c>
      <c r="H1413" s="3" t="s">
        <v>146</v>
      </c>
      <c r="I1413" s="3" t="s">
        <v>329</v>
      </c>
      <c r="J1413" s="3" t="s">
        <v>339</v>
      </c>
      <c r="K1413" s="3" t="s">
        <v>23</v>
      </c>
      <c r="L1413" s="3" t="s">
        <v>203</v>
      </c>
      <c r="M1413" s="3" t="s">
        <v>543</v>
      </c>
      <c r="N1413" s="3" t="s">
        <v>341</v>
      </c>
      <c r="O1413" s="3" t="s">
        <v>197</v>
      </c>
      <c r="P1413" s="3" t="s">
        <v>198</v>
      </c>
      <c r="Q1413" s="3" t="s">
        <v>39</v>
      </c>
      <c r="R1413" s="3" t="s">
        <v>40</v>
      </c>
      <c r="S1413" s="55">
        <v>79182.8</v>
      </c>
      <c r="T1413" s="55">
        <v>68566.592399999994</v>
      </c>
      <c r="U1413" s="55">
        <v>0</v>
      </c>
      <c r="V1413" s="55">
        <v>10616.2076</v>
      </c>
      <c r="W1413" s="3">
        <v>87</v>
      </c>
    </row>
    <row r="1414" spans="1:23" x14ac:dyDescent="0.35">
      <c r="A1414" s="3" t="s">
        <v>584</v>
      </c>
      <c r="B1414" s="3" t="s">
        <v>585</v>
      </c>
      <c r="C1414" s="3" t="s">
        <v>544</v>
      </c>
      <c r="D1414" s="3" t="s">
        <v>337</v>
      </c>
      <c r="E1414" s="3" t="s">
        <v>327</v>
      </c>
      <c r="F1414" s="3" t="s">
        <v>116</v>
      </c>
      <c r="G1414" s="3" t="s">
        <v>338</v>
      </c>
      <c r="H1414" s="3" t="s">
        <v>146</v>
      </c>
      <c r="I1414" s="3" t="s">
        <v>329</v>
      </c>
      <c r="J1414" s="3" t="s">
        <v>339</v>
      </c>
      <c r="K1414" s="3" t="s">
        <v>23</v>
      </c>
      <c r="L1414" s="3" t="s">
        <v>203</v>
      </c>
      <c r="M1414" s="3" t="s">
        <v>545</v>
      </c>
      <c r="N1414" s="3" t="s">
        <v>359</v>
      </c>
      <c r="O1414" s="3" t="s">
        <v>197</v>
      </c>
      <c r="P1414" s="3" t="s">
        <v>198</v>
      </c>
      <c r="Q1414" s="3" t="s">
        <v>39</v>
      </c>
      <c r="R1414" s="3" t="s">
        <v>40</v>
      </c>
      <c r="S1414" s="55">
        <v>50.1</v>
      </c>
      <c r="T1414" s="55">
        <v>50.1</v>
      </c>
      <c r="U1414" s="55">
        <v>0</v>
      </c>
      <c r="V1414" s="55">
        <v>0</v>
      </c>
      <c r="W1414" s="3">
        <v>100</v>
      </c>
    </row>
    <row r="1415" spans="1:23" x14ac:dyDescent="0.35">
      <c r="A1415" s="3" t="s">
        <v>584</v>
      </c>
      <c r="B1415" s="3" t="s">
        <v>585</v>
      </c>
      <c r="C1415" s="3" t="s">
        <v>437</v>
      </c>
      <c r="D1415" s="3" t="s">
        <v>337</v>
      </c>
      <c r="E1415" s="3" t="s">
        <v>327</v>
      </c>
      <c r="F1415" s="3" t="s">
        <v>116</v>
      </c>
      <c r="G1415" s="3" t="s">
        <v>338</v>
      </c>
      <c r="H1415" s="3" t="s">
        <v>146</v>
      </c>
      <c r="I1415" s="3" t="s">
        <v>329</v>
      </c>
      <c r="J1415" s="3" t="s">
        <v>330</v>
      </c>
      <c r="K1415" s="3" t="s">
        <v>33</v>
      </c>
      <c r="L1415" s="3" t="s">
        <v>51</v>
      </c>
      <c r="M1415" s="3" t="s">
        <v>438</v>
      </c>
      <c r="N1415" s="3" t="s">
        <v>439</v>
      </c>
      <c r="O1415" s="3" t="s">
        <v>197</v>
      </c>
      <c r="P1415" s="3" t="s">
        <v>198</v>
      </c>
      <c r="Q1415" s="3" t="s">
        <v>39</v>
      </c>
      <c r="R1415" s="3" t="s">
        <v>40</v>
      </c>
      <c r="S1415" s="55">
        <v>35585.699999999997</v>
      </c>
      <c r="T1415" s="55">
        <v>19835.680899999999</v>
      </c>
      <c r="U1415" s="55">
        <v>2315.1215999999999</v>
      </c>
      <c r="V1415" s="55">
        <v>15750.0191</v>
      </c>
      <c r="W1415" s="3">
        <v>56</v>
      </c>
    </row>
    <row r="1416" spans="1:23" x14ac:dyDescent="0.35">
      <c r="A1416" s="3" t="s">
        <v>584</v>
      </c>
      <c r="B1416" s="3" t="s">
        <v>585</v>
      </c>
      <c r="C1416" s="3" t="s">
        <v>342</v>
      </c>
      <c r="D1416" s="3" t="s">
        <v>337</v>
      </c>
      <c r="E1416" s="3" t="s">
        <v>327</v>
      </c>
      <c r="F1416" s="3" t="s">
        <v>116</v>
      </c>
      <c r="G1416" s="3" t="s">
        <v>338</v>
      </c>
      <c r="H1416" s="3" t="s">
        <v>146</v>
      </c>
      <c r="I1416" s="3" t="s">
        <v>329</v>
      </c>
      <c r="J1416" s="3" t="s">
        <v>330</v>
      </c>
      <c r="K1416" s="3" t="s">
        <v>33</v>
      </c>
      <c r="L1416" s="3" t="s">
        <v>51</v>
      </c>
      <c r="M1416" s="3" t="s">
        <v>343</v>
      </c>
      <c r="N1416" s="3" t="s">
        <v>344</v>
      </c>
      <c r="O1416" s="3" t="s">
        <v>37</v>
      </c>
      <c r="P1416" s="3" t="s">
        <v>38</v>
      </c>
      <c r="Q1416" s="3" t="s">
        <v>39</v>
      </c>
      <c r="R1416" s="3" t="s">
        <v>40</v>
      </c>
      <c r="S1416" s="55">
        <v>46.1</v>
      </c>
      <c r="T1416" s="55">
        <v>36.159500000000001</v>
      </c>
      <c r="U1416" s="55">
        <v>36.159500000000001</v>
      </c>
      <c r="V1416" s="55">
        <v>9.9405000000000001</v>
      </c>
      <c r="W1416" s="3">
        <v>78</v>
      </c>
    </row>
    <row r="1417" spans="1:23" x14ac:dyDescent="0.35">
      <c r="A1417" s="3" t="s">
        <v>584</v>
      </c>
      <c r="B1417" s="3" t="s">
        <v>585</v>
      </c>
      <c r="C1417" s="3" t="s">
        <v>345</v>
      </c>
      <c r="D1417" s="3" t="s">
        <v>337</v>
      </c>
      <c r="E1417" s="3" t="s">
        <v>327</v>
      </c>
      <c r="F1417" s="3" t="s">
        <v>116</v>
      </c>
      <c r="G1417" s="3" t="s">
        <v>338</v>
      </c>
      <c r="H1417" s="3" t="s">
        <v>146</v>
      </c>
      <c r="I1417" s="3" t="s">
        <v>329</v>
      </c>
      <c r="J1417" s="3" t="s">
        <v>330</v>
      </c>
      <c r="K1417" s="3" t="s">
        <v>33</v>
      </c>
      <c r="L1417" s="3" t="s">
        <v>51</v>
      </c>
      <c r="M1417" s="3" t="s">
        <v>346</v>
      </c>
      <c r="N1417" s="3" t="s">
        <v>347</v>
      </c>
      <c r="O1417" s="3" t="s">
        <v>197</v>
      </c>
      <c r="P1417" s="3" t="s">
        <v>198</v>
      </c>
      <c r="Q1417" s="3" t="s">
        <v>39</v>
      </c>
      <c r="R1417" s="3" t="s">
        <v>40</v>
      </c>
      <c r="S1417" s="55">
        <v>109042.9</v>
      </c>
      <c r="T1417" s="55">
        <v>0</v>
      </c>
      <c r="U1417" s="55">
        <v>0</v>
      </c>
      <c r="V1417" s="55">
        <v>109042.9</v>
      </c>
      <c r="W1417" s="3">
        <v>0</v>
      </c>
    </row>
    <row r="1418" spans="1:23" x14ac:dyDescent="0.35">
      <c r="A1418" s="3" t="s">
        <v>584</v>
      </c>
      <c r="B1418" s="3" t="s">
        <v>585</v>
      </c>
      <c r="C1418" s="3" t="s">
        <v>489</v>
      </c>
      <c r="D1418" s="3" t="s">
        <v>337</v>
      </c>
      <c r="E1418" s="3" t="s">
        <v>327</v>
      </c>
      <c r="F1418" s="3" t="s">
        <v>116</v>
      </c>
      <c r="G1418" s="3" t="s">
        <v>338</v>
      </c>
      <c r="H1418" s="3" t="s">
        <v>146</v>
      </c>
      <c r="I1418" s="3" t="s">
        <v>329</v>
      </c>
      <c r="J1418" s="3" t="s">
        <v>330</v>
      </c>
      <c r="K1418" s="3" t="s">
        <v>33</v>
      </c>
      <c r="L1418" s="3" t="s">
        <v>51</v>
      </c>
      <c r="M1418" s="3" t="s">
        <v>490</v>
      </c>
      <c r="N1418" s="3" t="s">
        <v>491</v>
      </c>
      <c r="O1418" s="3" t="s">
        <v>197</v>
      </c>
      <c r="P1418" s="3" t="s">
        <v>198</v>
      </c>
      <c r="Q1418" s="3" t="s">
        <v>39</v>
      </c>
      <c r="R1418" s="3" t="s">
        <v>40</v>
      </c>
      <c r="S1418" s="55">
        <v>14237.2</v>
      </c>
      <c r="T1418" s="55">
        <v>13660</v>
      </c>
      <c r="U1418" s="55">
        <v>13660</v>
      </c>
      <c r="V1418" s="55">
        <v>577.20000000000005</v>
      </c>
      <c r="W1418" s="3">
        <v>96</v>
      </c>
    </row>
    <row r="1419" spans="1:23" x14ac:dyDescent="0.35">
      <c r="A1419" s="3" t="s">
        <v>584</v>
      </c>
      <c r="B1419" s="3" t="s">
        <v>585</v>
      </c>
      <c r="C1419" s="3" t="s">
        <v>348</v>
      </c>
      <c r="D1419" s="3" t="s">
        <v>337</v>
      </c>
      <c r="E1419" s="3" t="s">
        <v>327</v>
      </c>
      <c r="F1419" s="3" t="s">
        <v>116</v>
      </c>
      <c r="G1419" s="3" t="s">
        <v>338</v>
      </c>
      <c r="H1419" s="3" t="s">
        <v>146</v>
      </c>
      <c r="I1419" s="3" t="s">
        <v>329</v>
      </c>
      <c r="J1419" s="3" t="s">
        <v>330</v>
      </c>
      <c r="K1419" s="3" t="s">
        <v>33</v>
      </c>
      <c r="L1419" s="3" t="s">
        <v>51</v>
      </c>
      <c r="M1419" s="3" t="s">
        <v>349</v>
      </c>
      <c r="N1419" s="3" t="s">
        <v>350</v>
      </c>
      <c r="O1419" s="3" t="s">
        <v>197</v>
      </c>
      <c r="P1419" s="3" t="s">
        <v>198</v>
      </c>
      <c r="Q1419" s="3" t="s">
        <v>39</v>
      </c>
      <c r="R1419" s="3" t="s">
        <v>40</v>
      </c>
      <c r="S1419" s="55">
        <v>100</v>
      </c>
      <c r="T1419" s="55">
        <v>0</v>
      </c>
      <c r="U1419" s="55">
        <v>0</v>
      </c>
      <c r="V1419" s="55">
        <v>100</v>
      </c>
      <c r="W1419" s="3">
        <v>0</v>
      </c>
    </row>
    <row r="1420" spans="1:23" x14ac:dyDescent="0.35">
      <c r="A1420" s="3" t="s">
        <v>584</v>
      </c>
      <c r="B1420" s="3" t="s">
        <v>585</v>
      </c>
      <c r="C1420" s="3" t="s">
        <v>546</v>
      </c>
      <c r="D1420" s="3" t="s">
        <v>337</v>
      </c>
      <c r="E1420" s="3" t="s">
        <v>327</v>
      </c>
      <c r="F1420" s="3" t="s">
        <v>116</v>
      </c>
      <c r="G1420" s="3" t="s">
        <v>338</v>
      </c>
      <c r="H1420" s="3" t="s">
        <v>146</v>
      </c>
      <c r="I1420" s="3" t="s">
        <v>329</v>
      </c>
      <c r="J1420" s="3" t="s">
        <v>330</v>
      </c>
      <c r="K1420" s="3" t="s">
        <v>33</v>
      </c>
      <c r="L1420" s="3" t="s">
        <v>51</v>
      </c>
      <c r="M1420" s="3" t="s">
        <v>547</v>
      </c>
      <c r="N1420" s="3" t="s">
        <v>548</v>
      </c>
      <c r="O1420" s="3" t="s">
        <v>197</v>
      </c>
      <c r="P1420" s="3" t="s">
        <v>198</v>
      </c>
      <c r="Q1420" s="3" t="s">
        <v>39</v>
      </c>
      <c r="R1420" s="3" t="s">
        <v>40</v>
      </c>
      <c r="S1420" s="55">
        <v>8607.7000000000007</v>
      </c>
      <c r="T1420" s="55">
        <v>0</v>
      </c>
      <c r="U1420" s="55">
        <v>0</v>
      </c>
      <c r="V1420" s="55">
        <v>8607.7000000000007</v>
      </c>
      <c r="W1420" s="3">
        <v>0</v>
      </c>
    </row>
    <row r="1421" spans="1:23" x14ac:dyDescent="0.35">
      <c r="A1421" s="3" t="s">
        <v>584</v>
      </c>
      <c r="B1421" s="3" t="s">
        <v>585</v>
      </c>
      <c r="C1421" s="3" t="s">
        <v>455</v>
      </c>
      <c r="D1421" s="3" t="s">
        <v>337</v>
      </c>
      <c r="E1421" s="3" t="s">
        <v>327</v>
      </c>
      <c r="F1421" s="3" t="s">
        <v>116</v>
      </c>
      <c r="G1421" s="3" t="s">
        <v>338</v>
      </c>
      <c r="H1421" s="3" t="s">
        <v>146</v>
      </c>
      <c r="I1421" s="3" t="s">
        <v>329</v>
      </c>
      <c r="J1421" s="3" t="s">
        <v>330</v>
      </c>
      <c r="K1421" s="3" t="s">
        <v>33</v>
      </c>
      <c r="L1421" s="3" t="s">
        <v>51</v>
      </c>
      <c r="M1421" s="3" t="s">
        <v>456</v>
      </c>
      <c r="N1421" s="3" t="s">
        <v>457</v>
      </c>
      <c r="O1421" s="3" t="s">
        <v>197</v>
      </c>
      <c r="P1421" s="3" t="s">
        <v>198</v>
      </c>
      <c r="Q1421" s="3" t="s">
        <v>39</v>
      </c>
      <c r="R1421" s="3" t="s">
        <v>40</v>
      </c>
      <c r="S1421" s="55">
        <v>2903.1</v>
      </c>
      <c r="T1421" s="55">
        <v>1748.1786999999999</v>
      </c>
      <c r="U1421" s="55">
        <v>160.5</v>
      </c>
      <c r="V1421" s="55">
        <v>1154.9213</v>
      </c>
      <c r="W1421" s="3">
        <v>60</v>
      </c>
    </row>
    <row r="1422" spans="1:23" x14ac:dyDescent="0.35">
      <c r="A1422" s="3" t="s">
        <v>584</v>
      </c>
      <c r="B1422" s="3" t="s">
        <v>585</v>
      </c>
      <c r="C1422" s="3" t="s">
        <v>354</v>
      </c>
      <c r="D1422" s="3" t="s">
        <v>337</v>
      </c>
      <c r="E1422" s="3" t="s">
        <v>327</v>
      </c>
      <c r="F1422" s="3" t="s">
        <v>116</v>
      </c>
      <c r="G1422" s="3" t="s">
        <v>338</v>
      </c>
      <c r="H1422" s="3" t="s">
        <v>146</v>
      </c>
      <c r="I1422" s="3" t="s">
        <v>329</v>
      </c>
      <c r="J1422" s="3" t="s">
        <v>330</v>
      </c>
      <c r="K1422" s="3" t="s">
        <v>33</v>
      </c>
      <c r="L1422" s="3" t="s">
        <v>51</v>
      </c>
      <c r="M1422" s="3" t="s">
        <v>355</v>
      </c>
      <c r="N1422" s="3" t="s">
        <v>356</v>
      </c>
      <c r="O1422" s="3" t="s">
        <v>197</v>
      </c>
      <c r="P1422" s="3" t="s">
        <v>198</v>
      </c>
      <c r="Q1422" s="3" t="s">
        <v>39</v>
      </c>
      <c r="R1422" s="3" t="s">
        <v>40</v>
      </c>
      <c r="S1422" s="55">
        <v>43694.2</v>
      </c>
      <c r="T1422" s="55">
        <v>23593.185300000001</v>
      </c>
      <c r="U1422" s="55">
        <v>1679.1639</v>
      </c>
      <c r="V1422" s="55">
        <v>20101.0147</v>
      </c>
      <c r="W1422" s="3">
        <v>54</v>
      </c>
    </row>
    <row r="1423" spans="1:23" x14ac:dyDescent="0.35">
      <c r="A1423" s="3" t="s">
        <v>584</v>
      </c>
      <c r="B1423" s="3" t="s">
        <v>585</v>
      </c>
      <c r="C1423" s="3" t="s">
        <v>463</v>
      </c>
      <c r="D1423" s="3" t="s">
        <v>337</v>
      </c>
      <c r="E1423" s="3" t="s">
        <v>327</v>
      </c>
      <c r="F1423" s="3" t="s">
        <v>116</v>
      </c>
      <c r="G1423" s="3" t="s">
        <v>338</v>
      </c>
      <c r="H1423" s="3" t="s">
        <v>146</v>
      </c>
      <c r="I1423" s="3" t="s">
        <v>329</v>
      </c>
      <c r="J1423" s="3" t="s">
        <v>330</v>
      </c>
      <c r="K1423" s="3" t="s">
        <v>33</v>
      </c>
      <c r="L1423" s="3" t="s">
        <v>51</v>
      </c>
      <c r="M1423" s="3" t="s">
        <v>464</v>
      </c>
      <c r="N1423" s="3" t="s">
        <v>465</v>
      </c>
      <c r="O1423" s="3" t="s">
        <v>197</v>
      </c>
      <c r="P1423" s="3" t="s">
        <v>198</v>
      </c>
      <c r="Q1423" s="3" t="s">
        <v>39</v>
      </c>
      <c r="R1423" s="3" t="s">
        <v>40</v>
      </c>
      <c r="S1423" s="55">
        <v>194092.1</v>
      </c>
      <c r="T1423" s="55">
        <v>193028.57</v>
      </c>
      <c r="U1423" s="55">
        <v>54852.779499999997</v>
      </c>
      <c r="V1423" s="55">
        <v>1063.53</v>
      </c>
      <c r="W1423" s="3">
        <v>99</v>
      </c>
    </row>
    <row r="1424" spans="1:23" x14ac:dyDescent="0.35">
      <c r="A1424" s="3" t="s">
        <v>584</v>
      </c>
      <c r="B1424" s="3" t="s">
        <v>585</v>
      </c>
      <c r="C1424" s="3" t="s">
        <v>363</v>
      </c>
      <c r="D1424" s="3" t="s">
        <v>364</v>
      </c>
      <c r="E1424" s="3" t="s">
        <v>365</v>
      </c>
      <c r="F1424" s="3" t="s">
        <v>189</v>
      </c>
      <c r="G1424" s="3" t="s">
        <v>366</v>
      </c>
      <c r="H1424" s="3" t="s">
        <v>28</v>
      </c>
      <c r="I1424" s="3" t="s">
        <v>231</v>
      </c>
      <c r="J1424" s="3" t="s">
        <v>232</v>
      </c>
      <c r="K1424" s="3" t="s">
        <v>33</v>
      </c>
      <c r="L1424" s="3" t="s">
        <v>51</v>
      </c>
      <c r="M1424" s="3" t="s">
        <v>367</v>
      </c>
      <c r="N1424" s="3" t="s">
        <v>368</v>
      </c>
      <c r="O1424" s="3" t="s">
        <v>108</v>
      </c>
      <c r="P1424" s="3" t="s">
        <v>109</v>
      </c>
      <c r="Q1424" s="3" t="s">
        <v>39</v>
      </c>
      <c r="R1424" s="3" t="s">
        <v>40</v>
      </c>
      <c r="S1424" s="55">
        <v>181890.3</v>
      </c>
      <c r="T1424" s="55">
        <v>137342.5018</v>
      </c>
      <c r="U1424" s="55">
        <v>11653.5023</v>
      </c>
      <c r="V1424" s="55">
        <v>44547.798199999997</v>
      </c>
      <c r="W1424" s="3">
        <v>76</v>
      </c>
    </row>
    <row r="1425" spans="1:23" x14ac:dyDescent="0.35">
      <c r="A1425" s="3" t="s">
        <v>584</v>
      </c>
      <c r="B1425" s="3" t="s">
        <v>585</v>
      </c>
      <c r="C1425" s="3" t="s">
        <v>369</v>
      </c>
      <c r="D1425" s="3" t="s">
        <v>364</v>
      </c>
      <c r="E1425" s="3" t="s">
        <v>365</v>
      </c>
      <c r="F1425" s="3" t="s">
        <v>189</v>
      </c>
      <c r="G1425" s="3" t="s">
        <v>366</v>
      </c>
      <c r="H1425" s="3" t="s">
        <v>28</v>
      </c>
      <c r="I1425" s="3" t="s">
        <v>231</v>
      </c>
      <c r="J1425" s="3" t="s">
        <v>232</v>
      </c>
      <c r="K1425" s="3" t="s">
        <v>33</v>
      </c>
      <c r="L1425" s="3" t="s">
        <v>51</v>
      </c>
      <c r="M1425" s="3" t="s">
        <v>367</v>
      </c>
      <c r="N1425" s="3" t="s">
        <v>368</v>
      </c>
      <c r="O1425" s="3" t="s">
        <v>334</v>
      </c>
      <c r="P1425" s="3" t="s">
        <v>335</v>
      </c>
      <c r="Q1425" s="3" t="s">
        <v>39</v>
      </c>
      <c r="R1425" s="3" t="s">
        <v>40</v>
      </c>
      <c r="S1425" s="55">
        <v>18356.2</v>
      </c>
      <c r="T1425" s="55">
        <v>12842.345799999999</v>
      </c>
      <c r="U1425" s="55">
        <v>3346.4976999999999</v>
      </c>
      <c r="V1425" s="55">
        <v>5513.8541999999998</v>
      </c>
      <c r="W1425" s="3">
        <v>70</v>
      </c>
    </row>
    <row r="1426" spans="1:23" x14ac:dyDescent="0.35">
      <c r="A1426" s="3" t="s">
        <v>584</v>
      </c>
      <c r="B1426" s="3" t="s">
        <v>585</v>
      </c>
      <c r="C1426" s="3" t="s">
        <v>373</v>
      </c>
      <c r="D1426" s="3" t="s">
        <v>364</v>
      </c>
      <c r="E1426" s="3" t="s">
        <v>365</v>
      </c>
      <c r="F1426" s="3" t="s">
        <v>189</v>
      </c>
      <c r="G1426" s="3" t="s">
        <v>366</v>
      </c>
      <c r="H1426" s="3" t="s">
        <v>28</v>
      </c>
      <c r="I1426" s="3" t="s">
        <v>231</v>
      </c>
      <c r="J1426" s="3" t="s">
        <v>232</v>
      </c>
      <c r="K1426" s="3" t="s">
        <v>33</v>
      </c>
      <c r="L1426" s="3" t="s">
        <v>51</v>
      </c>
      <c r="M1426" s="3" t="s">
        <v>371</v>
      </c>
      <c r="N1426" s="3" t="s">
        <v>372</v>
      </c>
      <c r="O1426" s="3" t="s">
        <v>334</v>
      </c>
      <c r="P1426" s="3" t="s">
        <v>335</v>
      </c>
      <c r="Q1426" s="3" t="s">
        <v>39</v>
      </c>
      <c r="R1426" s="3" t="s">
        <v>40</v>
      </c>
      <c r="S1426" s="55">
        <v>109296.5</v>
      </c>
      <c r="T1426" s="55">
        <v>87499.803100000005</v>
      </c>
      <c r="U1426" s="55">
        <v>7575.9359999999997</v>
      </c>
      <c r="V1426" s="55">
        <v>21796.696899999999</v>
      </c>
      <c r="W1426" s="3">
        <v>80</v>
      </c>
    </row>
    <row r="1427" spans="1:23" x14ac:dyDescent="0.35">
      <c r="A1427" s="3" t="s">
        <v>584</v>
      </c>
      <c r="B1427" s="3" t="s">
        <v>585</v>
      </c>
      <c r="C1427" s="3" t="s">
        <v>374</v>
      </c>
      <c r="D1427" s="3" t="s">
        <v>364</v>
      </c>
      <c r="E1427" s="3" t="s">
        <v>365</v>
      </c>
      <c r="F1427" s="3" t="s">
        <v>189</v>
      </c>
      <c r="G1427" s="3" t="s">
        <v>366</v>
      </c>
      <c r="H1427" s="3" t="s">
        <v>28</v>
      </c>
      <c r="I1427" s="3" t="s">
        <v>231</v>
      </c>
      <c r="J1427" s="3" t="s">
        <v>232</v>
      </c>
      <c r="K1427" s="3" t="s">
        <v>33</v>
      </c>
      <c r="L1427" s="3" t="s">
        <v>51</v>
      </c>
      <c r="M1427" s="3" t="s">
        <v>375</v>
      </c>
      <c r="N1427" s="3" t="s">
        <v>376</v>
      </c>
      <c r="O1427" s="3" t="s">
        <v>197</v>
      </c>
      <c r="P1427" s="3" t="s">
        <v>198</v>
      </c>
      <c r="Q1427" s="3" t="s">
        <v>39</v>
      </c>
      <c r="R1427" s="3" t="s">
        <v>40</v>
      </c>
      <c r="S1427" s="55">
        <v>10386</v>
      </c>
      <c r="T1427" s="55">
        <v>0</v>
      </c>
      <c r="U1427" s="55">
        <v>0</v>
      </c>
      <c r="V1427" s="55">
        <v>10386</v>
      </c>
      <c r="W1427" s="3">
        <v>0</v>
      </c>
    </row>
    <row r="1428" spans="1:23" x14ac:dyDescent="0.35">
      <c r="A1428" s="3" t="s">
        <v>584</v>
      </c>
      <c r="B1428" s="3" t="s">
        <v>585</v>
      </c>
      <c r="C1428" s="3" t="s">
        <v>377</v>
      </c>
      <c r="D1428" s="3" t="s">
        <v>364</v>
      </c>
      <c r="E1428" s="3" t="s">
        <v>365</v>
      </c>
      <c r="F1428" s="3" t="s">
        <v>189</v>
      </c>
      <c r="G1428" s="3" t="s">
        <v>366</v>
      </c>
      <c r="H1428" s="3" t="s">
        <v>28</v>
      </c>
      <c r="I1428" s="3" t="s">
        <v>231</v>
      </c>
      <c r="J1428" s="3" t="s">
        <v>232</v>
      </c>
      <c r="K1428" s="3" t="s">
        <v>33</v>
      </c>
      <c r="L1428" s="3" t="s">
        <v>51</v>
      </c>
      <c r="M1428" s="3" t="s">
        <v>378</v>
      </c>
      <c r="N1428" s="3" t="s">
        <v>549</v>
      </c>
      <c r="O1428" s="3" t="s">
        <v>108</v>
      </c>
      <c r="P1428" s="3" t="s">
        <v>109</v>
      </c>
      <c r="Q1428" s="3" t="s">
        <v>39</v>
      </c>
      <c r="R1428" s="3" t="s">
        <v>40</v>
      </c>
      <c r="S1428" s="55">
        <v>12844.7</v>
      </c>
      <c r="T1428" s="55">
        <v>9809.2000000000007</v>
      </c>
      <c r="U1428" s="55">
        <v>753.77689999999996</v>
      </c>
      <c r="V1428" s="55">
        <v>3035.5</v>
      </c>
      <c r="W1428" s="3">
        <v>76</v>
      </c>
    </row>
    <row r="1429" spans="1:23" x14ac:dyDescent="0.35">
      <c r="A1429" s="3" t="s">
        <v>584</v>
      </c>
      <c r="B1429" s="3" t="s">
        <v>585</v>
      </c>
      <c r="C1429" s="3" t="s">
        <v>380</v>
      </c>
      <c r="D1429" s="3" t="s">
        <v>364</v>
      </c>
      <c r="E1429" s="3" t="s">
        <v>365</v>
      </c>
      <c r="F1429" s="3" t="s">
        <v>189</v>
      </c>
      <c r="G1429" s="3" t="s">
        <v>366</v>
      </c>
      <c r="H1429" s="3" t="s">
        <v>28</v>
      </c>
      <c r="I1429" s="3" t="s">
        <v>231</v>
      </c>
      <c r="J1429" s="3" t="s">
        <v>232</v>
      </c>
      <c r="K1429" s="3" t="s">
        <v>33</v>
      </c>
      <c r="L1429" s="3" t="s">
        <v>51</v>
      </c>
      <c r="M1429" s="3" t="s">
        <v>378</v>
      </c>
      <c r="N1429" s="3" t="s">
        <v>549</v>
      </c>
      <c r="O1429" s="3" t="s">
        <v>334</v>
      </c>
      <c r="P1429" s="3" t="s">
        <v>335</v>
      </c>
      <c r="Q1429" s="3" t="s">
        <v>39</v>
      </c>
      <c r="R1429" s="3" t="s">
        <v>40</v>
      </c>
      <c r="S1429" s="55">
        <v>443478.3</v>
      </c>
      <c r="T1429" s="55">
        <v>336803.04009999998</v>
      </c>
      <c r="U1429" s="55">
        <v>35837.9611</v>
      </c>
      <c r="V1429" s="55">
        <v>106675.2599</v>
      </c>
      <c r="W1429" s="3">
        <v>76</v>
      </c>
    </row>
    <row r="1430" spans="1:23" x14ac:dyDescent="0.35">
      <c r="A1430" s="3" t="s">
        <v>584</v>
      </c>
      <c r="B1430" s="3" t="s">
        <v>585</v>
      </c>
      <c r="C1430" s="3" t="s">
        <v>384</v>
      </c>
      <c r="D1430" s="3" t="s">
        <v>364</v>
      </c>
      <c r="E1430" s="3" t="s">
        <v>365</v>
      </c>
      <c r="F1430" s="3" t="s">
        <v>189</v>
      </c>
      <c r="G1430" s="3" t="s">
        <v>366</v>
      </c>
      <c r="H1430" s="3" t="s">
        <v>28</v>
      </c>
      <c r="I1430" s="3" t="s">
        <v>231</v>
      </c>
      <c r="J1430" s="3" t="s">
        <v>232</v>
      </c>
      <c r="K1430" s="3" t="s">
        <v>33</v>
      </c>
      <c r="L1430" s="3" t="s">
        <v>51</v>
      </c>
      <c r="M1430" s="3" t="s">
        <v>382</v>
      </c>
      <c r="N1430" s="3" t="s">
        <v>383</v>
      </c>
      <c r="O1430" s="3" t="s">
        <v>334</v>
      </c>
      <c r="P1430" s="3" t="s">
        <v>335</v>
      </c>
      <c r="Q1430" s="3" t="s">
        <v>39</v>
      </c>
      <c r="R1430" s="3" t="s">
        <v>40</v>
      </c>
      <c r="S1430" s="55">
        <v>51058.7</v>
      </c>
      <c r="T1430" s="55">
        <v>38039.8102</v>
      </c>
      <c r="U1430" s="55">
        <v>3137.3512999999998</v>
      </c>
      <c r="V1430" s="55">
        <v>13018.889800000001</v>
      </c>
      <c r="W1430" s="3">
        <v>75</v>
      </c>
    </row>
    <row r="1431" spans="1:23" x14ac:dyDescent="0.35">
      <c r="A1431" s="3" t="s">
        <v>584</v>
      </c>
      <c r="B1431" s="3" t="s">
        <v>585</v>
      </c>
      <c r="C1431" s="3" t="s">
        <v>391</v>
      </c>
      <c r="D1431" s="3" t="s">
        <v>392</v>
      </c>
      <c r="E1431" s="3" t="s">
        <v>365</v>
      </c>
      <c r="F1431" s="3" t="s">
        <v>28</v>
      </c>
      <c r="G1431" s="3" t="s">
        <v>393</v>
      </c>
      <c r="H1431" s="3" t="s">
        <v>28</v>
      </c>
      <c r="I1431" s="3" t="s">
        <v>231</v>
      </c>
      <c r="J1431" s="3" t="s">
        <v>232</v>
      </c>
      <c r="K1431" s="3" t="s">
        <v>33</v>
      </c>
      <c r="L1431" s="3" t="s">
        <v>51</v>
      </c>
      <c r="M1431" s="3" t="s">
        <v>394</v>
      </c>
      <c r="N1431" s="3" t="s">
        <v>395</v>
      </c>
      <c r="O1431" s="3" t="s">
        <v>197</v>
      </c>
      <c r="P1431" s="3" t="s">
        <v>198</v>
      </c>
      <c r="Q1431" s="3" t="s">
        <v>39</v>
      </c>
      <c r="R1431" s="3" t="s">
        <v>40</v>
      </c>
      <c r="S1431" s="55">
        <v>48948.800000000003</v>
      </c>
      <c r="T1431" s="55">
        <v>43366.531499999997</v>
      </c>
      <c r="U1431" s="55">
        <v>1461.0685000000001</v>
      </c>
      <c r="V1431" s="55">
        <v>5582.2685000000001</v>
      </c>
      <c r="W1431" s="3">
        <v>89</v>
      </c>
    </row>
    <row r="1432" spans="1:23" x14ac:dyDescent="0.35">
      <c r="A1432" s="3" t="s">
        <v>584</v>
      </c>
      <c r="B1432" s="3" t="s">
        <v>585</v>
      </c>
      <c r="C1432" s="3" t="s">
        <v>550</v>
      </c>
      <c r="D1432" s="3" t="s">
        <v>397</v>
      </c>
      <c r="E1432" s="3" t="s">
        <v>365</v>
      </c>
      <c r="F1432" s="3" t="s">
        <v>318</v>
      </c>
      <c r="G1432" s="3" t="s">
        <v>398</v>
      </c>
      <c r="H1432" s="3" t="s">
        <v>28</v>
      </c>
      <c r="I1432" s="3" t="s">
        <v>231</v>
      </c>
      <c r="J1432" s="3" t="s">
        <v>232</v>
      </c>
      <c r="K1432" s="3" t="s">
        <v>33</v>
      </c>
      <c r="L1432" s="3" t="s">
        <v>51</v>
      </c>
      <c r="M1432" s="3" t="s">
        <v>551</v>
      </c>
      <c r="N1432" s="3" t="s">
        <v>552</v>
      </c>
      <c r="O1432" s="3" t="s">
        <v>108</v>
      </c>
      <c r="P1432" s="3" t="s">
        <v>109</v>
      </c>
      <c r="Q1432" s="3" t="s">
        <v>39</v>
      </c>
      <c r="R1432" s="3" t="s">
        <v>40</v>
      </c>
      <c r="S1432" s="55">
        <v>32359.3</v>
      </c>
      <c r="T1432" s="55">
        <v>16366.5478</v>
      </c>
      <c r="U1432" s="55">
        <v>141.46369999999999</v>
      </c>
      <c r="V1432" s="55">
        <v>15992.752200000001</v>
      </c>
      <c r="W1432" s="3">
        <v>51</v>
      </c>
    </row>
    <row r="1433" spans="1:23" x14ac:dyDescent="0.35">
      <c r="A1433" s="3" t="s">
        <v>584</v>
      </c>
      <c r="B1433" s="3" t="s">
        <v>585</v>
      </c>
      <c r="C1433" s="3" t="s">
        <v>553</v>
      </c>
      <c r="D1433" s="3" t="s">
        <v>404</v>
      </c>
      <c r="E1433" s="3" t="s">
        <v>405</v>
      </c>
      <c r="F1433" s="3" t="s">
        <v>146</v>
      </c>
      <c r="G1433" s="3" t="s">
        <v>406</v>
      </c>
      <c r="H1433" s="3" t="s">
        <v>318</v>
      </c>
      <c r="I1433" s="3" t="s">
        <v>407</v>
      </c>
      <c r="J1433" s="3" t="s">
        <v>554</v>
      </c>
      <c r="K1433" s="3" t="s">
        <v>23</v>
      </c>
      <c r="L1433" s="3" t="s">
        <v>203</v>
      </c>
      <c r="M1433" s="3" t="s">
        <v>555</v>
      </c>
      <c r="N1433" s="3" t="s">
        <v>442</v>
      </c>
      <c r="O1433" s="3" t="s">
        <v>197</v>
      </c>
      <c r="P1433" s="3" t="s">
        <v>198</v>
      </c>
      <c r="Q1433" s="3" t="s">
        <v>39</v>
      </c>
      <c r="R1433" s="3" t="s">
        <v>40</v>
      </c>
      <c r="S1433" s="55">
        <v>9879.5</v>
      </c>
      <c r="T1433" s="55">
        <v>9208.0640999999996</v>
      </c>
      <c r="U1433" s="55">
        <v>0</v>
      </c>
      <c r="V1433" s="55">
        <v>671.43589999999995</v>
      </c>
      <c r="W1433" s="3">
        <v>93</v>
      </c>
    </row>
    <row r="1434" spans="1:23" x14ac:dyDescent="0.35">
      <c r="A1434" s="3" t="s">
        <v>584</v>
      </c>
      <c r="B1434" s="3" t="s">
        <v>585</v>
      </c>
      <c r="C1434" s="3" t="s">
        <v>403</v>
      </c>
      <c r="D1434" s="3" t="s">
        <v>404</v>
      </c>
      <c r="E1434" s="3" t="s">
        <v>405</v>
      </c>
      <c r="F1434" s="3" t="s">
        <v>146</v>
      </c>
      <c r="G1434" s="3" t="s">
        <v>406</v>
      </c>
      <c r="H1434" s="3" t="s">
        <v>318</v>
      </c>
      <c r="I1434" s="3" t="s">
        <v>407</v>
      </c>
      <c r="J1434" s="3" t="s">
        <v>408</v>
      </c>
      <c r="K1434" s="3" t="s">
        <v>33</v>
      </c>
      <c r="L1434" s="3" t="s">
        <v>51</v>
      </c>
      <c r="M1434" s="3" t="s">
        <v>409</v>
      </c>
      <c r="N1434" s="3" t="s">
        <v>410</v>
      </c>
      <c r="O1434" s="3" t="s">
        <v>108</v>
      </c>
      <c r="P1434" s="3" t="s">
        <v>109</v>
      </c>
      <c r="Q1434" s="3" t="s">
        <v>39</v>
      </c>
      <c r="R1434" s="3" t="s">
        <v>40</v>
      </c>
      <c r="S1434" s="55">
        <v>183125.7</v>
      </c>
      <c r="T1434" s="55">
        <v>127048.4216</v>
      </c>
      <c r="U1434" s="55">
        <v>8941.9765000000007</v>
      </c>
      <c r="V1434" s="55">
        <v>56077.278400000003</v>
      </c>
      <c r="W1434" s="3">
        <v>69</v>
      </c>
    </row>
    <row r="1435" spans="1:23" x14ac:dyDescent="0.35">
      <c r="A1435" s="3" t="s">
        <v>584</v>
      </c>
      <c r="B1435" s="3" t="s">
        <v>585</v>
      </c>
      <c r="C1435" s="3" t="s">
        <v>556</v>
      </c>
      <c r="D1435" s="3" t="s">
        <v>412</v>
      </c>
      <c r="E1435" s="3" t="s">
        <v>405</v>
      </c>
      <c r="F1435" s="3" t="s">
        <v>189</v>
      </c>
      <c r="G1435" s="3" t="s">
        <v>413</v>
      </c>
      <c r="H1435" s="3" t="s">
        <v>318</v>
      </c>
      <c r="I1435" s="3" t="s">
        <v>407</v>
      </c>
      <c r="J1435" s="3" t="s">
        <v>554</v>
      </c>
      <c r="K1435" s="3" t="s">
        <v>23</v>
      </c>
      <c r="L1435" s="3" t="s">
        <v>203</v>
      </c>
      <c r="M1435" s="3" t="s">
        <v>557</v>
      </c>
      <c r="N1435" s="3" t="s">
        <v>415</v>
      </c>
      <c r="O1435" s="3" t="s">
        <v>197</v>
      </c>
      <c r="P1435" s="3" t="s">
        <v>198</v>
      </c>
      <c r="Q1435" s="3" t="s">
        <v>39</v>
      </c>
      <c r="R1435" s="3" t="s">
        <v>40</v>
      </c>
      <c r="S1435" s="55">
        <v>3545.6</v>
      </c>
      <c r="T1435" s="55">
        <v>1912.191</v>
      </c>
      <c r="U1435" s="55">
        <v>401.07119999999998</v>
      </c>
      <c r="V1435" s="55">
        <v>1633.4090000000001</v>
      </c>
      <c r="W1435" s="3">
        <v>54</v>
      </c>
    </row>
    <row r="1436" spans="1:23" x14ac:dyDescent="0.35">
      <c r="A1436" s="3" t="s">
        <v>584</v>
      </c>
      <c r="B1436" s="3" t="s">
        <v>585</v>
      </c>
      <c r="C1436" s="3" t="s">
        <v>416</v>
      </c>
      <c r="D1436" s="3" t="s">
        <v>417</v>
      </c>
      <c r="E1436" s="3" t="s">
        <v>405</v>
      </c>
      <c r="F1436" s="3" t="s">
        <v>28</v>
      </c>
      <c r="G1436" s="3" t="s">
        <v>418</v>
      </c>
      <c r="H1436" s="3" t="s">
        <v>318</v>
      </c>
      <c r="I1436" s="3" t="s">
        <v>407</v>
      </c>
      <c r="J1436" s="3" t="s">
        <v>408</v>
      </c>
      <c r="K1436" s="3" t="s">
        <v>33</v>
      </c>
      <c r="L1436" s="3" t="s">
        <v>51</v>
      </c>
      <c r="M1436" s="3" t="s">
        <v>419</v>
      </c>
      <c r="N1436" s="3" t="s">
        <v>420</v>
      </c>
      <c r="O1436" s="3" t="s">
        <v>108</v>
      </c>
      <c r="P1436" s="3" t="s">
        <v>109</v>
      </c>
      <c r="Q1436" s="3" t="s">
        <v>39</v>
      </c>
      <c r="R1436" s="3" t="s">
        <v>40</v>
      </c>
      <c r="S1436" s="55">
        <v>324843.3</v>
      </c>
      <c r="T1436" s="55">
        <v>255204.1519</v>
      </c>
      <c r="U1436" s="55">
        <v>35601.3773</v>
      </c>
      <c r="V1436" s="55">
        <v>69639.148100000006</v>
      </c>
      <c r="W1436" s="3">
        <v>79</v>
      </c>
    </row>
    <row r="1438" spans="1:23" x14ac:dyDescent="0.35">
      <c r="U143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3861-D918-465B-8F61-D1CE7A30CE1A}">
  <sheetPr filterMode="1"/>
  <dimension ref="A1:W971"/>
  <sheetViews>
    <sheetView topLeftCell="A904" zoomScale="34" zoomScaleNormal="34" workbookViewId="0">
      <selection activeCell="U971" sqref="U971"/>
    </sheetView>
  </sheetViews>
  <sheetFormatPr defaultRowHeight="14.5" x14ac:dyDescent="0.35"/>
  <cols>
    <col min="14" max="14" width="80.26953125" customWidth="1"/>
    <col min="19" max="19" width="15" bestFit="1" customWidth="1"/>
    <col min="20" max="20" width="13.90625" bestFit="1" customWidth="1"/>
    <col min="21" max="21" width="25.7265625" bestFit="1" customWidth="1"/>
    <col min="22" max="22" width="14" bestFit="1" customWidth="1"/>
    <col min="23" max="23" width="8.90625" bestFit="1" customWidth="1"/>
    <col min="25" max="25" width="18.26953125" bestFit="1" customWidth="1"/>
    <col min="26" max="26" width="40.08984375" bestFit="1" customWidth="1"/>
    <col min="27" max="27" width="37.7265625" bestFit="1" customWidth="1"/>
    <col min="28" max="28" width="37.1796875" bestFit="1" customWidth="1"/>
  </cols>
  <sheetData>
    <row r="1" spans="1:23" x14ac:dyDescent="0.35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58" t="s">
        <v>12</v>
      </c>
      <c r="N1" s="58" t="s">
        <v>13</v>
      </c>
      <c r="O1" s="58" t="s">
        <v>14</v>
      </c>
      <c r="P1" s="58" t="s">
        <v>15</v>
      </c>
      <c r="Q1" s="58" t="s">
        <v>16</v>
      </c>
      <c r="R1" s="58" t="s">
        <v>17</v>
      </c>
      <c r="S1" s="58" t="s">
        <v>18</v>
      </c>
      <c r="T1" s="58" t="s">
        <v>19</v>
      </c>
      <c r="U1" s="58" t="s">
        <v>20</v>
      </c>
      <c r="V1" s="58" t="s">
        <v>21</v>
      </c>
      <c r="W1" s="58" t="s">
        <v>22</v>
      </c>
    </row>
    <row r="2" spans="1:23" hidden="1" x14ac:dyDescent="0.3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s="1">
        <v>730.5</v>
      </c>
      <c r="T2" s="1">
        <v>0</v>
      </c>
      <c r="U2" s="1">
        <v>0</v>
      </c>
      <c r="V2" s="1">
        <v>730.5</v>
      </c>
      <c r="W2">
        <v>0</v>
      </c>
    </row>
    <row r="3" spans="1:23" hidden="1" x14ac:dyDescent="0.35">
      <c r="A3" t="s">
        <v>23</v>
      </c>
      <c r="B3" t="s">
        <v>24</v>
      </c>
      <c r="C3" t="s">
        <v>41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42</v>
      </c>
      <c r="P3" t="s">
        <v>43</v>
      </c>
      <c r="Q3" t="s">
        <v>39</v>
      </c>
      <c r="R3" t="s">
        <v>40</v>
      </c>
      <c r="S3" s="1">
        <v>32.5</v>
      </c>
      <c r="T3" s="1">
        <v>0</v>
      </c>
      <c r="U3" s="1">
        <v>0</v>
      </c>
      <c r="V3" s="1">
        <v>32.5</v>
      </c>
      <c r="W3">
        <v>0</v>
      </c>
    </row>
    <row r="4" spans="1:23" hidden="1" x14ac:dyDescent="0.35">
      <c r="A4" t="s">
        <v>23</v>
      </c>
      <c r="B4" t="s">
        <v>24</v>
      </c>
      <c r="C4" t="s">
        <v>44</v>
      </c>
      <c r="D4" t="s">
        <v>45</v>
      </c>
      <c r="E4" t="s">
        <v>27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33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39</v>
      </c>
      <c r="R4" t="s">
        <v>40</v>
      </c>
      <c r="S4" s="1">
        <v>67.2</v>
      </c>
      <c r="T4" s="1">
        <v>0</v>
      </c>
      <c r="U4" s="1">
        <v>0</v>
      </c>
      <c r="V4" s="1">
        <v>67.2</v>
      </c>
      <c r="W4">
        <v>0</v>
      </c>
    </row>
    <row r="5" spans="1:23" hidden="1" x14ac:dyDescent="0.35">
      <c r="A5" t="s">
        <v>23</v>
      </c>
      <c r="B5" t="s">
        <v>24</v>
      </c>
      <c r="C5" t="s">
        <v>56</v>
      </c>
      <c r="D5" t="s">
        <v>45</v>
      </c>
      <c r="E5" t="s">
        <v>27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33</v>
      </c>
      <c r="L5" t="s">
        <v>51</v>
      </c>
      <c r="M5" t="s">
        <v>57</v>
      </c>
      <c r="N5" t="s">
        <v>58</v>
      </c>
      <c r="O5" t="s">
        <v>37</v>
      </c>
      <c r="P5" t="s">
        <v>38</v>
      </c>
      <c r="Q5" t="s">
        <v>39</v>
      </c>
      <c r="R5" t="s">
        <v>40</v>
      </c>
      <c r="S5" s="1">
        <v>61.9</v>
      </c>
      <c r="T5" s="1">
        <v>0</v>
      </c>
      <c r="U5" s="1">
        <v>0</v>
      </c>
      <c r="V5" s="1">
        <v>61.9</v>
      </c>
      <c r="W5">
        <v>0</v>
      </c>
    </row>
    <row r="6" spans="1:23" hidden="1" x14ac:dyDescent="0.35">
      <c r="A6" t="s">
        <v>23</v>
      </c>
      <c r="B6" t="s">
        <v>24</v>
      </c>
      <c r="C6" t="s">
        <v>59</v>
      </c>
      <c r="D6" t="s">
        <v>45</v>
      </c>
      <c r="E6" t="s">
        <v>27</v>
      </c>
      <c r="F6" t="s">
        <v>46</v>
      </c>
      <c r="G6" t="s">
        <v>47</v>
      </c>
      <c r="H6" t="s">
        <v>60</v>
      </c>
      <c r="I6" t="s">
        <v>61</v>
      </c>
      <c r="J6" t="s">
        <v>62</v>
      </c>
      <c r="K6" t="s">
        <v>33</v>
      </c>
      <c r="L6" t="s">
        <v>51</v>
      </c>
      <c r="M6" t="s">
        <v>63</v>
      </c>
      <c r="N6" t="s">
        <v>64</v>
      </c>
      <c r="O6" t="s">
        <v>37</v>
      </c>
      <c r="P6" t="s">
        <v>38</v>
      </c>
      <c r="Q6" t="s">
        <v>39</v>
      </c>
      <c r="R6" t="s">
        <v>40</v>
      </c>
      <c r="S6" s="1">
        <v>216.9</v>
      </c>
      <c r="T6" s="1">
        <v>0</v>
      </c>
      <c r="U6" s="1">
        <v>0</v>
      </c>
      <c r="V6" s="1">
        <v>216.9</v>
      </c>
      <c r="W6">
        <v>0</v>
      </c>
    </row>
    <row r="7" spans="1:23" hidden="1" x14ac:dyDescent="0.35">
      <c r="A7" t="s">
        <v>23</v>
      </c>
      <c r="B7" t="s">
        <v>24</v>
      </c>
      <c r="C7" t="s">
        <v>65</v>
      </c>
      <c r="D7" t="s">
        <v>45</v>
      </c>
      <c r="E7" t="s">
        <v>27</v>
      </c>
      <c r="F7" t="s">
        <v>46</v>
      </c>
      <c r="G7" t="s">
        <v>47</v>
      </c>
      <c r="H7" t="s">
        <v>66</v>
      </c>
      <c r="I7" t="s">
        <v>67</v>
      </c>
      <c r="J7" t="s">
        <v>68</v>
      </c>
      <c r="K7" t="s">
        <v>33</v>
      </c>
      <c r="L7" t="s">
        <v>51</v>
      </c>
      <c r="M7" t="s">
        <v>69</v>
      </c>
      <c r="N7" t="s">
        <v>70</v>
      </c>
      <c r="O7" t="s">
        <v>37</v>
      </c>
      <c r="P7" t="s">
        <v>38</v>
      </c>
      <c r="Q7" t="s">
        <v>39</v>
      </c>
      <c r="R7" t="s">
        <v>40</v>
      </c>
      <c r="S7" s="1">
        <v>557.5</v>
      </c>
      <c r="T7" s="1">
        <v>0</v>
      </c>
      <c r="U7" s="1">
        <v>0</v>
      </c>
      <c r="V7" s="1">
        <v>557.5</v>
      </c>
      <c r="W7">
        <v>0</v>
      </c>
    </row>
    <row r="8" spans="1:23" hidden="1" x14ac:dyDescent="0.35">
      <c r="A8" t="s">
        <v>23</v>
      </c>
      <c r="B8" t="s">
        <v>24</v>
      </c>
      <c r="C8" t="s">
        <v>71</v>
      </c>
      <c r="D8" t="s">
        <v>45</v>
      </c>
      <c r="E8" t="s">
        <v>27</v>
      </c>
      <c r="F8" t="s">
        <v>46</v>
      </c>
      <c r="G8" t="s">
        <v>47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72</v>
      </c>
      <c r="N8" t="s">
        <v>73</v>
      </c>
      <c r="O8" t="s">
        <v>74</v>
      </c>
      <c r="P8" t="s">
        <v>75</v>
      </c>
      <c r="Q8" t="s">
        <v>39</v>
      </c>
      <c r="R8" t="s">
        <v>40</v>
      </c>
      <c r="S8" s="1">
        <v>349800.7</v>
      </c>
      <c r="T8" s="1">
        <v>17726.627100000002</v>
      </c>
      <c r="U8" s="1">
        <v>17726.627100000002</v>
      </c>
      <c r="V8" s="1">
        <v>332074.07290000003</v>
      </c>
      <c r="W8">
        <v>5</v>
      </c>
    </row>
    <row r="9" spans="1:23" hidden="1" x14ac:dyDescent="0.35">
      <c r="A9" t="s">
        <v>23</v>
      </c>
      <c r="B9" t="s">
        <v>24</v>
      </c>
      <c r="C9" t="s">
        <v>76</v>
      </c>
      <c r="D9" t="s">
        <v>45</v>
      </c>
      <c r="E9" t="s">
        <v>27</v>
      </c>
      <c r="F9" t="s">
        <v>46</v>
      </c>
      <c r="G9" t="s">
        <v>47</v>
      </c>
      <c r="H9" t="s">
        <v>30</v>
      </c>
      <c r="I9" t="s">
        <v>31</v>
      </c>
      <c r="J9" t="s">
        <v>32</v>
      </c>
      <c r="K9" t="s">
        <v>33</v>
      </c>
      <c r="L9" t="s">
        <v>34</v>
      </c>
      <c r="M9" t="s">
        <v>72</v>
      </c>
      <c r="N9" t="s">
        <v>73</v>
      </c>
      <c r="O9" t="s">
        <v>77</v>
      </c>
      <c r="P9" t="s">
        <v>78</v>
      </c>
      <c r="Q9" t="s">
        <v>39</v>
      </c>
      <c r="R9" t="s">
        <v>40</v>
      </c>
      <c r="S9" s="1">
        <v>140.5</v>
      </c>
      <c r="T9" s="1">
        <v>0.47899999999999998</v>
      </c>
      <c r="U9" s="1">
        <v>0.47899999999999998</v>
      </c>
      <c r="V9" s="1">
        <v>140.02099999999999</v>
      </c>
      <c r="W9">
        <v>0</v>
      </c>
    </row>
    <row r="10" spans="1:23" hidden="1" x14ac:dyDescent="0.35">
      <c r="A10" t="s">
        <v>23</v>
      </c>
      <c r="B10" t="s">
        <v>24</v>
      </c>
      <c r="C10" t="s">
        <v>79</v>
      </c>
      <c r="D10" t="s">
        <v>45</v>
      </c>
      <c r="E10" t="s">
        <v>27</v>
      </c>
      <c r="F10" t="s">
        <v>46</v>
      </c>
      <c r="G10" t="s">
        <v>47</v>
      </c>
      <c r="H10" t="s">
        <v>30</v>
      </c>
      <c r="I10" t="s">
        <v>31</v>
      </c>
      <c r="J10" t="s">
        <v>32</v>
      </c>
      <c r="K10" t="s">
        <v>33</v>
      </c>
      <c r="L10" t="s">
        <v>34</v>
      </c>
      <c r="M10" t="s">
        <v>72</v>
      </c>
      <c r="N10" t="s">
        <v>73</v>
      </c>
      <c r="O10" t="s">
        <v>80</v>
      </c>
      <c r="P10" t="s">
        <v>81</v>
      </c>
      <c r="Q10" t="s">
        <v>39</v>
      </c>
      <c r="R10" t="s">
        <v>40</v>
      </c>
      <c r="S10" s="1">
        <v>105260</v>
      </c>
      <c r="T10" s="1">
        <v>8070.1103999999996</v>
      </c>
      <c r="U10" s="1">
        <v>8070.1103999999996</v>
      </c>
      <c r="V10" s="1">
        <v>97189.889599999995</v>
      </c>
      <c r="W10">
        <v>8</v>
      </c>
    </row>
    <row r="11" spans="1:23" hidden="1" x14ac:dyDescent="0.35">
      <c r="A11" t="s">
        <v>23</v>
      </c>
      <c r="B11" t="s">
        <v>24</v>
      </c>
      <c r="C11" t="s">
        <v>82</v>
      </c>
      <c r="D11" t="s">
        <v>45</v>
      </c>
      <c r="E11" t="s">
        <v>27</v>
      </c>
      <c r="F11" t="s">
        <v>46</v>
      </c>
      <c r="G11" t="s">
        <v>47</v>
      </c>
      <c r="H11" t="s">
        <v>30</v>
      </c>
      <c r="I11" t="s">
        <v>31</v>
      </c>
      <c r="J11" t="s">
        <v>32</v>
      </c>
      <c r="K11" t="s">
        <v>33</v>
      </c>
      <c r="L11" t="s">
        <v>34</v>
      </c>
      <c r="M11" t="s">
        <v>72</v>
      </c>
      <c r="N11" t="s">
        <v>73</v>
      </c>
      <c r="O11" t="s">
        <v>83</v>
      </c>
      <c r="P11" t="s">
        <v>84</v>
      </c>
      <c r="Q11" t="s">
        <v>39</v>
      </c>
      <c r="R11" t="s">
        <v>40</v>
      </c>
      <c r="S11" s="1">
        <v>300</v>
      </c>
      <c r="T11" s="1">
        <v>0</v>
      </c>
      <c r="U11" s="1">
        <v>0</v>
      </c>
      <c r="V11" s="1">
        <v>300</v>
      </c>
      <c r="W11">
        <v>0</v>
      </c>
    </row>
    <row r="12" spans="1:23" hidden="1" x14ac:dyDescent="0.35">
      <c r="A12" t="s">
        <v>23</v>
      </c>
      <c r="B12" t="s">
        <v>24</v>
      </c>
      <c r="C12" t="s">
        <v>85</v>
      </c>
      <c r="D12" t="s">
        <v>45</v>
      </c>
      <c r="E12" t="s">
        <v>27</v>
      </c>
      <c r="F12" t="s">
        <v>46</v>
      </c>
      <c r="G12" t="s">
        <v>47</v>
      </c>
      <c r="H12" t="s">
        <v>30</v>
      </c>
      <c r="I12" t="s">
        <v>31</v>
      </c>
      <c r="J12" t="s">
        <v>32</v>
      </c>
      <c r="K12" t="s">
        <v>33</v>
      </c>
      <c r="L12" t="s">
        <v>34</v>
      </c>
      <c r="M12" t="s">
        <v>72</v>
      </c>
      <c r="N12" t="s">
        <v>73</v>
      </c>
      <c r="O12" t="s">
        <v>86</v>
      </c>
      <c r="P12" t="s">
        <v>87</v>
      </c>
      <c r="Q12" t="s">
        <v>39</v>
      </c>
      <c r="R12" t="s">
        <v>40</v>
      </c>
      <c r="S12" s="1">
        <v>856.8</v>
      </c>
      <c r="T12" s="1">
        <v>0</v>
      </c>
      <c r="U12" s="1">
        <v>0</v>
      </c>
      <c r="V12" s="1">
        <v>856.8</v>
      </c>
      <c r="W12">
        <v>0</v>
      </c>
    </row>
    <row r="13" spans="1:23" hidden="1" x14ac:dyDescent="0.35">
      <c r="A13" t="s">
        <v>23</v>
      </c>
      <c r="B13" t="s">
        <v>24</v>
      </c>
      <c r="C13" t="s">
        <v>88</v>
      </c>
      <c r="D13" t="s">
        <v>45</v>
      </c>
      <c r="E13" t="s">
        <v>27</v>
      </c>
      <c r="F13" t="s">
        <v>46</v>
      </c>
      <c r="G13" t="s">
        <v>47</v>
      </c>
      <c r="H13" t="s">
        <v>30</v>
      </c>
      <c r="I13" t="s">
        <v>31</v>
      </c>
      <c r="J13" t="s">
        <v>32</v>
      </c>
      <c r="K13" t="s">
        <v>33</v>
      </c>
      <c r="L13" t="s">
        <v>34</v>
      </c>
      <c r="M13" t="s">
        <v>72</v>
      </c>
      <c r="N13" t="s">
        <v>73</v>
      </c>
      <c r="O13" t="s">
        <v>37</v>
      </c>
      <c r="P13" t="s">
        <v>38</v>
      </c>
      <c r="Q13" t="s">
        <v>39</v>
      </c>
      <c r="R13" t="s">
        <v>40</v>
      </c>
      <c r="S13" s="1">
        <v>99604.1</v>
      </c>
      <c r="T13" s="1">
        <v>849.04970000000003</v>
      </c>
      <c r="U13" s="1">
        <v>849.04970000000003</v>
      </c>
      <c r="V13" s="1">
        <v>98755.050300000003</v>
      </c>
      <c r="W13">
        <v>1</v>
      </c>
    </row>
    <row r="14" spans="1:23" hidden="1" x14ac:dyDescent="0.35">
      <c r="A14" t="s">
        <v>23</v>
      </c>
      <c r="B14" t="s">
        <v>24</v>
      </c>
      <c r="C14" t="s">
        <v>89</v>
      </c>
      <c r="D14" t="s">
        <v>45</v>
      </c>
      <c r="E14" t="s">
        <v>27</v>
      </c>
      <c r="F14" t="s">
        <v>46</v>
      </c>
      <c r="G14" t="s">
        <v>47</v>
      </c>
      <c r="H14" t="s">
        <v>30</v>
      </c>
      <c r="I14" t="s">
        <v>31</v>
      </c>
      <c r="J14" t="s">
        <v>32</v>
      </c>
      <c r="K14" t="s">
        <v>33</v>
      </c>
      <c r="L14" t="s">
        <v>34</v>
      </c>
      <c r="M14" t="s">
        <v>72</v>
      </c>
      <c r="N14" t="s">
        <v>73</v>
      </c>
      <c r="O14" t="s">
        <v>42</v>
      </c>
      <c r="P14" t="s">
        <v>43</v>
      </c>
      <c r="Q14" t="s">
        <v>39</v>
      </c>
      <c r="R14" t="s">
        <v>40</v>
      </c>
      <c r="S14" s="1">
        <v>16962</v>
      </c>
      <c r="T14" s="1">
        <v>436.6336</v>
      </c>
      <c r="U14" s="1">
        <v>436.6336</v>
      </c>
      <c r="V14" s="1">
        <v>16525.366399999999</v>
      </c>
      <c r="W14">
        <v>3</v>
      </c>
    </row>
    <row r="15" spans="1:23" hidden="1" x14ac:dyDescent="0.35">
      <c r="A15" t="s">
        <v>23</v>
      </c>
      <c r="B15" t="s">
        <v>24</v>
      </c>
      <c r="C15" t="s">
        <v>90</v>
      </c>
      <c r="D15" t="s">
        <v>45</v>
      </c>
      <c r="E15" t="s">
        <v>27</v>
      </c>
      <c r="F15" t="s">
        <v>46</v>
      </c>
      <c r="G15" t="s">
        <v>47</v>
      </c>
      <c r="H15" t="s">
        <v>30</v>
      </c>
      <c r="I15" t="s">
        <v>31</v>
      </c>
      <c r="J15" t="s">
        <v>32</v>
      </c>
      <c r="K15" t="s">
        <v>33</v>
      </c>
      <c r="L15" t="s">
        <v>34</v>
      </c>
      <c r="M15" t="s">
        <v>72</v>
      </c>
      <c r="N15" t="s">
        <v>73</v>
      </c>
      <c r="O15" t="s">
        <v>91</v>
      </c>
      <c r="P15" t="s">
        <v>92</v>
      </c>
      <c r="Q15" t="s">
        <v>39</v>
      </c>
      <c r="R15" t="s">
        <v>40</v>
      </c>
      <c r="S15" s="1">
        <v>4.5</v>
      </c>
      <c r="T15" s="1">
        <v>0</v>
      </c>
      <c r="U15" s="1">
        <v>0</v>
      </c>
      <c r="V15" s="1">
        <v>4.5</v>
      </c>
      <c r="W15">
        <v>0</v>
      </c>
    </row>
    <row r="16" spans="1:23" hidden="1" x14ac:dyDescent="0.35">
      <c r="A16" t="s">
        <v>23</v>
      </c>
      <c r="B16" t="s">
        <v>24</v>
      </c>
      <c r="C16" t="s">
        <v>93</v>
      </c>
      <c r="D16" t="s">
        <v>45</v>
      </c>
      <c r="E16" t="s">
        <v>27</v>
      </c>
      <c r="F16" t="s">
        <v>46</v>
      </c>
      <c r="G16" t="s">
        <v>47</v>
      </c>
      <c r="H16" t="s">
        <v>30</v>
      </c>
      <c r="I16" t="s">
        <v>31</v>
      </c>
      <c r="J16" t="s">
        <v>32</v>
      </c>
      <c r="K16" t="s">
        <v>33</v>
      </c>
      <c r="L16" t="s">
        <v>34</v>
      </c>
      <c r="M16" t="s">
        <v>94</v>
      </c>
      <c r="N16" t="s">
        <v>95</v>
      </c>
      <c r="O16" t="s">
        <v>96</v>
      </c>
      <c r="P16" t="s">
        <v>97</v>
      </c>
      <c r="Q16" t="s">
        <v>39</v>
      </c>
      <c r="R16" t="s">
        <v>40</v>
      </c>
      <c r="S16" s="1">
        <v>216958.1</v>
      </c>
      <c r="T16" s="1">
        <v>12450.326800000001</v>
      </c>
      <c r="U16" s="1">
        <v>12450.326800000001</v>
      </c>
      <c r="V16" s="1">
        <v>204507.7732</v>
      </c>
      <c r="W16">
        <v>6</v>
      </c>
    </row>
    <row r="17" spans="1:23" hidden="1" x14ac:dyDescent="0.35">
      <c r="A17" t="s">
        <v>23</v>
      </c>
      <c r="B17" t="s">
        <v>24</v>
      </c>
      <c r="C17" t="s">
        <v>98</v>
      </c>
      <c r="D17" t="s">
        <v>45</v>
      </c>
      <c r="E17" t="s">
        <v>27</v>
      </c>
      <c r="F17" t="s">
        <v>46</v>
      </c>
      <c r="G17" t="s">
        <v>47</v>
      </c>
      <c r="H17" t="s">
        <v>30</v>
      </c>
      <c r="I17" t="s">
        <v>31</v>
      </c>
      <c r="J17" t="s">
        <v>32</v>
      </c>
      <c r="K17" t="s">
        <v>33</v>
      </c>
      <c r="L17" t="s">
        <v>34</v>
      </c>
      <c r="M17" t="s">
        <v>94</v>
      </c>
      <c r="N17" t="s">
        <v>95</v>
      </c>
      <c r="O17" t="s">
        <v>99</v>
      </c>
      <c r="P17" t="s">
        <v>100</v>
      </c>
      <c r="Q17" t="s">
        <v>39</v>
      </c>
      <c r="R17" t="s">
        <v>40</v>
      </c>
      <c r="S17" s="1">
        <v>65400.7</v>
      </c>
      <c r="T17" s="1">
        <v>1676.4362000000001</v>
      </c>
      <c r="U17" s="1">
        <v>1676.4362000000001</v>
      </c>
      <c r="V17" s="1">
        <v>63724.263800000001</v>
      </c>
      <c r="W17">
        <v>3</v>
      </c>
    </row>
    <row r="18" spans="1:23" hidden="1" x14ac:dyDescent="0.35">
      <c r="A18" t="s">
        <v>23</v>
      </c>
      <c r="B18" t="s">
        <v>24</v>
      </c>
      <c r="C18" t="s">
        <v>101</v>
      </c>
      <c r="D18" t="s">
        <v>45</v>
      </c>
      <c r="E18" t="s">
        <v>27</v>
      </c>
      <c r="F18" t="s">
        <v>46</v>
      </c>
      <c r="G18" t="s">
        <v>47</v>
      </c>
      <c r="H18" t="s">
        <v>30</v>
      </c>
      <c r="I18" t="s">
        <v>31</v>
      </c>
      <c r="J18" t="s">
        <v>32</v>
      </c>
      <c r="K18" t="s">
        <v>33</v>
      </c>
      <c r="L18" t="s">
        <v>34</v>
      </c>
      <c r="M18" t="s">
        <v>94</v>
      </c>
      <c r="N18" t="s">
        <v>95</v>
      </c>
      <c r="O18" t="s">
        <v>37</v>
      </c>
      <c r="P18" t="s">
        <v>38</v>
      </c>
      <c r="Q18" t="s">
        <v>39</v>
      </c>
      <c r="R18" t="s">
        <v>40</v>
      </c>
      <c r="S18" s="1">
        <v>4394</v>
      </c>
      <c r="T18" s="1">
        <v>14.3294</v>
      </c>
      <c r="U18" s="1">
        <v>14.3294</v>
      </c>
      <c r="V18" s="1">
        <v>4379.6706000000004</v>
      </c>
      <c r="W18">
        <v>0</v>
      </c>
    </row>
    <row r="19" spans="1:23" hidden="1" x14ac:dyDescent="0.35">
      <c r="A19" t="s">
        <v>23</v>
      </c>
      <c r="B19" t="s">
        <v>24</v>
      </c>
      <c r="C19" t="s">
        <v>102</v>
      </c>
      <c r="D19" t="s">
        <v>45</v>
      </c>
      <c r="E19" t="s">
        <v>27</v>
      </c>
      <c r="F19" t="s">
        <v>46</v>
      </c>
      <c r="G19" t="s">
        <v>47</v>
      </c>
      <c r="H19" t="s">
        <v>30</v>
      </c>
      <c r="I19" t="s">
        <v>31</v>
      </c>
      <c r="J19" t="s">
        <v>32</v>
      </c>
      <c r="K19" t="s">
        <v>33</v>
      </c>
      <c r="L19" t="s">
        <v>34</v>
      </c>
      <c r="M19" t="s">
        <v>94</v>
      </c>
      <c r="N19" t="s">
        <v>95</v>
      </c>
      <c r="O19" t="s">
        <v>103</v>
      </c>
      <c r="P19" t="s">
        <v>104</v>
      </c>
      <c r="Q19" t="s">
        <v>39</v>
      </c>
      <c r="R19" t="s">
        <v>40</v>
      </c>
      <c r="S19" s="1">
        <v>3.7</v>
      </c>
      <c r="T19" s="1">
        <v>0</v>
      </c>
      <c r="U19" s="1">
        <v>0</v>
      </c>
      <c r="V19" s="1">
        <v>3.7</v>
      </c>
      <c r="W19">
        <v>0</v>
      </c>
    </row>
    <row r="20" spans="1:23" hidden="1" x14ac:dyDescent="0.35">
      <c r="A20" t="s">
        <v>23</v>
      </c>
      <c r="B20" t="s">
        <v>24</v>
      </c>
      <c r="C20" t="s">
        <v>105</v>
      </c>
      <c r="D20" t="s">
        <v>45</v>
      </c>
      <c r="E20" t="s">
        <v>27</v>
      </c>
      <c r="F20" t="s">
        <v>46</v>
      </c>
      <c r="G20" t="s">
        <v>47</v>
      </c>
      <c r="H20" t="s">
        <v>30</v>
      </c>
      <c r="I20" t="s">
        <v>31</v>
      </c>
      <c r="J20" t="s">
        <v>32</v>
      </c>
      <c r="K20" t="s">
        <v>33</v>
      </c>
      <c r="L20" t="s">
        <v>34</v>
      </c>
      <c r="M20" t="s">
        <v>106</v>
      </c>
      <c r="N20" t="s">
        <v>107</v>
      </c>
      <c r="O20" t="s">
        <v>108</v>
      </c>
      <c r="P20" t="s">
        <v>109</v>
      </c>
      <c r="Q20" t="s">
        <v>39</v>
      </c>
      <c r="R20" t="s">
        <v>40</v>
      </c>
      <c r="S20" s="1">
        <v>81533.600000000006</v>
      </c>
      <c r="T20" s="1">
        <v>3718.3627000000001</v>
      </c>
      <c r="U20" s="1">
        <v>3718.3627000000001</v>
      </c>
      <c r="V20" s="1">
        <v>77815.237299999993</v>
      </c>
      <c r="W20">
        <v>5</v>
      </c>
    </row>
    <row r="21" spans="1:23" hidden="1" x14ac:dyDescent="0.35">
      <c r="A21" t="s">
        <v>23</v>
      </c>
      <c r="B21" t="s">
        <v>24</v>
      </c>
      <c r="C21" t="s">
        <v>110</v>
      </c>
      <c r="D21" t="s">
        <v>45</v>
      </c>
      <c r="E21" t="s">
        <v>27</v>
      </c>
      <c r="F21" t="s">
        <v>46</v>
      </c>
      <c r="G21" t="s">
        <v>47</v>
      </c>
      <c r="H21" t="s">
        <v>30</v>
      </c>
      <c r="I21" t="s">
        <v>31</v>
      </c>
      <c r="J21" t="s">
        <v>32</v>
      </c>
      <c r="K21" t="s">
        <v>33</v>
      </c>
      <c r="L21" t="s">
        <v>34</v>
      </c>
      <c r="M21" t="s">
        <v>111</v>
      </c>
      <c r="N21" t="s">
        <v>112</v>
      </c>
      <c r="O21" t="s">
        <v>37</v>
      </c>
      <c r="P21" t="s">
        <v>38</v>
      </c>
      <c r="Q21" t="s">
        <v>39</v>
      </c>
      <c r="R21" t="s">
        <v>40</v>
      </c>
      <c r="S21" s="1">
        <v>6933</v>
      </c>
      <c r="T21" s="1">
        <v>498.66660000000002</v>
      </c>
      <c r="U21" s="1">
        <v>498.66660000000002</v>
      </c>
      <c r="V21" s="1">
        <v>6434.3334000000004</v>
      </c>
      <c r="W21">
        <v>7</v>
      </c>
    </row>
    <row r="22" spans="1:23" hidden="1" x14ac:dyDescent="0.35">
      <c r="A22" t="s">
        <v>23</v>
      </c>
      <c r="B22" t="s">
        <v>24</v>
      </c>
      <c r="C22" t="s">
        <v>113</v>
      </c>
      <c r="D22" t="s">
        <v>114</v>
      </c>
      <c r="E22" t="s">
        <v>115</v>
      </c>
      <c r="F22" t="s">
        <v>116</v>
      </c>
      <c r="G22" t="s">
        <v>117</v>
      </c>
      <c r="H22" t="s">
        <v>48</v>
      </c>
      <c r="I22" t="s">
        <v>49</v>
      </c>
      <c r="J22" t="s">
        <v>50</v>
      </c>
      <c r="K22" t="s">
        <v>33</v>
      </c>
      <c r="L22" t="s">
        <v>51</v>
      </c>
      <c r="M22" t="s">
        <v>118</v>
      </c>
      <c r="N22" t="s">
        <v>119</v>
      </c>
      <c r="O22" t="s">
        <v>37</v>
      </c>
      <c r="P22" t="s">
        <v>38</v>
      </c>
      <c r="Q22" t="s">
        <v>39</v>
      </c>
      <c r="R22" t="s">
        <v>40</v>
      </c>
      <c r="S22" s="1">
        <v>7193.2</v>
      </c>
      <c r="T22" s="1">
        <v>0</v>
      </c>
      <c r="U22" s="1">
        <v>0</v>
      </c>
      <c r="V22" s="1">
        <v>7193.2</v>
      </c>
      <c r="W22">
        <v>0</v>
      </c>
    </row>
    <row r="23" spans="1:23" hidden="1" x14ac:dyDescent="0.35">
      <c r="A23" t="s">
        <v>23</v>
      </c>
      <c r="B23" t="s">
        <v>24</v>
      </c>
      <c r="C23" t="s">
        <v>120</v>
      </c>
      <c r="D23" t="s">
        <v>114</v>
      </c>
      <c r="E23" t="s">
        <v>115</v>
      </c>
      <c r="F23" t="s">
        <v>116</v>
      </c>
      <c r="G23" t="s">
        <v>117</v>
      </c>
      <c r="H23" t="s">
        <v>48</v>
      </c>
      <c r="I23" t="s">
        <v>49</v>
      </c>
      <c r="J23" t="s">
        <v>50</v>
      </c>
      <c r="K23" t="s">
        <v>33</v>
      </c>
      <c r="L23" t="s">
        <v>51</v>
      </c>
      <c r="M23" t="s">
        <v>118</v>
      </c>
      <c r="N23" t="s">
        <v>119</v>
      </c>
      <c r="O23" t="s">
        <v>42</v>
      </c>
      <c r="P23" t="s">
        <v>43</v>
      </c>
      <c r="Q23" t="s">
        <v>39</v>
      </c>
      <c r="R23" t="s">
        <v>40</v>
      </c>
      <c r="S23" s="1">
        <v>9131.9</v>
      </c>
      <c r="T23" s="1">
        <v>0</v>
      </c>
      <c r="U23" s="1">
        <v>0</v>
      </c>
      <c r="V23" s="1">
        <v>9131.9</v>
      </c>
      <c r="W23">
        <v>0</v>
      </c>
    </row>
    <row r="24" spans="1:23" hidden="1" x14ac:dyDescent="0.35">
      <c r="A24" t="s">
        <v>23</v>
      </c>
      <c r="B24" t="s">
        <v>24</v>
      </c>
      <c r="C24" t="s">
        <v>121</v>
      </c>
      <c r="D24" t="s">
        <v>114</v>
      </c>
      <c r="E24" t="s">
        <v>115</v>
      </c>
      <c r="F24" t="s">
        <v>116</v>
      </c>
      <c r="G24" t="s">
        <v>117</v>
      </c>
      <c r="H24" t="s">
        <v>48</v>
      </c>
      <c r="I24" t="s">
        <v>49</v>
      </c>
      <c r="J24" t="s">
        <v>50</v>
      </c>
      <c r="K24" t="s">
        <v>33</v>
      </c>
      <c r="L24" t="s">
        <v>51</v>
      </c>
      <c r="M24" t="s">
        <v>118</v>
      </c>
      <c r="N24" t="s">
        <v>119</v>
      </c>
      <c r="O24" t="s">
        <v>122</v>
      </c>
      <c r="P24" t="s">
        <v>123</v>
      </c>
      <c r="Q24" t="s">
        <v>39</v>
      </c>
      <c r="R24" t="s">
        <v>40</v>
      </c>
      <c r="S24" s="1">
        <v>7025.2</v>
      </c>
      <c r="T24" s="1">
        <v>0</v>
      </c>
      <c r="U24" s="1">
        <v>0</v>
      </c>
      <c r="V24" s="1">
        <v>7025.2</v>
      </c>
      <c r="W24">
        <v>0</v>
      </c>
    </row>
    <row r="25" spans="1:23" hidden="1" x14ac:dyDescent="0.35">
      <c r="A25" t="s">
        <v>23</v>
      </c>
      <c r="B25" t="s">
        <v>24</v>
      </c>
      <c r="C25" t="s">
        <v>124</v>
      </c>
      <c r="D25" t="s">
        <v>114</v>
      </c>
      <c r="E25" t="s">
        <v>115</v>
      </c>
      <c r="F25" t="s">
        <v>116</v>
      </c>
      <c r="G25" t="s">
        <v>117</v>
      </c>
      <c r="H25" t="s">
        <v>48</v>
      </c>
      <c r="I25" t="s">
        <v>49</v>
      </c>
      <c r="J25" t="s">
        <v>50</v>
      </c>
      <c r="K25" t="s">
        <v>33</v>
      </c>
      <c r="L25" t="s">
        <v>51</v>
      </c>
      <c r="M25" t="s">
        <v>118</v>
      </c>
      <c r="N25" t="s">
        <v>119</v>
      </c>
      <c r="O25" t="s">
        <v>125</v>
      </c>
      <c r="P25" t="s">
        <v>126</v>
      </c>
      <c r="Q25" t="s">
        <v>39</v>
      </c>
      <c r="R25" t="s">
        <v>40</v>
      </c>
      <c r="S25" s="1">
        <v>3050</v>
      </c>
      <c r="T25" s="1">
        <v>0</v>
      </c>
      <c r="U25" s="1">
        <v>0</v>
      </c>
      <c r="V25" s="1">
        <v>3050</v>
      </c>
      <c r="W25">
        <v>0</v>
      </c>
    </row>
    <row r="26" spans="1:23" hidden="1" x14ac:dyDescent="0.35">
      <c r="A26" t="s">
        <v>23</v>
      </c>
      <c r="B26" t="s">
        <v>24</v>
      </c>
      <c r="C26" t="s">
        <v>127</v>
      </c>
      <c r="D26" t="s">
        <v>114</v>
      </c>
      <c r="E26" t="s">
        <v>115</v>
      </c>
      <c r="F26" t="s">
        <v>116</v>
      </c>
      <c r="G26" t="s">
        <v>117</v>
      </c>
      <c r="H26" t="s">
        <v>48</v>
      </c>
      <c r="I26" t="s">
        <v>49</v>
      </c>
      <c r="J26" t="s">
        <v>50</v>
      </c>
      <c r="K26" t="s">
        <v>33</v>
      </c>
      <c r="L26" t="s">
        <v>51</v>
      </c>
      <c r="M26" t="s">
        <v>128</v>
      </c>
      <c r="N26" t="s">
        <v>129</v>
      </c>
      <c r="O26" t="s">
        <v>86</v>
      </c>
      <c r="P26" t="s">
        <v>87</v>
      </c>
      <c r="Q26" t="s">
        <v>39</v>
      </c>
      <c r="R26" t="s">
        <v>40</v>
      </c>
      <c r="S26" s="1">
        <v>33821.9</v>
      </c>
      <c r="T26" s="1">
        <v>0</v>
      </c>
      <c r="U26" s="1">
        <v>0</v>
      </c>
      <c r="V26" s="1">
        <v>33821.9</v>
      </c>
      <c r="W26">
        <v>0</v>
      </c>
    </row>
    <row r="27" spans="1:23" hidden="1" x14ac:dyDescent="0.35">
      <c r="A27" t="s">
        <v>23</v>
      </c>
      <c r="B27" t="s">
        <v>24</v>
      </c>
      <c r="C27" t="s">
        <v>130</v>
      </c>
      <c r="D27" t="s">
        <v>131</v>
      </c>
      <c r="E27" t="s">
        <v>115</v>
      </c>
      <c r="F27" t="s">
        <v>132</v>
      </c>
      <c r="G27" t="s">
        <v>133</v>
      </c>
      <c r="H27" t="s">
        <v>48</v>
      </c>
      <c r="I27" t="s">
        <v>49</v>
      </c>
      <c r="J27" t="s">
        <v>50</v>
      </c>
      <c r="K27" t="s">
        <v>33</v>
      </c>
      <c r="L27" t="s">
        <v>51</v>
      </c>
      <c r="M27" t="s">
        <v>134</v>
      </c>
      <c r="N27" t="s">
        <v>135</v>
      </c>
      <c r="O27" t="s">
        <v>37</v>
      </c>
      <c r="P27" t="s">
        <v>38</v>
      </c>
      <c r="Q27" t="s">
        <v>39</v>
      </c>
      <c r="R27" t="s">
        <v>40</v>
      </c>
      <c r="S27" s="1">
        <v>23.1</v>
      </c>
      <c r="T27" s="1">
        <v>0</v>
      </c>
      <c r="U27" s="1">
        <v>0</v>
      </c>
      <c r="V27" s="1">
        <v>23.1</v>
      </c>
      <c r="W27">
        <v>0</v>
      </c>
    </row>
    <row r="28" spans="1:23" hidden="1" x14ac:dyDescent="0.35">
      <c r="A28" t="s">
        <v>23</v>
      </c>
      <c r="B28" t="s">
        <v>24</v>
      </c>
      <c r="C28" t="s">
        <v>136</v>
      </c>
      <c r="D28" t="s">
        <v>137</v>
      </c>
      <c r="E28" t="s">
        <v>138</v>
      </c>
      <c r="F28" t="s">
        <v>139</v>
      </c>
      <c r="G28" t="s">
        <v>140</v>
      </c>
      <c r="H28" t="s">
        <v>30</v>
      </c>
      <c r="I28" t="s">
        <v>31</v>
      </c>
      <c r="J28" t="s">
        <v>32</v>
      </c>
      <c r="K28" t="s">
        <v>33</v>
      </c>
      <c r="L28" t="s">
        <v>34</v>
      </c>
      <c r="M28" t="s">
        <v>141</v>
      </c>
      <c r="N28" t="s">
        <v>142</v>
      </c>
      <c r="O28" t="s">
        <v>83</v>
      </c>
      <c r="P28" t="s">
        <v>84</v>
      </c>
      <c r="Q28" t="s">
        <v>39</v>
      </c>
      <c r="R28" t="s">
        <v>40</v>
      </c>
      <c r="S28" s="1">
        <v>5651.9</v>
      </c>
      <c r="T28" s="1">
        <v>78.907399999999996</v>
      </c>
      <c r="U28" s="1">
        <v>78.907399999999996</v>
      </c>
      <c r="V28" s="1">
        <v>5572.9925999999996</v>
      </c>
      <c r="W28">
        <v>1</v>
      </c>
    </row>
    <row r="29" spans="1:23" hidden="1" x14ac:dyDescent="0.35">
      <c r="A29" t="s">
        <v>23</v>
      </c>
      <c r="B29" t="s">
        <v>24</v>
      </c>
      <c r="C29" t="s">
        <v>143</v>
      </c>
      <c r="D29" t="s">
        <v>144</v>
      </c>
      <c r="E29" t="s">
        <v>145</v>
      </c>
      <c r="F29" t="s">
        <v>146</v>
      </c>
      <c r="G29" t="s">
        <v>147</v>
      </c>
      <c r="H29" t="s">
        <v>116</v>
      </c>
      <c r="I29" t="s">
        <v>148</v>
      </c>
      <c r="J29" t="s">
        <v>149</v>
      </c>
      <c r="K29" t="s">
        <v>33</v>
      </c>
      <c r="L29" t="s">
        <v>34</v>
      </c>
      <c r="M29" t="s">
        <v>150</v>
      </c>
      <c r="N29" t="s">
        <v>151</v>
      </c>
      <c r="O29" t="s">
        <v>37</v>
      </c>
      <c r="P29" t="s">
        <v>38</v>
      </c>
      <c r="Q29" t="s">
        <v>39</v>
      </c>
      <c r="R29" t="s">
        <v>40</v>
      </c>
      <c r="S29" s="1">
        <v>5465.8</v>
      </c>
      <c r="T29" s="1">
        <v>0</v>
      </c>
      <c r="U29" s="1">
        <v>0</v>
      </c>
      <c r="V29" s="1">
        <v>5465.8</v>
      </c>
      <c r="W29">
        <v>0</v>
      </c>
    </row>
    <row r="30" spans="1:23" hidden="1" x14ac:dyDescent="0.35">
      <c r="A30" t="s">
        <v>23</v>
      </c>
      <c r="B30" t="s">
        <v>24</v>
      </c>
      <c r="C30" t="s">
        <v>152</v>
      </c>
      <c r="D30" t="s">
        <v>144</v>
      </c>
      <c r="E30" t="s">
        <v>145</v>
      </c>
      <c r="F30" t="s">
        <v>146</v>
      </c>
      <c r="G30" t="s">
        <v>147</v>
      </c>
      <c r="H30" t="s">
        <v>116</v>
      </c>
      <c r="I30" t="s">
        <v>148</v>
      </c>
      <c r="J30" t="s">
        <v>149</v>
      </c>
      <c r="K30" t="s">
        <v>33</v>
      </c>
      <c r="L30" t="s">
        <v>34</v>
      </c>
      <c r="M30" t="s">
        <v>153</v>
      </c>
      <c r="N30" t="s">
        <v>154</v>
      </c>
      <c r="O30" t="s">
        <v>37</v>
      </c>
      <c r="P30" t="s">
        <v>38</v>
      </c>
      <c r="Q30" t="s">
        <v>39</v>
      </c>
      <c r="R30" t="s">
        <v>40</v>
      </c>
      <c r="S30" s="1">
        <v>35373.199999999997</v>
      </c>
      <c r="T30" s="1">
        <v>0</v>
      </c>
      <c r="U30" s="1">
        <v>0</v>
      </c>
      <c r="V30" s="1">
        <v>35373.199999999997</v>
      </c>
      <c r="W30">
        <v>0</v>
      </c>
    </row>
    <row r="31" spans="1:23" hidden="1" x14ac:dyDescent="0.35">
      <c r="A31" t="s">
        <v>23</v>
      </c>
      <c r="B31" t="s">
        <v>24</v>
      </c>
      <c r="C31" t="s">
        <v>155</v>
      </c>
      <c r="D31" t="s">
        <v>144</v>
      </c>
      <c r="E31" t="s">
        <v>145</v>
      </c>
      <c r="F31" t="s">
        <v>146</v>
      </c>
      <c r="G31" t="s">
        <v>147</v>
      </c>
      <c r="H31" t="s">
        <v>116</v>
      </c>
      <c r="I31" t="s">
        <v>148</v>
      </c>
      <c r="J31" t="s">
        <v>149</v>
      </c>
      <c r="K31" t="s">
        <v>33</v>
      </c>
      <c r="L31" t="s">
        <v>34</v>
      </c>
      <c r="M31" t="s">
        <v>156</v>
      </c>
      <c r="N31" t="s">
        <v>157</v>
      </c>
      <c r="O31" t="s">
        <v>37</v>
      </c>
      <c r="P31" t="s">
        <v>38</v>
      </c>
      <c r="Q31" t="s">
        <v>39</v>
      </c>
      <c r="R31" t="s">
        <v>40</v>
      </c>
      <c r="S31" s="1">
        <v>3442.8</v>
      </c>
      <c r="T31" s="1">
        <v>0</v>
      </c>
      <c r="U31" s="1">
        <v>0</v>
      </c>
      <c r="V31" s="1">
        <v>3442.8</v>
      </c>
      <c r="W31">
        <v>0</v>
      </c>
    </row>
    <row r="32" spans="1:23" hidden="1" x14ac:dyDescent="0.35">
      <c r="A32" t="s">
        <v>23</v>
      </c>
      <c r="B32" t="s">
        <v>24</v>
      </c>
      <c r="C32" t="s">
        <v>158</v>
      </c>
      <c r="D32" t="s">
        <v>144</v>
      </c>
      <c r="E32" t="s">
        <v>145</v>
      </c>
      <c r="F32" t="s">
        <v>146</v>
      </c>
      <c r="G32" t="s">
        <v>147</v>
      </c>
      <c r="H32" t="s">
        <v>116</v>
      </c>
      <c r="I32" t="s">
        <v>148</v>
      </c>
      <c r="J32" t="s">
        <v>149</v>
      </c>
      <c r="K32" t="s">
        <v>33</v>
      </c>
      <c r="L32" t="s">
        <v>34</v>
      </c>
      <c r="M32" t="s">
        <v>156</v>
      </c>
      <c r="N32" t="s">
        <v>157</v>
      </c>
      <c r="O32" t="s">
        <v>125</v>
      </c>
      <c r="P32" t="s">
        <v>126</v>
      </c>
      <c r="Q32" t="s">
        <v>39</v>
      </c>
      <c r="R32" t="s">
        <v>40</v>
      </c>
      <c r="S32" s="1">
        <v>110377</v>
      </c>
      <c r="T32" s="1">
        <v>0</v>
      </c>
      <c r="U32" s="1">
        <v>0</v>
      </c>
      <c r="V32" s="1">
        <v>110377</v>
      </c>
      <c r="W32">
        <v>0</v>
      </c>
    </row>
    <row r="33" spans="1:23" hidden="1" x14ac:dyDescent="0.35">
      <c r="A33" t="s">
        <v>23</v>
      </c>
      <c r="B33" t="s">
        <v>24</v>
      </c>
      <c r="C33" t="s">
        <v>159</v>
      </c>
      <c r="D33" t="s">
        <v>144</v>
      </c>
      <c r="E33" t="s">
        <v>145</v>
      </c>
      <c r="F33" t="s">
        <v>146</v>
      </c>
      <c r="G33" t="s">
        <v>147</v>
      </c>
      <c r="H33" t="s">
        <v>116</v>
      </c>
      <c r="I33" t="s">
        <v>148</v>
      </c>
      <c r="J33" t="s">
        <v>149</v>
      </c>
      <c r="K33" t="s">
        <v>33</v>
      </c>
      <c r="L33" t="s">
        <v>34</v>
      </c>
      <c r="M33" t="s">
        <v>160</v>
      </c>
      <c r="N33" t="s">
        <v>161</v>
      </c>
      <c r="O33" t="s">
        <v>37</v>
      </c>
      <c r="P33" t="s">
        <v>38</v>
      </c>
      <c r="Q33" t="s">
        <v>39</v>
      </c>
      <c r="R33" t="s">
        <v>40</v>
      </c>
      <c r="S33" s="1">
        <v>21046</v>
      </c>
      <c r="T33" s="1">
        <v>0</v>
      </c>
      <c r="U33" s="1">
        <v>0</v>
      </c>
      <c r="V33" s="1">
        <v>21046</v>
      </c>
      <c r="W33">
        <v>0</v>
      </c>
    </row>
    <row r="34" spans="1:23" hidden="1" x14ac:dyDescent="0.35">
      <c r="A34" t="s">
        <v>23</v>
      </c>
      <c r="B34" t="s">
        <v>24</v>
      </c>
      <c r="C34" t="s">
        <v>162</v>
      </c>
      <c r="D34" t="s">
        <v>144</v>
      </c>
      <c r="E34" t="s">
        <v>145</v>
      </c>
      <c r="F34" t="s">
        <v>146</v>
      </c>
      <c r="G34" t="s">
        <v>147</v>
      </c>
      <c r="H34" t="s">
        <v>116</v>
      </c>
      <c r="I34" t="s">
        <v>148</v>
      </c>
      <c r="J34" t="s">
        <v>149</v>
      </c>
      <c r="K34" t="s">
        <v>33</v>
      </c>
      <c r="L34" t="s">
        <v>34</v>
      </c>
      <c r="M34" t="s">
        <v>160</v>
      </c>
      <c r="N34" t="s">
        <v>161</v>
      </c>
      <c r="O34" t="s">
        <v>42</v>
      </c>
      <c r="P34" t="s">
        <v>43</v>
      </c>
      <c r="Q34" t="s">
        <v>39</v>
      </c>
      <c r="R34" t="s">
        <v>40</v>
      </c>
      <c r="S34" s="1">
        <v>10536.1</v>
      </c>
      <c r="T34" s="1">
        <v>0</v>
      </c>
      <c r="U34" s="1">
        <v>0</v>
      </c>
      <c r="V34" s="1">
        <v>10536.1</v>
      </c>
      <c r="W34">
        <v>0</v>
      </c>
    </row>
    <row r="35" spans="1:23" hidden="1" x14ac:dyDescent="0.35">
      <c r="A35" t="s">
        <v>23</v>
      </c>
      <c r="B35" t="s">
        <v>24</v>
      </c>
      <c r="C35" t="s">
        <v>163</v>
      </c>
      <c r="D35" t="s">
        <v>144</v>
      </c>
      <c r="E35" t="s">
        <v>145</v>
      </c>
      <c r="F35" t="s">
        <v>146</v>
      </c>
      <c r="G35" t="s">
        <v>147</v>
      </c>
      <c r="H35" t="s">
        <v>116</v>
      </c>
      <c r="I35" t="s">
        <v>148</v>
      </c>
      <c r="J35" t="s">
        <v>149</v>
      </c>
      <c r="K35" t="s">
        <v>33</v>
      </c>
      <c r="L35" t="s">
        <v>34</v>
      </c>
      <c r="M35" t="s">
        <v>160</v>
      </c>
      <c r="N35" t="s">
        <v>161</v>
      </c>
      <c r="O35" t="s">
        <v>125</v>
      </c>
      <c r="P35" t="s">
        <v>126</v>
      </c>
      <c r="Q35" t="s">
        <v>39</v>
      </c>
      <c r="R35" t="s">
        <v>40</v>
      </c>
      <c r="S35" s="1">
        <v>4782.6000000000004</v>
      </c>
      <c r="T35" s="1">
        <v>0</v>
      </c>
      <c r="U35" s="1">
        <v>0</v>
      </c>
      <c r="V35" s="1">
        <v>4782.6000000000004</v>
      </c>
      <c r="W35">
        <v>0</v>
      </c>
    </row>
    <row r="36" spans="1:23" hidden="1" x14ac:dyDescent="0.35">
      <c r="A36" t="s">
        <v>23</v>
      </c>
      <c r="B36" t="s">
        <v>24</v>
      </c>
      <c r="C36" t="s">
        <v>164</v>
      </c>
      <c r="D36" t="s">
        <v>165</v>
      </c>
      <c r="E36" t="s">
        <v>145</v>
      </c>
      <c r="F36" t="s">
        <v>28</v>
      </c>
      <c r="G36" t="s">
        <v>166</v>
      </c>
      <c r="H36" t="s">
        <v>139</v>
      </c>
      <c r="I36" t="s">
        <v>167</v>
      </c>
      <c r="J36" t="s">
        <v>168</v>
      </c>
      <c r="K36" t="s">
        <v>33</v>
      </c>
      <c r="L36" t="s">
        <v>51</v>
      </c>
      <c r="M36" t="s">
        <v>169</v>
      </c>
      <c r="N36" t="s">
        <v>170</v>
      </c>
      <c r="O36" t="s">
        <v>37</v>
      </c>
      <c r="P36" t="s">
        <v>38</v>
      </c>
      <c r="Q36" t="s">
        <v>39</v>
      </c>
      <c r="R36" t="s">
        <v>40</v>
      </c>
      <c r="S36" s="1">
        <v>39330.300000000003</v>
      </c>
      <c r="T36" s="1">
        <v>0</v>
      </c>
      <c r="U36" s="1">
        <v>0</v>
      </c>
      <c r="V36" s="1">
        <v>39330.300000000003</v>
      </c>
      <c r="W36">
        <v>0</v>
      </c>
    </row>
    <row r="37" spans="1:23" hidden="1" x14ac:dyDescent="0.35">
      <c r="A37" t="s">
        <v>23</v>
      </c>
      <c r="B37" t="s">
        <v>24</v>
      </c>
      <c r="C37" t="s">
        <v>171</v>
      </c>
      <c r="D37" t="s">
        <v>165</v>
      </c>
      <c r="E37" t="s">
        <v>145</v>
      </c>
      <c r="F37" t="s">
        <v>28</v>
      </c>
      <c r="G37" t="s">
        <v>166</v>
      </c>
      <c r="H37" t="s">
        <v>139</v>
      </c>
      <c r="I37" t="s">
        <v>167</v>
      </c>
      <c r="J37" t="s">
        <v>168</v>
      </c>
      <c r="K37" t="s">
        <v>33</v>
      </c>
      <c r="L37" t="s">
        <v>51</v>
      </c>
      <c r="M37" t="s">
        <v>172</v>
      </c>
      <c r="N37" t="s">
        <v>173</v>
      </c>
      <c r="O37" t="s">
        <v>37</v>
      </c>
      <c r="P37" t="s">
        <v>38</v>
      </c>
      <c r="Q37" t="s">
        <v>39</v>
      </c>
      <c r="R37" t="s">
        <v>40</v>
      </c>
      <c r="S37" s="1">
        <v>1478.3</v>
      </c>
      <c r="T37" s="1">
        <v>0</v>
      </c>
      <c r="U37" s="1">
        <v>0</v>
      </c>
      <c r="V37" s="1">
        <v>1478.3</v>
      </c>
      <c r="W37">
        <v>0</v>
      </c>
    </row>
    <row r="38" spans="1:23" hidden="1" x14ac:dyDescent="0.35">
      <c r="A38" t="s">
        <v>23</v>
      </c>
      <c r="B38" t="s">
        <v>24</v>
      </c>
      <c r="C38" t="s">
        <v>174</v>
      </c>
      <c r="D38" t="s">
        <v>175</v>
      </c>
      <c r="E38" t="s">
        <v>145</v>
      </c>
      <c r="F38" t="s">
        <v>176</v>
      </c>
      <c r="G38" t="s">
        <v>177</v>
      </c>
      <c r="H38" t="s">
        <v>116</v>
      </c>
      <c r="I38" t="s">
        <v>148</v>
      </c>
      <c r="J38" t="s">
        <v>149</v>
      </c>
      <c r="K38" t="s">
        <v>33</v>
      </c>
      <c r="L38" t="s">
        <v>34</v>
      </c>
      <c r="M38" t="s">
        <v>178</v>
      </c>
      <c r="N38" t="s">
        <v>179</v>
      </c>
      <c r="O38" t="s">
        <v>96</v>
      </c>
      <c r="P38" t="s">
        <v>97</v>
      </c>
      <c r="Q38" t="s">
        <v>39</v>
      </c>
      <c r="R38" t="s">
        <v>40</v>
      </c>
      <c r="S38" s="1">
        <v>648619.1</v>
      </c>
      <c r="T38" s="1">
        <v>42076.6973</v>
      </c>
      <c r="U38" s="1">
        <v>42076.6973</v>
      </c>
      <c r="V38" s="1">
        <v>606542.40269999998</v>
      </c>
      <c r="W38">
        <v>6</v>
      </c>
    </row>
    <row r="39" spans="1:23" hidden="1" x14ac:dyDescent="0.35">
      <c r="A39" t="s">
        <v>23</v>
      </c>
      <c r="B39" t="s">
        <v>24</v>
      </c>
      <c r="C39" t="s">
        <v>180</v>
      </c>
      <c r="D39" t="s">
        <v>175</v>
      </c>
      <c r="E39" t="s">
        <v>145</v>
      </c>
      <c r="F39" t="s">
        <v>176</v>
      </c>
      <c r="G39" t="s">
        <v>177</v>
      </c>
      <c r="H39" t="s">
        <v>116</v>
      </c>
      <c r="I39" t="s">
        <v>148</v>
      </c>
      <c r="J39" t="s">
        <v>149</v>
      </c>
      <c r="K39" t="s">
        <v>33</v>
      </c>
      <c r="L39" t="s">
        <v>34</v>
      </c>
      <c r="M39" t="s">
        <v>178</v>
      </c>
      <c r="N39" t="s">
        <v>179</v>
      </c>
      <c r="O39" t="s">
        <v>99</v>
      </c>
      <c r="P39" t="s">
        <v>100</v>
      </c>
      <c r="Q39" t="s">
        <v>39</v>
      </c>
      <c r="R39" t="s">
        <v>40</v>
      </c>
      <c r="S39" s="1">
        <v>195242.9</v>
      </c>
      <c r="T39" s="1">
        <v>16629.130499999999</v>
      </c>
      <c r="U39" s="1">
        <v>16629.130499999999</v>
      </c>
      <c r="V39" s="1">
        <v>178613.76949999999</v>
      </c>
      <c r="W39">
        <v>9</v>
      </c>
    </row>
    <row r="40" spans="1:23" hidden="1" x14ac:dyDescent="0.35">
      <c r="A40" t="s">
        <v>23</v>
      </c>
      <c r="B40" t="s">
        <v>24</v>
      </c>
      <c r="C40" t="s">
        <v>181</v>
      </c>
      <c r="D40" t="s">
        <v>175</v>
      </c>
      <c r="E40" t="s">
        <v>145</v>
      </c>
      <c r="F40" t="s">
        <v>176</v>
      </c>
      <c r="G40" t="s">
        <v>177</v>
      </c>
      <c r="H40" t="s">
        <v>116</v>
      </c>
      <c r="I40" t="s">
        <v>148</v>
      </c>
      <c r="J40" t="s">
        <v>149</v>
      </c>
      <c r="K40" t="s">
        <v>33</v>
      </c>
      <c r="L40" t="s">
        <v>34</v>
      </c>
      <c r="M40" t="s">
        <v>178</v>
      </c>
      <c r="N40" t="s">
        <v>179</v>
      </c>
      <c r="O40" t="s">
        <v>37</v>
      </c>
      <c r="P40" t="s">
        <v>38</v>
      </c>
      <c r="Q40" t="s">
        <v>39</v>
      </c>
      <c r="R40" t="s">
        <v>40</v>
      </c>
      <c r="S40" s="1">
        <v>155984.5</v>
      </c>
      <c r="T40" s="1">
        <v>930.20540000000005</v>
      </c>
      <c r="U40" s="1">
        <v>930.20540000000005</v>
      </c>
      <c r="V40" s="1">
        <v>155054.29459999999</v>
      </c>
      <c r="W40">
        <v>1</v>
      </c>
    </row>
    <row r="41" spans="1:23" hidden="1" x14ac:dyDescent="0.35">
      <c r="A41" t="s">
        <v>23</v>
      </c>
      <c r="B41" t="s">
        <v>24</v>
      </c>
      <c r="C41" t="s">
        <v>182</v>
      </c>
      <c r="D41" t="s">
        <v>175</v>
      </c>
      <c r="E41" t="s">
        <v>145</v>
      </c>
      <c r="F41" t="s">
        <v>176</v>
      </c>
      <c r="G41" t="s">
        <v>177</v>
      </c>
      <c r="H41" t="s">
        <v>116</v>
      </c>
      <c r="I41" t="s">
        <v>148</v>
      </c>
      <c r="J41" t="s">
        <v>149</v>
      </c>
      <c r="K41" t="s">
        <v>33</v>
      </c>
      <c r="L41" t="s">
        <v>34</v>
      </c>
      <c r="M41" t="s">
        <v>178</v>
      </c>
      <c r="N41" t="s">
        <v>179</v>
      </c>
      <c r="O41" t="s">
        <v>42</v>
      </c>
      <c r="P41" t="s">
        <v>43</v>
      </c>
      <c r="Q41" t="s">
        <v>39</v>
      </c>
      <c r="R41" t="s">
        <v>40</v>
      </c>
      <c r="S41" s="1">
        <v>8102</v>
      </c>
      <c r="T41" s="1">
        <v>0</v>
      </c>
      <c r="U41" s="1">
        <v>0</v>
      </c>
      <c r="V41" s="1">
        <v>8102</v>
      </c>
      <c r="W41">
        <v>0</v>
      </c>
    </row>
    <row r="42" spans="1:23" hidden="1" x14ac:dyDescent="0.35">
      <c r="A42" t="s">
        <v>23</v>
      </c>
      <c r="B42" t="s">
        <v>24</v>
      </c>
      <c r="C42" t="s">
        <v>183</v>
      </c>
      <c r="D42" t="s">
        <v>175</v>
      </c>
      <c r="E42" t="s">
        <v>145</v>
      </c>
      <c r="F42" t="s">
        <v>176</v>
      </c>
      <c r="G42" t="s">
        <v>177</v>
      </c>
      <c r="H42" t="s">
        <v>116</v>
      </c>
      <c r="I42" t="s">
        <v>148</v>
      </c>
      <c r="J42" t="s">
        <v>149</v>
      </c>
      <c r="K42" t="s">
        <v>33</v>
      </c>
      <c r="L42" t="s">
        <v>34</v>
      </c>
      <c r="M42" t="s">
        <v>178</v>
      </c>
      <c r="N42" t="s">
        <v>179</v>
      </c>
      <c r="O42" t="s">
        <v>122</v>
      </c>
      <c r="P42" t="s">
        <v>123</v>
      </c>
      <c r="Q42" t="s">
        <v>39</v>
      </c>
      <c r="R42" t="s">
        <v>40</v>
      </c>
      <c r="S42" s="1">
        <v>183.2</v>
      </c>
      <c r="T42" s="1">
        <v>0</v>
      </c>
      <c r="U42" s="1">
        <v>0</v>
      </c>
      <c r="V42" s="1">
        <v>183.2</v>
      </c>
      <c r="W42">
        <v>0</v>
      </c>
    </row>
    <row r="43" spans="1:23" hidden="1" x14ac:dyDescent="0.35">
      <c r="A43" t="s">
        <v>23</v>
      </c>
      <c r="B43" t="s">
        <v>24</v>
      </c>
      <c r="C43" t="s">
        <v>184</v>
      </c>
      <c r="D43" t="s">
        <v>175</v>
      </c>
      <c r="E43" t="s">
        <v>145</v>
      </c>
      <c r="F43" t="s">
        <v>176</v>
      </c>
      <c r="G43" t="s">
        <v>177</v>
      </c>
      <c r="H43" t="s">
        <v>116</v>
      </c>
      <c r="I43" t="s">
        <v>148</v>
      </c>
      <c r="J43" t="s">
        <v>149</v>
      </c>
      <c r="K43" t="s">
        <v>33</v>
      </c>
      <c r="L43" t="s">
        <v>34</v>
      </c>
      <c r="M43" t="s">
        <v>178</v>
      </c>
      <c r="N43" t="s">
        <v>179</v>
      </c>
      <c r="O43" t="s">
        <v>103</v>
      </c>
      <c r="P43" t="s">
        <v>104</v>
      </c>
      <c r="Q43" t="s">
        <v>39</v>
      </c>
      <c r="R43" t="s">
        <v>40</v>
      </c>
      <c r="S43" s="1">
        <v>631.4</v>
      </c>
      <c r="T43" s="1">
        <v>94.5</v>
      </c>
      <c r="U43" s="1">
        <v>94.5</v>
      </c>
      <c r="V43" s="1">
        <v>536.9</v>
      </c>
      <c r="W43">
        <v>15</v>
      </c>
    </row>
    <row r="44" spans="1:23" x14ac:dyDescent="0.35">
      <c r="A44" s="3" t="s">
        <v>23</v>
      </c>
      <c r="B44" s="3" t="s">
        <v>24</v>
      </c>
      <c r="C44" s="3" t="s">
        <v>185</v>
      </c>
      <c r="D44" s="3" t="s">
        <v>186</v>
      </c>
      <c r="E44" s="3" t="s">
        <v>187</v>
      </c>
      <c r="F44" s="3" t="s">
        <v>146</v>
      </c>
      <c r="G44" s="3" t="s">
        <v>188</v>
      </c>
      <c r="H44" s="3" t="s">
        <v>189</v>
      </c>
      <c r="I44" s="3" t="s">
        <v>190</v>
      </c>
      <c r="J44" s="3" t="s">
        <v>191</v>
      </c>
      <c r="K44" s="3" t="s">
        <v>33</v>
      </c>
      <c r="L44" s="3" t="s">
        <v>34</v>
      </c>
      <c r="M44" s="3" t="s">
        <v>192</v>
      </c>
      <c r="N44" s="3" t="s">
        <v>193</v>
      </c>
      <c r="O44" s="3" t="s">
        <v>108</v>
      </c>
      <c r="P44" s="3" t="s">
        <v>109</v>
      </c>
      <c r="Q44" s="3" t="s">
        <v>39</v>
      </c>
      <c r="R44" s="3" t="s">
        <v>40</v>
      </c>
      <c r="S44" s="7">
        <v>5665542.5999999996</v>
      </c>
      <c r="T44" s="7">
        <v>294471.12819999998</v>
      </c>
      <c r="U44" s="7">
        <v>294471.12819999998</v>
      </c>
      <c r="V44" s="7">
        <v>5371071.4718000004</v>
      </c>
      <c r="W44" s="3">
        <v>5</v>
      </c>
    </row>
    <row r="45" spans="1:23" x14ac:dyDescent="0.35">
      <c r="A45" s="3" t="s">
        <v>23</v>
      </c>
      <c r="B45" s="3" t="s">
        <v>24</v>
      </c>
      <c r="C45" s="3" t="s">
        <v>194</v>
      </c>
      <c r="D45" s="3" t="s">
        <v>186</v>
      </c>
      <c r="E45" s="3" t="s">
        <v>187</v>
      </c>
      <c r="F45" s="3" t="s">
        <v>146</v>
      </c>
      <c r="G45" s="3" t="s">
        <v>188</v>
      </c>
      <c r="H45" s="3" t="s">
        <v>189</v>
      </c>
      <c r="I45" s="3" t="s">
        <v>190</v>
      </c>
      <c r="J45" s="3" t="s">
        <v>191</v>
      </c>
      <c r="K45" s="3" t="s">
        <v>33</v>
      </c>
      <c r="L45" s="3" t="s">
        <v>34</v>
      </c>
      <c r="M45" s="3" t="s">
        <v>195</v>
      </c>
      <c r="N45" s="3" t="s">
        <v>196</v>
      </c>
      <c r="O45" s="3" t="s">
        <v>197</v>
      </c>
      <c r="P45" s="3" t="s">
        <v>198</v>
      </c>
      <c r="Q45" s="3" t="s">
        <v>39</v>
      </c>
      <c r="R45" s="3" t="s">
        <v>40</v>
      </c>
      <c r="S45" s="7">
        <v>19486.7</v>
      </c>
      <c r="T45" s="7">
        <v>0</v>
      </c>
      <c r="U45" s="7">
        <v>0</v>
      </c>
      <c r="V45" s="7">
        <v>19486.7</v>
      </c>
      <c r="W45" s="3">
        <v>0</v>
      </c>
    </row>
    <row r="46" spans="1:23" x14ac:dyDescent="0.35">
      <c r="A46" s="3" t="s">
        <v>23</v>
      </c>
      <c r="B46" s="3" t="s">
        <v>24</v>
      </c>
      <c r="C46" s="3" t="s">
        <v>199</v>
      </c>
      <c r="D46" s="3" t="s">
        <v>200</v>
      </c>
      <c r="E46" s="3" t="s">
        <v>187</v>
      </c>
      <c r="F46" s="3" t="s">
        <v>189</v>
      </c>
      <c r="G46" s="3" t="s">
        <v>201</v>
      </c>
      <c r="H46" s="3" t="s">
        <v>189</v>
      </c>
      <c r="I46" s="3" t="s">
        <v>190</v>
      </c>
      <c r="J46" s="3" t="s">
        <v>202</v>
      </c>
      <c r="K46" s="3" t="s">
        <v>23</v>
      </c>
      <c r="L46" s="3" t="s">
        <v>203</v>
      </c>
      <c r="M46" s="3" t="s">
        <v>204</v>
      </c>
      <c r="N46" s="3" t="s">
        <v>205</v>
      </c>
      <c r="O46" s="3" t="s">
        <v>197</v>
      </c>
      <c r="P46" s="3" t="s">
        <v>198</v>
      </c>
      <c r="Q46" s="3" t="s">
        <v>39</v>
      </c>
      <c r="R46" s="3" t="s">
        <v>40</v>
      </c>
      <c r="S46" s="7">
        <v>19701.3</v>
      </c>
      <c r="T46" s="7">
        <v>0</v>
      </c>
      <c r="U46" s="7">
        <v>0</v>
      </c>
      <c r="V46" s="7">
        <v>19701.3</v>
      </c>
      <c r="W46" s="3">
        <v>0</v>
      </c>
    </row>
    <row r="47" spans="1:23" x14ac:dyDescent="0.35">
      <c r="A47" s="3" t="s">
        <v>23</v>
      </c>
      <c r="B47" s="3" t="s">
        <v>24</v>
      </c>
      <c r="C47" s="3" t="s">
        <v>206</v>
      </c>
      <c r="D47" s="3" t="s">
        <v>200</v>
      </c>
      <c r="E47" s="3" t="s">
        <v>187</v>
      </c>
      <c r="F47" s="3" t="s">
        <v>189</v>
      </c>
      <c r="G47" s="3" t="s">
        <v>201</v>
      </c>
      <c r="H47" s="3" t="s">
        <v>189</v>
      </c>
      <c r="I47" s="3" t="s">
        <v>190</v>
      </c>
      <c r="J47" s="3" t="s">
        <v>202</v>
      </c>
      <c r="K47" s="3" t="s">
        <v>23</v>
      </c>
      <c r="L47" s="3" t="s">
        <v>203</v>
      </c>
      <c r="M47" s="3" t="s">
        <v>207</v>
      </c>
      <c r="N47" s="3" t="s">
        <v>208</v>
      </c>
      <c r="O47" s="3" t="s">
        <v>197</v>
      </c>
      <c r="P47" s="3" t="s">
        <v>198</v>
      </c>
      <c r="Q47" s="3" t="s">
        <v>39</v>
      </c>
      <c r="R47" s="3" t="s">
        <v>40</v>
      </c>
      <c r="S47" s="7">
        <v>98275</v>
      </c>
      <c r="T47" s="7">
        <v>0</v>
      </c>
      <c r="U47" s="7">
        <v>0</v>
      </c>
      <c r="V47" s="7">
        <v>98275</v>
      </c>
      <c r="W47" s="3">
        <v>0</v>
      </c>
    </row>
    <row r="48" spans="1:23" x14ac:dyDescent="0.35">
      <c r="A48" s="3" t="s">
        <v>23</v>
      </c>
      <c r="B48" s="3" t="s">
        <v>24</v>
      </c>
      <c r="C48" s="3" t="s">
        <v>209</v>
      </c>
      <c r="D48" s="3" t="s">
        <v>200</v>
      </c>
      <c r="E48" s="3" t="s">
        <v>187</v>
      </c>
      <c r="F48" s="3" t="s">
        <v>189</v>
      </c>
      <c r="G48" s="3" t="s">
        <v>201</v>
      </c>
      <c r="H48" s="3" t="s">
        <v>189</v>
      </c>
      <c r="I48" s="3" t="s">
        <v>190</v>
      </c>
      <c r="J48" s="3" t="s">
        <v>191</v>
      </c>
      <c r="K48" s="3" t="s">
        <v>33</v>
      </c>
      <c r="L48" s="3" t="s">
        <v>34</v>
      </c>
      <c r="M48" s="3" t="s">
        <v>210</v>
      </c>
      <c r="N48" s="3" t="s">
        <v>211</v>
      </c>
      <c r="O48" s="3" t="s">
        <v>108</v>
      </c>
      <c r="P48" s="3" t="s">
        <v>109</v>
      </c>
      <c r="Q48" s="3" t="s">
        <v>39</v>
      </c>
      <c r="R48" s="3" t="s">
        <v>40</v>
      </c>
      <c r="S48" s="7">
        <v>5474469.7000000002</v>
      </c>
      <c r="T48" s="7">
        <v>323122.34029999998</v>
      </c>
      <c r="U48" s="7">
        <v>323122.34029999998</v>
      </c>
      <c r="V48" s="7">
        <v>5151347.3596999999</v>
      </c>
      <c r="W48" s="3">
        <v>6</v>
      </c>
    </row>
    <row r="49" spans="1:23" x14ac:dyDescent="0.35">
      <c r="A49" s="3" t="s">
        <v>23</v>
      </c>
      <c r="B49" s="3" t="s">
        <v>24</v>
      </c>
      <c r="C49" s="3" t="s">
        <v>212</v>
      </c>
      <c r="D49" s="3" t="s">
        <v>200</v>
      </c>
      <c r="E49" s="3" t="s">
        <v>187</v>
      </c>
      <c r="F49" s="3" t="s">
        <v>189</v>
      </c>
      <c r="G49" s="3" t="s">
        <v>201</v>
      </c>
      <c r="H49" s="3" t="s">
        <v>189</v>
      </c>
      <c r="I49" s="3" t="s">
        <v>190</v>
      </c>
      <c r="J49" s="3" t="s">
        <v>191</v>
      </c>
      <c r="K49" s="3" t="s">
        <v>33</v>
      </c>
      <c r="L49" s="3" t="s">
        <v>34</v>
      </c>
      <c r="M49" s="3" t="s">
        <v>213</v>
      </c>
      <c r="N49" s="3" t="s">
        <v>214</v>
      </c>
      <c r="O49" s="3" t="s">
        <v>108</v>
      </c>
      <c r="P49" s="3" t="s">
        <v>109</v>
      </c>
      <c r="Q49" s="3" t="s">
        <v>39</v>
      </c>
      <c r="R49" s="3" t="s">
        <v>40</v>
      </c>
      <c r="S49" s="7">
        <v>183013.6</v>
      </c>
      <c r="T49" s="7">
        <v>8861.6234000000004</v>
      </c>
      <c r="U49" s="7">
        <v>8861.6234000000004</v>
      </c>
      <c r="V49" s="7">
        <v>174151.97659999999</v>
      </c>
      <c r="W49" s="3">
        <v>5</v>
      </c>
    </row>
    <row r="50" spans="1:23" x14ac:dyDescent="0.35">
      <c r="A50" s="3" t="s">
        <v>23</v>
      </c>
      <c r="B50" s="3" t="s">
        <v>24</v>
      </c>
      <c r="C50" s="3" t="s">
        <v>215</v>
      </c>
      <c r="D50" s="3" t="s">
        <v>200</v>
      </c>
      <c r="E50" s="3" t="s">
        <v>187</v>
      </c>
      <c r="F50" s="3" t="s">
        <v>189</v>
      </c>
      <c r="G50" s="3" t="s">
        <v>201</v>
      </c>
      <c r="H50" s="3" t="s">
        <v>189</v>
      </c>
      <c r="I50" s="3" t="s">
        <v>190</v>
      </c>
      <c r="J50" s="3" t="s">
        <v>191</v>
      </c>
      <c r="K50" s="3" t="s">
        <v>33</v>
      </c>
      <c r="L50" s="3" t="s">
        <v>34</v>
      </c>
      <c r="M50" s="3" t="s">
        <v>216</v>
      </c>
      <c r="N50" s="3" t="s">
        <v>217</v>
      </c>
      <c r="O50" s="3" t="s">
        <v>108</v>
      </c>
      <c r="P50" s="3" t="s">
        <v>109</v>
      </c>
      <c r="Q50" s="3" t="s">
        <v>39</v>
      </c>
      <c r="R50" s="3" t="s">
        <v>40</v>
      </c>
      <c r="S50" s="7">
        <v>88494.399999999994</v>
      </c>
      <c r="T50" s="7">
        <v>5174.0030999999999</v>
      </c>
      <c r="U50" s="7">
        <v>5174.0030999999999</v>
      </c>
      <c r="V50" s="7">
        <v>83320.396900000007</v>
      </c>
      <c r="W50" s="3">
        <v>6</v>
      </c>
    </row>
    <row r="51" spans="1:23" x14ac:dyDescent="0.35">
      <c r="A51" s="3" t="s">
        <v>23</v>
      </c>
      <c r="B51" s="3" t="s">
        <v>24</v>
      </c>
      <c r="C51" s="3" t="s">
        <v>218</v>
      </c>
      <c r="D51" s="3" t="s">
        <v>200</v>
      </c>
      <c r="E51" s="3" t="s">
        <v>187</v>
      </c>
      <c r="F51" s="3" t="s">
        <v>189</v>
      </c>
      <c r="G51" s="3" t="s">
        <v>201</v>
      </c>
      <c r="H51" s="3" t="s">
        <v>189</v>
      </c>
      <c r="I51" s="3" t="s">
        <v>190</v>
      </c>
      <c r="J51" s="3" t="s">
        <v>191</v>
      </c>
      <c r="K51" s="3" t="s">
        <v>33</v>
      </c>
      <c r="L51" s="3" t="s">
        <v>34</v>
      </c>
      <c r="M51" s="3" t="s">
        <v>219</v>
      </c>
      <c r="N51" s="3" t="s">
        <v>220</v>
      </c>
      <c r="O51" s="3" t="s">
        <v>221</v>
      </c>
      <c r="P51" s="3" t="s">
        <v>222</v>
      </c>
      <c r="Q51" s="3" t="s">
        <v>39</v>
      </c>
      <c r="R51" s="3" t="s">
        <v>40</v>
      </c>
      <c r="S51" s="7">
        <v>1102.9000000000001</v>
      </c>
      <c r="T51" s="7">
        <v>0</v>
      </c>
      <c r="U51" s="7">
        <v>0</v>
      </c>
      <c r="V51" s="7">
        <v>1102.9000000000001</v>
      </c>
      <c r="W51" s="3">
        <v>0</v>
      </c>
    </row>
    <row r="52" spans="1:23" x14ac:dyDescent="0.35">
      <c r="A52" s="3" t="s">
        <v>23</v>
      </c>
      <c r="B52" s="3" t="s">
        <v>24</v>
      </c>
      <c r="C52" s="3" t="s">
        <v>223</v>
      </c>
      <c r="D52" s="3" t="s">
        <v>200</v>
      </c>
      <c r="E52" s="3" t="s">
        <v>187</v>
      </c>
      <c r="F52" s="3" t="s">
        <v>189</v>
      </c>
      <c r="G52" s="3" t="s">
        <v>201</v>
      </c>
      <c r="H52" s="3" t="s">
        <v>189</v>
      </c>
      <c r="I52" s="3" t="s">
        <v>190</v>
      </c>
      <c r="J52" s="3" t="s">
        <v>191</v>
      </c>
      <c r="K52" s="3" t="s">
        <v>33</v>
      </c>
      <c r="L52" s="3" t="s">
        <v>34</v>
      </c>
      <c r="M52" s="3" t="s">
        <v>224</v>
      </c>
      <c r="N52" s="3" t="s">
        <v>225</v>
      </c>
      <c r="O52" s="3" t="s">
        <v>197</v>
      </c>
      <c r="P52" s="3" t="s">
        <v>198</v>
      </c>
      <c r="Q52" s="3" t="s">
        <v>39</v>
      </c>
      <c r="R52" s="3" t="s">
        <v>40</v>
      </c>
      <c r="S52" s="7">
        <v>123977.4</v>
      </c>
      <c r="T52" s="7">
        <v>0</v>
      </c>
      <c r="U52" s="7">
        <v>0</v>
      </c>
      <c r="V52" s="7">
        <v>123977.4</v>
      </c>
      <c r="W52" s="3">
        <v>0</v>
      </c>
    </row>
    <row r="53" spans="1:23" x14ac:dyDescent="0.35">
      <c r="A53" s="3" t="s">
        <v>23</v>
      </c>
      <c r="B53" s="3" t="s">
        <v>24</v>
      </c>
      <c r="C53" s="3" t="s">
        <v>226</v>
      </c>
      <c r="D53" s="3" t="s">
        <v>200</v>
      </c>
      <c r="E53" s="3" t="s">
        <v>187</v>
      </c>
      <c r="F53" s="3" t="s">
        <v>189</v>
      </c>
      <c r="G53" s="3" t="s">
        <v>201</v>
      </c>
      <c r="H53" s="3" t="s">
        <v>189</v>
      </c>
      <c r="I53" s="3" t="s">
        <v>190</v>
      </c>
      <c r="J53" s="3" t="s">
        <v>191</v>
      </c>
      <c r="K53" s="3" t="s">
        <v>33</v>
      </c>
      <c r="L53" s="3" t="s">
        <v>34</v>
      </c>
      <c r="M53" s="3" t="s">
        <v>227</v>
      </c>
      <c r="N53" s="3" t="s">
        <v>228</v>
      </c>
      <c r="O53" s="3" t="s">
        <v>197</v>
      </c>
      <c r="P53" s="3" t="s">
        <v>198</v>
      </c>
      <c r="Q53" s="3" t="s">
        <v>39</v>
      </c>
      <c r="R53" s="3" t="s">
        <v>40</v>
      </c>
      <c r="S53" s="7">
        <v>115733.1</v>
      </c>
      <c r="T53" s="7">
        <v>0</v>
      </c>
      <c r="U53" s="7">
        <v>0</v>
      </c>
      <c r="V53" s="7">
        <v>115733.1</v>
      </c>
      <c r="W53" s="3">
        <v>0</v>
      </c>
    </row>
    <row r="54" spans="1:23" x14ac:dyDescent="0.35">
      <c r="A54" s="3" t="s">
        <v>23</v>
      </c>
      <c r="B54" s="3" t="s">
        <v>24</v>
      </c>
      <c r="C54" s="3" t="s">
        <v>229</v>
      </c>
      <c r="D54" s="3" t="s">
        <v>200</v>
      </c>
      <c r="E54" s="3" t="s">
        <v>187</v>
      </c>
      <c r="F54" s="3" t="s">
        <v>189</v>
      </c>
      <c r="G54" s="3" t="s">
        <v>201</v>
      </c>
      <c r="H54" s="3" t="s">
        <v>189</v>
      </c>
      <c r="I54" s="3" t="s">
        <v>190</v>
      </c>
      <c r="J54" s="3" t="s">
        <v>191</v>
      </c>
      <c r="K54" s="3" t="s">
        <v>33</v>
      </c>
      <c r="L54" s="3" t="s">
        <v>34</v>
      </c>
      <c r="M54" s="3" t="s">
        <v>195</v>
      </c>
      <c r="N54" s="3" t="s">
        <v>196</v>
      </c>
      <c r="O54" s="3" t="s">
        <v>197</v>
      </c>
      <c r="P54" s="3" t="s">
        <v>198</v>
      </c>
      <c r="Q54" s="3" t="s">
        <v>39</v>
      </c>
      <c r="R54" s="3" t="s">
        <v>40</v>
      </c>
      <c r="S54" s="7">
        <v>29599.599999999999</v>
      </c>
      <c r="T54" s="7">
        <v>0</v>
      </c>
      <c r="U54" s="7">
        <v>0</v>
      </c>
      <c r="V54" s="7">
        <v>29599.599999999999</v>
      </c>
      <c r="W54" s="3">
        <v>0</v>
      </c>
    </row>
    <row r="55" spans="1:23" x14ac:dyDescent="0.35">
      <c r="A55" s="3" t="s">
        <v>23</v>
      </c>
      <c r="B55" s="3" t="s">
        <v>24</v>
      </c>
      <c r="C55" s="3" t="s">
        <v>230</v>
      </c>
      <c r="D55" s="3" t="s">
        <v>200</v>
      </c>
      <c r="E55" s="3" t="s">
        <v>187</v>
      </c>
      <c r="F55" s="3" t="s">
        <v>189</v>
      </c>
      <c r="G55" s="3" t="s">
        <v>201</v>
      </c>
      <c r="H55" s="3" t="s">
        <v>28</v>
      </c>
      <c r="I55" s="3" t="s">
        <v>231</v>
      </c>
      <c r="J55" s="3" t="s">
        <v>232</v>
      </c>
      <c r="K55" s="3" t="s">
        <v>33</v>
      </c>
      <c r="L55" s="3" t="s">
        <v>51</v>
      </c>
      <c r="M55" s="3" t="s">
        <v>233</v>
      </c>
      <c r="N55" s="3" t="s">
        <v>234</v>
      </c>
      <c r="O55" s="3" t="s">
        <v>197</v>
      </c>
      <c r="P55" s="3" t="s">
        <v>198</v>
      </c>
      <c r="Q55" s="3" t="s">
        <v>39</v>
      </c>
      <c r="R55" s="3" t="s">
        <v>40</v>
      </c>
      <c r="S55" s="7">
        <v>340444.3</v>
      </c>
      <c r="T55" s="7">
        <v>8659.2562999999991</v>
      </c>
      <c r="U55" s="7">
        <v>8659.2562999999991</v>
      </c>
      <c r="V55" s="7">
        <v>331785.04369999998</v>
      </c>
      <c r="W55" s="3">
        <v>3</v>
      </c>
    </row>
    <row r="56" spans="1:23" x14ac:dyDescent="0.35">
      <c r="A56" s="3" t="s">
        <v>23</v>
      </c>
      <c r="B56" s="3" t="s">
        <v>24</v>
      </c>
      <c r="C56" s="3" t="s">
        <v>235</v>
      </c>
      <c r="D56" s="3" t="s">
        <v>200</v>
      </c>
      <c r="E56" s="3" t="s">
        <v>187</v>
      </c>
      <c r="F56" s="3" t="s">
        <v>189</v>
      </c>
      <c r="G56" s="3" t="s">
        <v>201</v>
      </c>
      <c r="H56" s="3" t="s">
        <v>28</v>
      </c>
      <c r="I56" s="3" t="s">
        <v>231</v>
      </c>
      <c r="J56" s="3" t="s">
        <v>232</v>
      </c>
      <c r="K56" s="3" t="s">
        <v>33</v>
      </c>
      <c r="L56" s="3" t="s">
        <v>51</v>
      </c>
      <c r="M56" s="3" t="s">
        <v>236</v>
      </c>
      <c r="N56" s="3" t="s">
        <v>237</v>
      </c>
      <c r="O56" s="3" t="s">
        <v>197</v>
      </c>
      <c r="P56" s="3" t="s">
        <v>198</v>
      </c>
      <c r="Q56" s="3" t="s">
        <v>39</v>
      </c>
      <c r="R56" s="3" t="s">
        <v>40</v>
      </c>
      <c r="S56" s="7">
        <v>188979.20000000001</v>
      </c>
      <c r="T56" s="7">
        <v>18897.919000000002</v>
      </c>
      <c r="U56" s="7">
        <v>18897.919000000002</v>
      </c>
      <c r="V56" s="7">
        <v>170081.28099999999</v>
      </c>
      <c r="W56" s="3">
        <v>10</v>
      </c>
    </row>
    <row r="57" spans="1:23" x14ac:dyDescent="0.35">
      <c r="A57" s="3" t="s">
        <v>23</v>
      </c>
      <c r="B57" s="3" t="s">
        <v>24</v>
      </c>
      <c r="C57" s="3" t="s">
        <v>238</v>
      </c>
      <c r="D57" s="3" t="s">
        <v>239</v>
      </c>
      <c r="E57" s="3" t="s">
        <v>187</v>
      </c>
      <c r="F57" s="3" t="s">
        <v>28</v>
      </c>
      <c r="G57" s="3" t="s">
        <v>240</v>
      </c>
      <c r="H57" s="3" t="s">
        <v>189</v>
      </c>
      <c r="I57" s="3" t="s">
        <v>190</v>
      </c>
      <c r="J57" s="3" t="s">
        <v>191</v>
      </c>
      <c r="K57" s="3" t="s">
        <v>33</v>
      </c>
      <c r="L57" s="3" t="s">
        <v>34</v>
      </c>
      <c r="M57" s="3" t="s">
        <v>241</v>
      </c>
      <c r="N57" s="3" t="s">
        <v>242</v>
      </c>
      <c r="O57" s="3" t="s">
        <v>108</v>
      </c>
      <c r="P57" s="3" t="s">
        <v>109</v>
      </c>
      <c r="Q57" s="3" t="s">
        <v>39</v>
      </c>
      <c r="R57" s="3" t="s">
        <v>40</v>
      </c>
      <c r="S57" s="7">
        <v>300340.90000000002</v>
      </c>
      <c r="T57" s="7">
        <v>19612.8917</v>
      </c>
      <c r="U57" s="7">
        <v>19612.8917</v>
      </c>
      <c r="V57" s="7">
        <v>280728.00829999999</v>
      </c>
      <c r="W57" s="3">
        <v>7</v>
      </c>
    </row>
    <row r="58" spans="1:23" x14ac:dyDescent="0.35">
      <c r="A58" s="3" t="s">
        <v>23</v>
      </c>
      <c r="B58" s="3" t="s">
        <v>24</v>
      </c>
      <c r="C58" s="3" t="s">
        <v>243</v>
      </c>
      <c r="D58" s="3" t="s">
        <v>244</v>
      </c>
      <c r="E58" s="3" t="s">
        <v>187</v>
      </c>
      <c r="F58" s="3" t="s">
        <v>245</v>
      </c>
      <c r="G58" s="3" t="s">
        <v>246</v>
      </c>
      <c r="H58" s="3" t="s">
        <v>66</v>
      </c>
      <c r="I58" s="3" t="s">
        <v>67</v>
      </c>
      <c r="J58" s="3" t="s">
        <v>68</v>
      </c>
      <c r="K58" s="3" t="s">
        <v>33</v>
      </c>
      <c r="L58" s="3" t="s">
        <v>51</v>
      </c>
      <c r="M58" s="3" t="s">
        <v>247</v>
      </c>
      <c r="N58" s="3" t="s">
        <v>248</v>
      </c>
      <c r="O58" s="3" t="s">
        <v>108</v>
      </c>
      <c r="P58" s="3" t="s">
        <v>109</v>
      </c>
      <c r="Q58" s="3" t="s">
        <v>39</v>
      </c>
      <c r="R58" s="3" t="s">
        <v>40</v>
      </c>
      <c r="S58" s="7">
        <v>241260.4</v>
      </c>
      <c r="T58" s="7">
        <v>12204.2138</v>
      </c>
      <c r="U58" s="7">
        <v>12204.2138</v>
      </c>
      <c r="V58" s="7">
        <v>229056.1862</v>
      </c>
      <c r="W58" s="3">
        <v>5</v>
      </c>
    </row>
    <row r="59" spans="1:23" x14ac:dyDescent="0.35">
      <c r="A59" s="3" t="s">
        <v>23</v>
      </c>
      <c r="B59" s="3" t="s">
        <v>24</v>
      </c>
      <c r="C59" s="3" t="s">
        <v>249</v>
      </c>
      <c r="D59" s="3" t="s">
        <v>244</v>
      </c>
      <c r="E59" s="3" t="s">
        <v>187</v>
      </c>
      <c r="F59" s="3" t="s">
        <v>245</v>
      </c>
      <c r="G59" s="3" t="s">
        <v>246</v>
      </c>
      <c r="H59" s="3" t="s">
        <v>66</v>
      </c>
      <c r="I59" s="3" t="s">
        <v>67</v>
      </c>
      <c r="J59" s="3" t="s">
        <v>68</v>
      </c>
      <c r="K59" s="3" t="s">
        <v>33</v>
      </c>
      <c r="L59" s="3" t="s">
        <v>51</v>
      </c>
      <c r="M59" s="3" t="s">
        <v>250</v>
      </c>
      <c r="N59" s="3" t="s">
        <v>251</v>
      </c>
      <c r="O59" s="3" t="s">
        <v>197</v>
      </c>
      <c r="P59" s="3" t="s">
        <v>198</v>
      </c>
      <c r="Q59" s="3" t="s">
        <v>39</v>
      </c>
      <c r="R59" s="3" t="s">
        <v>40</v>
      </c>
      <c r="S59" s="7">
        <v>82757.8</v>
      </c>
      <c r="T59" s="7">
        <v>0</v>
      </c>
      <c r="U59" s="7">
        <v>0</v>
      </c>
      <c r="V59" s="7">
        <v>82757.8</v>
      </c>
      <c r="W59" s="3">
        <v>0</v>
      </c>
    </row>
    <row r="60" spans="1:23" x14ac:dyDescent="0.35">
      <c r="A60" s="3" t="s">
        <v>23</v>
      </c>
      <c r="B60" s="3" t="s">
        <v>24</v>
      </c>
      <c r="C60" s="3" t="s">
        <v>252</v>
      </c>
      <c r="D60" s="3" t="s">
        <v>244</v>
      </c>
      <c r="E60" s="3" t="s">
        <v>187</v>
      </c>
      <c r="F60" s="3" t="s">
        <v>245</v>
      </c>
      <c r="G60" s="3" t="s">
        <v>246</v>
      </c>
      <c r="H60" s="3" t="s">
        <v>66</v>
      </c>
      <c r="I60" s="3" t="s">
        <v>67</v>
      </c>
      <c r="J60" s="3" t="s">
        <v>68</v>
      </c>
      <c r="K60" s="3" t="s">
        <v>33</v>
      </c>
      <c r="L60" s="3" t="s">
        <v>51</v>
      </c>
      <c r="M60" s="3" t="s">
        <v>253</v>
      </c>
      <c r="N60" s="3" t="s">
        <v>254</v>
      </c>
      <c r="O60" s="3" t="s">
        <v>197</v>
      </c>
      <c r="P60" s="3" t="s">
        <v>198</v>
      </c>
      <c r="Q60" s="3" t="s">
        <v>39</v>
      </c>
      <c r="R60" s="3" t="s">
        <v>40</v>
      </c>
      <c r="S60" s="7">
        <v>1724.3</v>
      </c>
      <c r="T60" s="7">
        <v>0</v>
      </c>
      <c r="U60" s="7">
        <v>0</v>
      </c>
      <c r="V60" s="7">
        <v>1724.3</v>
      </c>
      <c r="W60" s="3">
        <v>0</v>
      </c>
    </row>
    <row r="61" spans="1:23" x14ac:dyDescent="0.35">
      <c r="A61" s="3" t="s">
        <v>23</v>
      </c>
      <c r="B61" s="3" t="s">
        <v>24</v>
      </c>
      <c r="C61" s="3" t="s">
        <v>255</v>
      </c>
      <c r="D61" s="3" t="s">
        <v>244</v>
      </c>
      <c r="E61" s="3" t="s">
        <v>187</v>
      </c>
      <c r="F61" s="3" t="s">
        <v>245</v>
      </c>
      <c r="G61" s="3" t="s">
        <v>246</v>
      </c>
      <c r="H61" s="3" t="s">
        <v>66</v>
      </c>
      <c r="I61" s="3" t="s">
        <v>67</v>
      </c>
      <c r="J61" s="3" t="s">
        <v>68</v>
      </c>
      <c r="K61" s="3" t="s">
        <v>33</v>
      </c>
      <c r="L61" s="3" t="s">
        <v>51</v>
      </c>
      <c r="M61" s="3" t="s">
        <v>256</v>
      </c>
      <c r="N61" s="3" t="s">
        <v>257</v>
      </c>
      <c r="O61" s="3" t="s">
        <v>197</v>
      </c>
      <c r="P61" s="3" t="s">
        <v>198</v>
      </c>
      <c r="Q61" s="3" t="s">
        <v>39</v>
      </c>
      <c r="R61" s="3" t="s">
        <v>40</v>
      </c>
      <c r="S61" s="7">
        <v>23957.3</v>
      </c>
      <c r="T61" s="7">
        <v>0</v>
      </c>
      <c r="U61" s="7">
        <v>0</v>
      </c>
      <c r="V61" s="7">
        <v>23957.3</v>
      </c>
      <c r="W61" s="3">
        <v>0</v>
      </c>
    </row>
    <row r="62" spans="1:23" x14ac:dyDescent="0.35">
      <c r="A62" s="3" t="s">
        <v>23</v>
      </c>
      <c r="B62" s="3" t="s">
        <v>24</v>
      </c>
      <c r="C62" s="3" t="s">
        <v>258</v>
      </c>
      <c r="D62" s="3" t="s">
        <v>259</v>
      </c>
      <c r="E62" s="3" t="s">
        <v>187</v>
      </c>
      <c r="F62" s="3" t="s">
        <v>116</v>
      </c>
      <c r="G62" s="3" t="s">
        <v>260</v>
      </c>
      <c r="H62" s="3" t="s">
        <v>189</v>
      </c>
      <c r="I62" s="3" t="s">
        <v>190</v>
      </c>
      <c r="J62" s="3" t="s">
        <v>202</v>
      </c>
      <c r="K62" s="3" t="s">
        <v>23</v>
      </c>
      <c r="L62" s="3" t="s">
        <v>203</v>
      </c>
      <c r="M62" s="3" t="s">
        <v>261</v>
      </c>
      <c r="N62" s="3" t="s">
        <v>262</v>
      </c>
      <c r="O62" s="3" t="s">
        <v>197</v>
      </c>
      <c r="P62" s="3" t="s">
        <v>198</v>
      </c>
      <c r="Q62" s="3" t="s">
        <v>39</v>
      </c>
      <c r="R62" s="3" t="s">
        <v>40</v>
      </c>
      <c r="S62" s="7">
        <v>3437.3</v>
      </c>
      <c r="T62" s="7">
        <v>0</v>
      </c>
      <c r="U62" s="7">
        <v>0</v>
      </c>
      <c r="V62" s="7">
        <v>3437.3</v>
      </c>
      <c r="W62" s="3">
        <v>0</v>
      </c>
    </row>
    <row r="63" spans="1:23" x14ac:dyDescent="0.35">
      <c r="A63" s="3" t="s">
        <v>23</v>
      </c>
      <c r="B63" s="3" t="s">
        <v>24</v>
      </c>
      <c r="C63" s="3" t="s">
        <v>263</v>
      </c>
      <c r="D63" s="3" t="s">
        <v>259</v>
      </c>
      <c r="E63" s="3" t="s">
        <v>187</v>
      </c>
      <c r="F63" s="3" t="s">
        <v>116</v>
      </c>
      <c r="G63" s="3" t="s">
        <v>260</v>
      </c>
      <c r="H63" s="3" t="s">
        <v>189</v>
      </c>
      <c r="I63" s="3" t="s">
        <v>190</v>
      </c>
      <c r="J63" s="3" t="s">
        <v>191</v>
      </c>
      <c r="K63" s="3" t="s">
        <v>33</v>
      </c>
      <c r="L63" s="3" t="s">
        <v>34</v>
      </c>
      <c r="M63" s="3" t="s">
        <v>264</v>
      </c>
      <c r="N63" s="3" t="s">
        <v>265</v>
      </c>
      <c r="O63" s="3" t="s">
        <v>197</v>
      </c>
      <c r="P63" s="3" t="s">
        <v>198</v>
      </c>
      <c r="Q63" s="3" t="s">
        <v>39</v>
      </c>
      <c r="R63" s="3" t="s">
        <v>40</v>
      </c>
      <c r="S63" s="7">
        <v>1718.3</v>
      </c>
      <c r="T63" s="7">
        <v>0</v>
      </c>
      <c r="U63" s="7">
        <v>0</v>
      </c>
      <c r="V63" s="7">
        <v>1718.3</v>
      </c>
      <c r="W63" s="3">
        <v>0</v>
      </c>
    </row>
    <row r="64" spans="1:23" x14ac:dyDescent="0.35">
      <c r="A64" s="3" t="s">
        <v>23</v>
      </c>
      <c r="B64" s="3" t="s">
        <v>24</v>
      </c>
      <c r="C64" s="3" t="s">
        <v>266</v>
      </c>
      <c r="D64" s="3" t="s">
        <v>259</v>
      </c>
      <c r="E64" s="3" t="s">
        <v>187</v>
      </c>
      <c r="F64" s="3" t="s">
        <v>116</v>
      </c>
      <c r="G64" s="3" t="s">
        <v>260</v>
      </c>
      <c r="H64" s="3" t="s">
        <v>189</v>
      </c>
      <c r="I64" s="3" t="s">
        <v>190</v>
      </c>
      <c r="J64" s="3" t="s">
        <v>191</v>
      </c>
      <c r="K64" s="3" t="s">
        <v>33</v>
      </c>
      <c r="L64" s="3" t="s">
        <v>34</v>
      </c>
      <c r="M64" s="3" t="s">
        <v>267</v>
      </c>
      <c r="N64" s="3" t="s">
        <v>268</v>
      </c>
      <c r="O64" s="3" t="s">
        <v>37</v>
      </c>
      <c r="P64" s="3" t="s">
        <v>38</v>
      </c>
      <c r="Q64" s="3" t="s">
        <v>39</v>
      </c>
      <c r="R64" s="3" t="s">
        <v>40</v>
      </c>
      <c r="S64" s="7">
        <v>95084.9</v>
      </c>
      <c r="T64" s="7">
        <v>0</v>
      </c>
      <c r="U64" s="7">
        <v>0</v>
      </c>
      <c r="V64" s="7">
        <v>95084.9</v>
      </c>
      <c r="W64" s="3">
        <v>0</v>
      </c>
    </row>
    <row r="65" spans="1:23" x14ac:dyDescent="0.35">
      <c r="A65" s="3" t="s">
        <v>23</v>
      </c>
      <c r="B65" s="3" t="s">
        <v>24</v>
      </c>
      <c r="C65" s="3" t="s">
        <v>269</v>
      </c>
      <c r="D65" s="3" t="s">
        <v>259</v>
      </c>
      <c r="E65" s="3" t="s">
        <v>187</v>
      </c>
      <c r="F65" s="3" t="s">
        <v>116</v>
      </c>
      <c r="G65" s="3" t="s">
        <v>260</v>
      </c>
      <c r="H65" s="3" t="s">
        <v>189</v>
      </c>
      <c r="I65" s="3" t="s">
        <v>190</v>
      </c>
      <c r="J65" s="3" t="s">
        <v>191</v>
      </c>
      <c r="K65" s="3" t="s">
        <v>33</v>
      </c>
      <c r="L65" s="3" t="s">
        <v>34</v>
      </c>
      <c r="M65" s="3" t="s">
        <v>267</v>
      </c>
      <c r="N65" s="3" t="s">
        <v>268</v>
      </c>
      <c r="O65" s="3" t="s">
        <v>197</v>
      </c>
      <c r="P65" s="3" t="s">
        <v>198</v>
      </c>
      <c r="Q65" s="3" t="s">
        <v>39</v>
      </c>
      <c r="R65" s="3" t="s">
        <v>40</v>
      </c>
      <c r="S65" s="7">
        <v>14782.4</v>
      </c>
      <c r="T65" s="7">
        <v>0</v>
      </c>
      <c r="U65" s="7">
        <v>0</v>
      </c>
      <c r="V65" s="7">
        <v>14782.4</v>
      </c>
      <c r="W65" s="3">
        <v>0</v>
      </c>
    </row>
    <row r="66" spans="1:23" x14ac:dyDescent="0.35">
      <c r="A66" s="3" t="s">
        <v>23</v>
      </c>
      <c r="B66" s="3" t="s">
        <v>24</v>
      </c>
      <c r="C66" s="3" t="s">
        <v>270</v>
      </c>
      <c r="D66" s="3" t="s">
        <v>259</v>
      </c>
      <c r="E66" s="3" t="s">
        <v>187</v>
      </c>
      <c r="F66" s="3" t="s">
        <v>116</v>
      </c>
      <c r="G66" s="3" t="s">
        <v>260</v>
      </c>
      <c r="H66" s="3" t="s">
        <v>189</v>
      </c>
      <c r="I66" s="3" t="s">
        <v>190</v>
      </c>
      <c r="J66" s="3" t="s">
        <v>191</v>
      </c>
      <c r="K66" s="3" t="s">
        <v>33</v>
      </c>
      <c r="L66" s="3" t="s">
        <v>34</v>
      </c>
      <c r="M66" s="3" t="s">
        <v>271</v>
      </c>
      <c r="N66" s="3" t="s">
        <v>272</v>
      </c>
      <c r="O66" s="3" t="s">
        <v>108</v>
      </c>
      <c r="P66" s="3" t="s">
        <v>109</v>
      </c>
      <c r="Q66" s="3" t="s">
        <v>39</v>
      </c>
      <c r="R66" s="3" t="s">
        <v>40</v>
      </c>
      <c r="S66" s="7">
        <v>46883.7</v>
      </c>
      <c r="T66" s="7">
        <v>4292.4591</v>
      </c>
      <c r="U66" s="7">
        <v>4292.4591</v>
      </c>
      <c r="V66" s="7">
        <v>42591.240899999997</v>
      </c>
      <c r="W66" s="3">
        <v>9</v>
      </c>
    </row>
    <row r="67" spans="1:23" x14ac:dyDescent="0.35">
      <c r="A67" s="3" t="s">
        <v>23</v>
      </c>
      <c r="B67" s="3" t="s">
        <v>24</v>
      </c>
      <c r="C67" s="3" t="s">
        <v>273</v>
      </c>
      <c r="D67" s="3" t="s">
        <v>259</v>
      </c>
      <c r="E67" s="3" t="s">
        <v>187</v>
      </c>
      <c r="F67" s="3" t="s">
        <v>116</v>
      </c>
      <c r="G67" s="3" t="s">
        <v>260</v>
      </c>
      <c r="H67" s="3" t="s">
        <v>189</v>
      </c>
      <c r="I67" s="3" t="s">
        <v>190</v>
      </c>
      <c r="J67" s="3" t="s">
        <v>191</v>
      </c>
      <c r="K67" s="3" t="s">
        <v>33</v>
      </c>
      <c r="L67" s="3" t="s">
        <v>34</v>
      </c>
      <c r="M67" s="3" t="s">
        <v>274</v>
      </c>
      <c r="N67" s="3" t="s">
        <v>275</v>
      </c>
      <c r="O67" s="3" t="s">
        <v>108</v>
      </c>
      <c r="P67" s="3" t="s">
        <v>109</v>
      </c>
      <c r="Q67" s="3" t="s">
        <v>39</v>
      </c>
      <c r="R67" s="3" t="s">
        <v>40</v>
      </c>
      <c r="S67" s="7">
        <v>66303.8</v>
      </c>
      <c r="T67" s="7">
        <v>3369.2293</v>
      </c>
      <c r="U67" s="7">
        <v>3369.2293</v>
      </c>
      <c r="V67" s="7">
        <v>62934.570699999997</v>
      </c>
      <c r="W67" s="3">
        <v>5</v>
      </c>
    </row>
    <row r="68" spans="1:23" x14ac:dyDescent="0.35">
      <c r="A68" s="3" t="s">
        <v>23</v>
      </c>
      <c r="B68" s="3" t="s">
        <v>24</v>
      </c>
      <c r="C68" s="3" t="s">
        <v>276</v>
      </c>
      <c r="D68" s="3" t="s">
        <v>259</v>
      </c>
      <c r="E68" s="3" t="s">
        <v>187</v>
      </c>
      <c r="F68" s="3" t="s">
        <v>116</v>
      </c>
      <c r="G68" s="3" t="s">
        <v>260</v>
      </c>
      <c r="H68" s="3" t="s">
        <v>189</v>
      </c>
      <c r="I68" s="3" t="s">
        <v>190</v>
      </c>
      <c r="J68" s="3" t="s">
        <v>191</v>
      </c>
      <c r="K68" s="3" t="s">
        <v>33</v>
      </c>
      <c r="L68" s="3" t="s">
        <v>34</v>
      </c>
      <c r="M68" s="3" t="s">
        <v>277</v>
      </c>
      <c r="N68" s="3" t="s">
        <v>278</v>
      </c>
      <c r="O68" s="3" t="s">
        <v>197</v>
      </c>
      <c r="P68" s="3" t="s">
        <v>198</v>
      </c>
      <c r="Q68" s="3" t="s">
        <v>39</v>
      </c>
      <c r="R68" s="3" t="s">
        <v>40</v>
      </c>
      <c r="S68" s="7">
        <v>5928.5</v>
      </c>
      <c r="T68" s="7">
        <v>0</v>
      </c>
      <c r="U68" s="7">
        <v>0</v>
      </c>
      <c r="V68" s="7">
        <v>5928.5</v>
      </c>
      <c r="W68" s="3">
        <v>0</v>
      </c>
    </row>
    <row r="69" spans="1:23" x14ac:dyDescent="0.35">
      <c r="A69" s="3" t="s">
        <v>23</v>
      </c>
      <c r="B69" s="3" t="s">
        <v>24</v>
      </c>
      <c r="C69" s="3" t="s">
        <v>279</v>
      </c>
      <c r="D69" s="3" t="s">
        <v>259</v>
      </c>
      <c r="E69" s="3" t="s">
        <v>187</v>
      </c>
      <c r="F69" s="3" t="s">
        <v>116</v>
      </c>
      <c r="G69" s="3" t="s">
        <v>260</v>
      </c>
      <c r="H69" s="3" t="s">
        <v>189</v>
      </c>
      <c r="I69" s="3" t="s">
        <v>190</v>
      </c>
      <c r="J69" s="3" t="s">
        <v>191</v>
      </c>
      <c r="K69" s="3" t="s">
        <v>33</v>
      </c>
      <c r="L69" s="3" t="s">
        <v>34</v>
      </c>
      <c r="M69" s="3" t="s">
        <v>280</v>
      </c>
      <c r="N69" s="3" t="s">
        <v>281</v>
      </c>
      <c r="O69" s="3" t="s">
        <v>197</v>
      </c>
      <c r="P69" s="3" t="s">
        <v>198</v>
      </c>
      <c r="Q69" s="3" t="s">
        <v>39</v>
      </c>
      <c r="R69" s="3" t="s">
        <v>40</v>
      </c>
      <c r="S69" s="7">
        <v>7523.1</v>
      </c>
      <c r="T69" s="7">
        <v>0</v>
      </c>
      <c r="U69" s="7">
        <v>0</v>
      </c>
      <c r="V69" s="7">
        <v>7523.1</v>
      </c>
      <c r="W69" s="3">
        <v>0</v>
      </c>
    </row>
    <row r="70" spans="1:23" x14ac:dyDescent="0.35">
      <c r="A70" s="3" t="s">
        <v>23</v>
      </c>
      <c r="B70" s="3" t="s">
        <v>24</v>
      </c>
      <c r="C70" s="3" t="s">
        <v>282</v>
      </c>
      <c r="D70" s="3" t="s">
        <v>259</v>
      </c>
      <c r="E70" s="3" t="s">
        <v>187</v>
      </c>
      <c r="F70" s="3" t="s">
        <v>116</v>
      </c>
      <c r="G70" s="3" t="s">
        <v>260</v>
      </c>
      <c r="H70" s="3" t="s">
        <v>66</v>
      </c>
      <c r="I70" s="3" t="s">
        <v>67</v>
      </c>
      <c r="J70" s="3" t="s">
        <v>68</v>
      </c>
      <c r="K70" s="3" t="s">
        <v>33</v>
      </c>
      <c r="L70" s="3" t="s">
        <v>51</v>
      </c>
      <c r="M70" s="3" t="s">
        <v>283</v>
      </c>
      <c r="N70" s="3" t="s">
        <v>284</v>
      </c>
      <c r="O70" s="3" t="s">
        <v>197</v>
      </c>
      <c r="P70" s="3" t="s">
        <v>198</v>
      </c>
      <c r="Q70" s="3" t="s">
        <v>39</v>
      </c>
      <c r="R70" s="3" t="s">
        <v>40</v>
      </c>
      <c r="S70" s="7">
        <v>500</v>
      </c>
      <c r="T70" s="7">
        <v>0</v>
      </c>
      <c r="U70" s="7">
        <v>0</v>
      </c>
      <c r="V70" s="7">
        <v>500</v>
      </c>
      <c r="W70" s="3">
        <v>0</v>
      </c>
    </row>
    <row r="71" spans="1:23" x14ac:dyDescent="0.35">
      <c r="A71" s="3" t="s">
        <v>23</v>
      </c>
      <c r="B71" s="3" t="s">
        <v>24</v>
      </c>
      <c r="C71" s="3" t="s">
        <v>285</v>
      </c>
      <c r="D71" s="3" t="s">
        <v>259</v>
      </c>
      <c r="E71" s="3" t="s">
        <v>187</v>
      </c>
      <c r="F71" s="3" t="s">
        <v>116</v>
      </c>
      <c r="G71" s="3" t="s">
        <v>260</v>
      </c>
      <c r="H71" s="3" t="s">
        <v>30</v>
      </c>
      <c r="I71" s="3" t="s">
        <v>31</v>
      </c>
      <c r="J71" s="3" t="s">
        <v>32</v>
      </c>
      <c r="K71" s="3" t="s">
        <v>33</v>
      </c>
      <c r="L71" s="3" t="s">
        <v>34</v>
      </c>
      <c r="M71" s="3" t="s">
        <v>286</v>
      </c>
      <c r="N71" s="3" t="s">
        <v>287</v>
      </c>
      <c r="O71" s="3" t="s">
        <v>37</v>
      </c>
      <c r="P71" s="3" t="s">
        <v>38</v>
      </c>
      <c r="Q71" s="3" t="s">
        <v>39</v>
      </c>
      <c r="R71" s="3" t="s">
        <v>40</v>
      </c>
      <c r="S71" s="7">
        <v>900.4</v>
      </c>
      <c r="T71" s="7">
        <v>0</v>
      </c>
      <c r="U71" s="7">
        <v>0</v>
      </c>
      <c r="V71" s="7">
        <v>900.4</v>
      </c>
      <c r="W71" s="3">
        <v>0</v>
      </c>
    </row>
    <row r="72" spans="1:23" x14ac:dyDescent="0.35">
      <c r="A72" s="3" t="s">
        <v>23</v>
      </c>
      <c r="B72" s="3" t="s">
        <v>24</v>
      </c>
      <c r="C72" s="3" t="s">
        <v>288</v>
      </c>
      <c r="D72" s="3" t="s">
        <v>259</v>
      </c>
      <c r="E72" s="3" t="s">
        <v>187</v>
      </c>
      <c r="F72" s="3" t="s">
        <v>116</v>
      </c>
      <c r="G72" s="3" t="s">
        <v>260</v>
      </c>
      <c r="H72" s="3" t="s">
        <v>30</v>
      </c>
      <c r="I72" s="3" t="s">
        <v>31</v>
      </c>
      <c r="J72" s="3" t="s">
        <v>32</v>
      </c>
      <c r="K72" s="3" t="s">
        <v>33</v>
      </c>
      <c r="L72" s="3" t="s">
        <v>34</v>
      </c>
      <c r="M72" s="3" t="s">
        <v>286</v>
      </c>
      <c r="N72" s="3" t="s">
        <v>287</v>
      </c>
      <c r="O72" s="3" t="s">
        <v>42</v>
      </c>
      <c r="P72" s="3" t="s">
        <v>43</v>
      </c>
      <c r="Q72" s="3" t="s">
        <v>39</v>
      </c>
      <c r="R72" s="3" t="s">
        <v>40</v>
      </c>
      <c r="S72" s="7">
        <v>67.400000000000006</v>
      </c>
      <c r="T72" s="7">
        <v>0</v>
      </c>
      <c r="U72" s="7">
        <v>0</v>
      </c>
      <c r="V72" s="7">
        <v>67.400000000000006</v>
      </c>
      <c r="W72" s="3">
        <v>0</v>
      </c>
    </row>
    <row r="73" spans="1:23" hidden="1" x14ac:dyDescent="0.35">
      <c r="A73" t="s">
        <v>23</v>
      </c>
      <c r="B73" t="s">
        <v>24</v>
      </c>
      <c r="C73" t="s">
        <v>289</v>
      </c>
      <c r="D73" t="s">
        <v>290</v>
      </c>
      <c r="E73" t="s">
        <v>291</v>
      </c>
      <c r="F73" t="s">
        <v>146</v>
      </c>
      <c r="G73" t="s">
        <v>292</v>
      </c>
      <c r="H73" t="s">
        <v>293</v>
      </c>
      <c r="I73" t="s">
        <v>294</v>
      </c>
      <c r="J73" t="s">
        <v>295</v>
      </c>
      <c r="K73" t="s">
        <v>33</v>
      </c>
      <c r="L73" t="s">
        <v>51</v>
      </c>
      <c r="M73" t="s">
        <v>296</v>
      </c>
      <c r="N73" t="s">
        <v>297</v>
      </c>
      <c r="O73" t="s">
        <v>108</v>
      </c>
      <c r="P73" t="s">
        <v>109</v>
      </c>
      <c r="Q73" t="s">
        <v>39</v>
      </c>
      <c r="R73" t="s">
        <v>40</v>
      </c>
      <c r="S73" s="1">
        <v>263750</v>
      </c>
      <c r="T73" s="1">
        <v>8705.8251</v>
      </c>
      <c r="U73" s="1">
        <v>8705.8251</v>
      </c>
      <c r="V73" s="1">
        <v>255044.17490000001</v>
      </c>
      <c r="W73">
        <v>3</v>
      </c>
    </row>
    <row r="74" spans="1:23" hidden="1" x14ac:dyDescent="0.35">
      <c r="A74" t="s">
        <v>23</v>
      </c>
      <c r="B74" t="s">
        <v>24</v>
      </c>
      <c r="C74" t="s">
        <v>298</v>
      </c>
      <c r="D74" t="s">
        <v>290</v>
      </c>
      <c r="E74" t="s">
        <v>291</v>
      </c>
      <c r="F74" t="s">
        <v>146</v>
      </c>
      <c r="G74" t="s">
        <v>292</v>
      </c>
      <c r="H74" t="s">
        <v>293</v>
      </c>
      <c r="I74" t="s">
        <v>294</v>
      </c>
      <c r="J74" t="s">
        <v>295</v>
      </c>
      <c r="K74" t="s">
        <v>33</v>
      </c>
      <c r="L74" t="s">
        <v>51</v>
      </c>
      <c r="M74" t="s">
        <v>299</v>
      </c>
      <c r="N74" t="s">
        <v>300</v>
      </c>
      <c r="O74" t="s">
        <v>108</v>
      </c>
      <c r="P74" t="s">
        <v>109</v>
      </c>
      <c r="Q74" t="s">
        <v>39</v>
      </c>
      <c r="R74" t="s">
        <v>40</v>
      </c>
      <c r="S74" s="1">
        <v>93678.1</v>
      </c>
      <c r="T74" s="1">
        <v>5036.7640000000001</v>
      </c>
      <c r="U74" s="1">
        <v>5036.7640000000001</v>
      </c>
      <c r="V74" s="1">
        <v>88641.335999999996</v>
      </c>
      <c r="W74">
        <v>5</v>
      </c>
    </row>
    <row r="75" spans="1:23" hidden="1" x14ac:dyDescent="0.35">
      <c r="A75" t="s">
        <v>23</v>
      </c>
      <c r="B75" t="s">
        <v>24</v>
      </c>
      <c r="C75" t="s">
        <v>301</v>
      </c>
      <c r="D75" t="s">
        <v>290</v>
      </c>
      <c r="E75" t="s">
        <v>291</v>
      </c>
      <c r="F75" t="s">
        <v>146</v>
      </c>
      <c r="G75" t="s">
        <v>292</v>
      </c>
      <c r="H75" t="s">
        <v>293</v>
      </c>
      <c r="I75" t="s">
        <v>294</v>
      </c>
      <c r="J75" t="s">
        <v>295</v>
      </c>
      <c r="K75" t="s">
        <v>33</v>
      </c>
      <c r="L75" t="s">
        <v>51</v>
      </c>
      <c r="M75" t="s">
        <v>302</v>
      </c>
      <c r="N75" t="s">
        <v>303</v>
      </c>
      <c r="O75" t="s">
        <v>108</v>
      </c>
      <c r="P75" t="s">
        <v>109</v>
      </c>
      <c r="Q75" t="s">
        <v>39</v>
      </c>
      <c r="R75" t="s">
        <v>40</v>
      </c>
      <c r="S75" s="1">
        <v>207715.20000000001</v>
      </c>
      <c r="T75" s="1">
        <v>7433.2199000000001</v>
      </c>
      <c r="U75" s="1">
        <v>7433.2199000000001</v>
      </c>
      <c r="V75" s="1">
        <v>200281.98009999999</v>
      </c>
      <c r="W75">
        <v>4</v>
      </c>
    </row>
    <row r="76" spans="1:23" hidden="1" x14ac:dyDescent="0.35">
      <c r="A76" t="s">
        <v>23</v>
      </c>
      <c r="B76" t="s">
        <v>24</v>
      </c>
      <c r="C76" t="s">
        <v>304</v>
      </c>
      <c r="D76" t="s">
        <v>290</v>
      </c>
      <c r="E76" t="s">
        <v>291</v>
      </c>
      <c r="F76" t="s">
        <v>146</v>
      </c>
      <c r="G76" t="s">
        <v>292</v>
      </c>
      <c r="H76" t="s">
        <v>293</v>
      </c>
      <c r="I76" t="s">
        <v>294</v>
      </c>
      <c r="J76" t="s">
        <v>295</v>
      </c>
      <c r="K76" t="s">
        <v>33</v>
      </c>
      <c r="L76" t="s">
        <v>51</v>
      </c>
      <c r="M76" t="s">
        <v>305</v>
      </c>
      <c r="N76" t="s">
        <v>306</v>
      </c>
      <c r="O76" t="s">
        <v>108</v>
      </c>
      <c r="P76" t="s">
        <v>109</v>
      </c>
      <c r="Q76" t="s">
        <v>39</v>
      </c>
      <c r="R76" t="s">
        <v>40</v>
      </c>
      <c r="S76" s="1">
        <v>87050.7</v>
      </c>
      <c r="T76" s="1">
        <v>3577.4780000000001</v>
      </c>
      <c r="U76" s="1">
        <v>3577.4780000000001</v>
      </c>
      <c r="V76" s="1">
        <v>83473.221999999994</v>
      </c>
      <c r="W76">
        <v>4</v>
      </c>
    </row>
    <row r="77" spans="1:23" hidden="1" x14ac:dyDescent="0.35">
      <c r="A77" t="s">
        <v>23</v>
      </c>
      <c r="B77" t="s">
        <v>24</v>
      </c>
      <c r="C77" t="s">
        <v>307</v>
      </c>
      <c r="D77" t="s">
        <v>290</v>
      </c>
      <c r="E77" t="s">
        <v>291</v>
      </c>
      <c r="F77" t="s">
        <v>146</v>
      </c>
      <c r="G77" t="s">
        <v>292</v>
      </c>
      <c r="H77" t="s">
        <v>293</v>
      </c>
      <c r="I77" t="s">
        <v>294</v>
      </c>
      <c r="J77" t="s">
        <v>295</v>
      </c>
      <c r="K77" t="s">
        <v>33</v>
      </c>
      <c r="L77" t="s">
        <v>51</v>
      </c>
      <c r="M77" t="s">
        <v>308</v>
      </c>
      <c r="N77" t="s">
        <v>309</v>
      </c>
      <c r="O77" t="s">
        <v>37</v>
      </c>
      <c r="P77" t="s">
        <v>38</v>
      </c>
      <c r="Q77" t="s">
        <v>39</v>
      </c>
      <c r="R77" t="s">
        <v>40</v>
      </c>
      <c r="S77" s="1">
        <v>11781.5</v>
      </c>
      <c r="T77" s="1">
        <v>0</v>
      </c>
      <c r="U77" s="1">
        <v>0</v>
      </c>
      <c r="V77" s="1">
        <v>11781.5</v>
      </c>
      <c r="W77">
        <v>0</v>
      </c>
    </row>
    <row r="78" spans="1:23" hidden="1" x14ac:dyDescent="0.35">
      <c r="A78" t="s">
        <v>23</v>
      </c>
      <c r="B78" t="s">
        <v>24</v>
      </c>
      <c r="C78" t="s">
        <v>310</v>
      </c>
      <c r="D78" t="s">
        <v>290</v>
      </c>
      <c r="E78" t="s">
        <v>291</v>
      </c>
      <c r="F78" t="s">
        <v>146</v>
      </c>
      <c r="G78" t="s">
        <v>292</v>
      </c>
      <c r="H78" t="s">
        <v>293</v>
      </c>
      <c r="I78" t="s">
        <v>294</v>
      </c>
      <c r="J78" t="s">
        <v>295</v>
      </c>
      <c r="K78" t="s">
        <v>33</v>
      </c>
      <c r="L78" t="s">
        <v>51</v>
      </c>
      <c r="M78" t="s">
        <v>311</v>
      </c>
      <c r="N78" t="s">
        <v>312</v>
      </c>
      <c r="O78" t="s">
        <v>197</v>
      </c>
      <c r="P78" t="s">
        <v>198</v>
      </c>
      <c r="Q78" t="s">
        <v>39</v>
      </c>
      <c r="R78" t="s">
        <v>40</v>
      </c>
      <c r="S78" s="1">
        <v>10264.799999999999</v>
      </c>
      <c r="T78" s="1">
        <v>0</v>
      </c>
      <c r="U78" s="1">
        <v>0</v>
      </c>
      <c r="V78" s="1">
        <v>10264.799999999999</v>
      </c>
      <c r="W78">
        <v>0</v>
      </c>
    </row>
    <row r="79" spans="1:23" hidden="1" x14ac:dyDescent="0.35">
      <c r="A79" t="s">
        <v>23</v>
      </c>
      <c r="B79" t="s">
        <v>24</v>
      </c>
      <c r="C79" t="s">
        <v>313</v>
      </c>
      <c r="D79" t="s">
        <v>290</v>
      </c>
      <c r="E79" t="s">
        <v>291</v>
      </c>
      <c r="F79" t="s">
        <v>146</v>
      </c>
      <c r="G79" t="s">
        <v>292</v>
      </c>
      <c r="H79" t="s">
        <v>293</v>
      </c>
      <c r="I79" t="s">
        <v>294</v>
      </c>
      <c r="J79" t="s">
        <v>295</v>
      </c>
      <c r="K79" t="s">
        <v>33</v>
      </c>
      <c r="L79" t="s">
        <v>51</v>
      </c>
      <c r="M79" t="s">
        <v>314</v>
      </c>
      <c r="N79" t="s">
        <v>315</v>
      </c>
      <c r="O79" t="s">
        <v>197</v>
      </c>
      <c r="P79" t="s">
        <v>198</v>
      </c>
      <c r="Q79" t="s">
        <v>39</v>
      </c>
      <c r="R79" t="s">
        <v>40</v>
      </c>
      <c r="S79" s="1">
        <v>128.69999999999999</v>
      </c>
      <c r="T79" s="1">
        <v>0</v>
      </c>
      <c r="U79" s="1">
        <v>0</v>
      </c>
      <c r="V79" s="1">
        <v>128.69999999999999</v>
      </c>
      <c r="W79">
        <v>0</v>
      </c>
    </row>
    <row r="80" spans="1:23" hidden="1" x14ac:dyDescent="0.35">
      <c r="A80" t="s">
        <v>23</v>
      </c>
      <c r="B80" t="s">
        <v>24</v>
      </c>
      <c r="C80" t="s">
        <v>316</v>
      </c>
      <c r="D80" t="s">
        <v>317</v>
      </c>
      <c r="E80" t="s">
        <v>291</v>
      </c>
      <c r="F80" t="s">
        <v>318</v>
      </c>
      <c r="G80" t="s">
        <v>319</v>
      </c>
      <c r="H80" t="s">
        <v>293</v>
      </c>
      <c r="I80" t="s">
        <v>294</v>
      </c>
      <c r="J80" t="s">
        <v>295</v>
      </c>
      <c r="K80" t="s">
        <v>33</v>
      </c>
      <c r="L80" t="s">
        <v>51</v>
      </c>
      <c r="M80" t="s">
        <v>320</v>
      </c>
      <c r="N80" t="s">
        <v>321</v>
      </c>
      <c r="O80" t="s">
        <v>37</v>
      </c>
      <c r="P80" t="s">
        <v>38</v>
      </c>
      <c r="Q80" t="s">
        <v>39</v>
      </c>
      <c r="R80" t="s">
        <v>40</v>
      </c>
      <c r="S80" s="1">
        <v>16495.3</v>
      </c>
      <c r="T80" s="1">
        <v>0</v>
      </c>
      <c r="U80" s="1">
        <v>0</v>
      </c>
      <c r="V80" s="1">
        <v>16495.3</v>
      </c>
      <c r="W80">
        <v>0</v>
      </c>
    </row>
    <row r="81" spans="1:23" hidden="1" x14ac:dyDescent="0.35">
      <c r="A81" t="s">
        <v>23</v>
      </c>
      <c r="B81" t="s">
        <v>24</v>
      </c>
      <c r="C81" t="s">
        <v>322</v>
      </c>
      <c r="D81" t="s">
        <v>317</v>
      </c>
      <c r="E81" t="s">
        <v>291</v>
      </c>
      <c r="F81" t="s">
        <v>318</v>
      </c>
      <c r="G81" t="s">
        <v>319</v>
      </c>
      <c r="H81" t="s">
        <v>293</v>
      </c>
      <c r="I81" t="s">
        <v>294</v>
      </c>
      <c r="J81" t="s">
        <v>295</v>
      </c>
      <c r="K81" t="s">
        <v>33</v>
      </c>
      <c r="L81" t="s">
        <v>51</v>
      </c>
      <c r="M81" t="s">
        <v>323</v>
      </c>
      <c r="N81" t="s">
        <v>324</v>
      </c>
      <c r="O81" t="s">
        <v>197</v>
      </c>
      <c r="P81" t="s">
        <v>198</v>
      </c>
      <c r="Q81" t="s">
        <v>39</v>
      </c>
      <c r="R81" t="s">
        <v>40</v>
      </c>
      <c r="S81" s="1">
        <v>8766.7000000000007</v>
      </c>
      <c r="T81" s="1">
        <v>0</v>
      </c>
      <c r="U81" s="1">
        <v>0</v>
      </c>
      <c r="V81" s="1">
        <v>8766.7000000000007</v>
      </c>
      <c r="W81">
        <v>0</v>
      </c>
    </row>
    <row r="82" spans="1:23" hidden="1" x14ac:dyDescent="0.35">
      <c r="A82" t="s">
        <v>23</v>
      </c>
      <c r="B82" t="s">
        <v>24</v>
      </c>
      <c r="C82" t="s">
        <v>325</v>
      </c>
      <c r="D82" t="s">
        <v>326</v>
      </c>
      <c r="E82" t="s">
        <v>327</v>
      </c>
      <c r="F82" t="s">
        <v>189</v>
      </c>
      <c r="G82" t="s">
        <v>328</v>
      </c>
      <c r="H82" t="s">
        <v>146</v>
      </c>
      <c r="I82" t="s">
        <v>329</v>
      </c>
      <c r="J82" t="s">
        <v>330</v>
      </c>
      <c r="K82" t="s">
        <v>33</v>
      </c>
      <c r="L82" t="s">
        <v>34</v>
      </c>
      <c r="M82" t="s">
        <v>331</v>
      </c>
      <c r="N82" t="s">
        <v>332</v>
      </c>
      <c r="O82" t="s">
        <v>108</v>
      </c>
      <c r="P82" t="s">
        <v>109</v>
      </c>
      <c r="Q82" t="s">
        <v>39</v>
      </c>
      <c r="R82" t="s">
        <v>40</v>
      </c>
      <c r="S82" s="1">
        <v>662583.6</v>
      </c>
      <c r="T82" s="1">
        <v>23217.190399999999</v>
      </c>
      <c r="U82" s="1">
        <v>23217.190399999999</v>
      </c>
      <c r="V82" s="1">
        <v>639366.40960000001</v>
      </c>
      <c r="W82">
        <v>4</v>
      </c>
    </row>
    <row r="83" spans="1:23" hidden="1" x14ac:dyDescent="0.35">
      <c r="A83" t="s">
        <v>23</v>
      </c>
      <c r="B83" t="s">
        <v>24</v>
      </c>
      <c r="C83" t="s">
        <v>333</v>
      </c>
      <c r="D83" t="s">
        <v>326</v>
      </c>
      <c r="E83" t="s">
        <v>327</v>
      </c>
      <c r="F83" t="s">
        <v>189</v>
      </c>
      <c r="G83" t="s">
        <v>328</v>
      </c>
      <c r="H83" t="s">
        <v>146</v>
      </c>
      <c r="I83" t="s">
        <v>329</v>
      </c>
      <c r="J83" t="s">
        <v>330</v>
      </c>
      <c r="K83" t="s">
        <v>33</v>
      </c>
      <c r="L83" t="s">
        <v>34</v>
      </c>
      <c r="M83" t="s">
        <v>331</v>
      </c>
      <c r="N83" t="s">
        <v>332</v>
      </c>
      <c r="O83" t="s">
        <v>334</v>
      </c>
      <c r="P83" t="s">
        <v>335</v>
      </c>
      <c r="Q83" t="s">
        <v>39</v>
      </c>
      <c r="R83" t="s">
        <v>40</v>
      </c>
      <c r="S83" s="1">
        <v>5379.7</v>
      </c>
      <c r="T83" s="1">
        <v>27.127199999999998</v>
      </c>
      <c r="U83" s="1">
        <v>27.127199999999998</v>
      </c>
      <c r="V83" s="1">
        <v>5352.5727999999999</v>
      </c>
      <c r="W83">
        <v>1</v>
      </c>
    </row>
    <row r="84" spans="1:23" hidden="1" x14ac:dyDescent="0.35">
      <c r="A84" t="s">
        <v>23</v>
      </c>
      <c r="B84" t="s">
        <v>24</v>
      </c>
      <c r="C84" t="s">
        <v>336</v>
      </c>
      <c r="D84" t="s">
        <v>337</v>
      </c>
      <c r="E84" t="s">
        <v>327</v>
      </c>
      <c r="F84" t="s">
        <v>116</v>
      </c>
      <c r="G84" t="s">
        <v>338</v>
      </c>
      <c r="H84" t="s">
        <v>146</v>
      </c>
      <c r="I84" t="s">
        <v>329</v>
      </c>
      <c r="J84" t="s">
        <v>339</v>
      </c>
      <c r="K84" t="s">
        <v>23</v>
      </c>
      <c r="L84" t="s">
        <v>203</v>
      </c>
      <c r="M84" t="s">
        <v>340</v>
      </c>
      <c r="N84" t="s">
        <v>341</v>
      </c>
      <c r="O84" t="s">
        <v>197</v>
      </c>
      <c r="P84" t="s">
        <v>198</v>
      </c>
      <c r="Q84" t="s">
        <v>39</v>
      </c>
      <c r="R84" t="s">
        <v>40</v>
      </c>
      <c r="S84" s="1">
        <v>104471.3</v>
      </c>
      <c r="T84" s="1">
        <v>0</v>
      </c>
      <c r="U84" s="1">
        <v>0</v>
      </c>
      <c r="V84" s="1">
        <v>104471.3</v>
      </c>
      <c r="W84">
        <v>0</v>
      </c>
    </row>
    <row r="85" spans="1:23" hidden="1" x14ac:dyDescent="0.35">
      <c r="A85" t="s">
        <v>23</v>
      </c>
      <c r="B85" t="s">
        <v>24</v>
      </c>
      <c r="C85" t="s">
        <v>342</v>
      </c>
      <c r="D85" t="s">
        <v>337</v>
      </c>
      <c r="E85" t="s">
        <v>327</v>
      </c>
      <c r="F85" t="s">
        <v>116</v>
      </c>
      <c r="G85" t="s">
        <v>338</v>
      </c>
      <c r="H85" t="s">
        <v>146</v>
      </c>
      <c r="I85" t="s">
        <v>329</v>
      </c>
      <c r="J85" t="s">
        <v>330</v>
      </c>
      <c r="K85" t="s">
        <v>33</v>
      </c>
      <c r="L85" t="s">
        <v>34</v>
      </c>
      <c r="M85" t="s">
        <v>343</v>
      </c>
      <c r="N85" t="s">
        <v>344</v>
      </c>
      <c r="O85" t="s">
        <v>37</v>
      </c>
      <c r="P85" t="s">
        <v>38</v>
      </c>
      <c r="Q85" t="s">
        <v>39</v>
      </c>
      <c r="R85" t="s">
        <v>40</v>
      </c>
      <c r="S85" s="1">
        <v>48.2</v>
      </c>
      <c r="T85" s="1">
        <v>0</v>
      </c>
      <c r="U85" s="1">
        <v>0</v>
      </c>
      <c r="V85" s="1">
        <v>48.2</v>
      </c>
      <c r="W85">
        <v>0</v>
      </c>
    </row>
    <row r="86" spans="1:23" hidden="1" x14ac:dyDescent="0.35">
      <c r="A86" t="s">
        <v>23</v>
      </c>
      <c r="B86" t="s">
        <v>24</v>
      </c>
      <c r="C86" t="s">
        <v>345</v>
      </c>
      <c r="D86" t="s">
        <v>337</v>
      </c>
      <c r="E86" t="s">
        <v>327</v>
      </c>
      <c r="F86" t="s">
        <v>116</v>
      </c>
      <c r="G86" t="s">
        <v>338</v>
      </c>
      <c r="H86" t="s">
        <v>146</v>
      </c>
      <c r="I86" t="s">
        <v>329</v>
      </c>
      <c r="J86" t="s">
        <v>330</v>
      </c>
      <c r="K86" t="s">
        <v>33</v>
      </c>
      <c r="L86" t="s">
        <v>34</v>
      </c>
      <c r="M86" t="s">
        <v>346</v>
      </c>
      <c r="N86" t="s">
        <v>347</v>
      </c>
      <c r="O86" t="s">
        <v>197</v>
      </c>
      <c r="P86" t="s">
        <v>198</v>
      </c>
      <c r="Q86" t="s">
        <v>39</v>
      </c>
      <c r="R86" t="s">
        <v>40</v>
      </c>
      <c r="S86" s="1">
        <v>223871.4</v>
      </c>
      <c r="T86" s="1">
        <v>0</v>
      </c>
      <c r="U86" s="1">
        <v>0</v>
      </c>
      <c r="V86" s="1">
        <v>223871.4</v>
      </c>
      <c r="W86">
        <v>0</v>
      </c>
    </row>
    <row r="87" spans="1:23" hidden="1" x14ac:dyDescent="0.35">
      <c r="A87" t="s">
        <v>23</v>
      </c>
      <c r="B87" t="s">
        <v>24</v>
      </c>
      <c r="C87" t="s">
        <v>348</v>
      </c>
      <c r="D87" t="s">
        <v>337</v>
      </c>
      <c r="E87" t="s">
        <v>327</v>
      </c>
      <c r="F87" t="s">
        <v>116</v>
      </c>
      <c r="G87" t="s">
        <v>338</v>
      </c>
      <c r="H87" t="s">
        <v>146</v>
      </c>
      <c r="I87" t="s">
        <v>329</v>
      </c>
      <c r="J87" t="s">
        <v>330</v>
      </c>
      <c r="K87" t="s">
        <v>33</v>
      </c>
      <c r="L87" t="s">
        <v>34</v>
      </c>
      <c r="M87" t="s">
        <v>349</v>
      </c>
      <c r="N87" t="s">
        <v>350</v>
      </c>
      <c r="O87" t="s">
        <v>197</v>
      </c>
      <c r="P87" t="s">
        <v>198</v>
      </c>
      <c r="Q87" t="s">
        <v>39</v>
      </c>
      <c r="R87" t="s">
        <v>40</v>
      </c>
      <c r="S87" s="1">
        <v>29779.9</v>
      </c>
      <c r="T87" s="1">
        <v>0</v>
      </c>
      <c r="U87" s="1">
        <v>0</v>
      </c>
      <c r="V87" s="1">
        <v>29779.9</v>
      </c>
      <c r="W87">
        <v>0</v>
      </c>
    </row>
    <row r="88" spans="1:23" hidden="1" x14ac:dyDescent="0.35">
      <c r="A88" t="s">
        <v>23</v>
      </c>
      <c r="B88" t="s">
        <v>24</v>
      </c>
      <c r="C88" t="s">
        <v>351</v>
      </c>
      <c r="D88" t="s">
        <v>337</v>
      </c>
      <c r="E88" t="s">
        <v>327</v>
      </c>
      <c r="F88" t="s">
        <v>116</v>
      </c>
      <c r="G88" t="s">
        <v>338</v>
      </c>
      <c r="H88" t="s">
        <v>146</v>
      </c>
      <c r="I88" t="s">
        <v>329</v>
      </c>
      <c r="J88" t="s">
        <v>330</v>
      </c>
      <c r="K88" t="s">
        <v>33</v>
      </c>
      <c r="L88" t="s">
        <v>34</v>
      </c>
      <c r="M88" t="s">
        <v>352</v>
      </c>
      <c r="N88" t="s">
        <v>353</v>
      </c>
      <c r="O88" t="s">
        <v>197</v>
      </c>
      <c r="P88" t="s">
        <v>198</v>
      </c>
      <c r="Q88" t="s">
        <v>39</v>
      </c>
      <c r="R88" t="s">
        <v>40</v>
      </c>
      <c r="S88" s="1">
        <v>7460.5</v>
      </c>
      <c r="T88" s="1">
        <v>0</v>
      </c>
      <c r="U88" s="1">
        <v>0</v>
      </c>
      <c r="V88" s="1">
        <v>7460.5</v>
      </c>
      <c r="W88">
        <v>0</v>
      </c>
    </row>
    <row r="89" spans="1:23" hidden="1" x14ac:dyDescent="0.35">
      <c r="A89" t="s">
        <v>23</v>
      </c>
      <c r="B89" t="s">
        <v>24</v>
      </c>
      <c r="C89" t="s">
        <v>354</v>
      </c>
      <c r="D89" t="s">
        <v>337</v>
      </c>
      <c r="E89" t="s">
        <v>327</v>
      </c>
      <c r="F89" t="s">
        <v>116</v>
      </c>
      <c r="G89" t="s">
        <v>338</v>
      </c>
      <c r="H89" t="s">
        <v>146</v>
      </c>
      <c r="I89" t="s">
        <v>329</v>
      </c>
      <c r="J89" t="s">
        <v>330</v>
      </c>
      <c r="K89" t="s">
        <v>33</v>
      </c>
      <c r="L89" t="s">
        <v>34</v>
      </c>
      <c r="M89" t="s">
        <v>355</v>
      </c>
      <c r="N89" t="s">
        <v>356</v>
      </c>
      <c r="O89" t="s">
        <v>197</v>
      </c>
      <c r="P89" t="s">
        <v>198</v>
      </c>
      <c r="Q89" t="s">
        <v>39</v>
      </c>
      <c r="R89" t="s">
        <v>40</v>
      </c>
      <c r="S89" s="1">
        <v>45132.3</v>
      </c>
      <c r="T89" s="1">
        <v>0</v>
      </c>
      <c r="U89" s="1">
        <v>0</v>
      </c>
      <c r="V89" s="1">
        <v>45132.3</v>
      </c>
      <c r="W89">
        <v>0</v>
      </c>
    </row>
    <row r="90" spans="1:23" hidden="1" x14ac:dyDescent="0.35">
      <c r="A90" t="s">
        <v>23</v>
      </c>
      <c r="B90" t="s">
        <v>24</v>
      </c>
      <c r="C90" t="s">
        <v>357</v>
      </c>
      <c r="D90" t="s">
        <v>337</v>
      </c>
      <c r="E90" t="s">
        <v>327</v>
      </c>
      <c r="F90" t="s">
        <v>116</v>
      </c>
      <c r="G90" t="s">
        <v>338</v>
      </c>
      <c r="H90" t="s">
        <v>146</v>
      </c>
      <c r="I90" t="s">
        <v>329</v>
      </c>
      <c r="J90" t="s">
        <v>330</v>
      </c>
      <c r="K90" t="s">
        <v>33</v>
      </c>
      <c r="L90" t="s">
        <v>34</v>
      </c>
      <c r="M90" t="s">
        <v>358</v>
      </c>
      <c r="N90" t="s">
        <v>359</v>
      </c>
      <c r="O90" t="s">
        <v>197</v>
      </c>
      <c r="P90" t="s">
        <v>198</v>
      </c>
      <c r="Q90" t="s">
        <v>39</v>
      </c>
      <c r="R90" t="s">
        <v>40</v>
      </c>
      <c r="S90" s="1">
        <v>50.1</v>
      </c>
      <c r="T90" s="1">
        <v>0</v>
      </c>
      <c r="U90" s="1">
        <v>0</v>
      </c>
      <c r="V90" s="1">
        <v>50.1</v>
      </c>
      <c r="W90">
        <v>0</v>
      </c>
    </row>
    <row r="91" spans="1:23" hidden="1" x14ac:dyDescent="0.35">
      <c r="A91" t="s">
        <v>23</v>
      </c>
      <c r="B91" t="s">
        <v>24</v>
      </c>
      <c r="C91" t="s">
        <v>360</v>
      </c>
      <c r="D91" t="s">
        <v>337</v>
      </c>
      <c r="E91" t="s">
        <v>327</v>
      </c>
      <c r="F91" t="s">
        <v>116</v>
      </c>
      <c r="G91" t="s">
        <v>338</v>
      </c>
      <c r="H91" t="s">
        <v>48</v>
      </c>
      <c r="I91" t="s">
        <v>49</v>
      </c>
      <c r="J91" t="s">
        <v>50</v>
      </c>
      <c r="K91" t="s">
        <v>33</v>
      </c>
      <c r="L91" t="s">
        <v>51</v>
      </c>
      <c r="M91" t="s">
        <v>361</v>
      </c>
      <c r="N91" t="s">
        <v>362</v>
      </c>
      <c r="O91" t="s">
        <v>197</v>
      </c>
      <c r="P91" t="s">
        <v>198</v>
      </c>
      <c r="Q91" t="s">
        <v>39</v>
      </c>
      <c r="R91" t="s">
        <v>40</v>
      </c>
      <c r="S91" s="1">
        <v>3155.1</v>
      </c>
      <c r="T91" s="1">
        <v>0</v>
      </c>
      <c r="U91" s="1">
        <v>0</v>
      </c>
      <c r="V91" s="1">
        <v>3155.1</v>
      </c>
      <c r="W91">
        <v>0</v>
      </c>
    </row>
    <row r="92" spans="1:23" hidden="1" x14ac:dyDescent="0.35">
      <c r="A92" t="s">
        <v>23</v>
      </c>
      <c r="B92" t="s">
        <v>24</v>
      </c>
      <c r="C92" t="s">
        <v>363</v>
      </c>
      <c r="D92" t="s">
        <v>364</v>
      </c>
      <c r="E92" t="s">
        <v>365</v>
      </c>
      <c r="F92" t="s">
        <v>189</v>
      </c>
      <c r="G92" t="s">
        <v>366</v>
      </c>
      <c r="H92" t="s">
        <v>28</v>
      </c>
      <c r="I92" t="s">
        <v>231</v>
      </c>
      <c r="J92" t="s">
        <v>232</v>
      </c>
      <c r="K92" t="s">
        <v>33</v>
      </c>
      <c r="L92" t="s">
        <v>51</v>
      </c>
      <c r="M92" t="s">
        <v>367</v>
      </c>
      <c r="N92" t="s">
        <v>368</v>
      </c>
      <c r="O92" t="s">
        <v>108</v>
      </c>
      <c r="P92" t="s">
        <v>109</v>
      </c>
      <c r="Q92" t="s">
        <v>39</v>
      </c>
      <c r="R92" t="s">
        <v>40</v>
      </c>
      <c r="S92" s="1">
        <v>211289.8</v>
      </c>
      <c r="T92" s="1">
        <v>14958.820400000001</v>
      </c>
      <c r="U92" s="1">
        <v>14958.820400000001</v>
      </c>
      <c r="V92" s="1">
        <v>196330.97959999999</v>
      </c>
      <c r="W92">
        <v>7</v>
      </c>
    </row>
    <row r="93" spans="1:23" hidden="1" x14ac:dyDescent="0.35">
      <c r="A93" t="s">
        <v>23</v>
      </c>
      <c r="B93" t="s">
        <v>24</v>
      </c>
      <c r="C93" t="s">
        <v>369</v>
      </c>
      <c r="D93" t="s">
        <v>364</v>
      </c>
      <c r="E93" t="s">
        <v>365</v>
      </c>
      <c r="F93" t="s">
        <v>189</v>
      </c>
      <c r="G93" t="s">
        <v>366</v>
      </c>
      <c r="H93" t="s">
        <v>28</v>
      </c>
      <c r="I93" t="s">
        <v>231</v>
      </c>
      <c r="J93" t="s">
        <v>232</v>
      </c>
      <c r="K93" t="s">
        <v>33</v>
      </c>
      <c r="L93" t="s">
        <v>51</v>
      </c>
      <c r="M93" t="s">
        <v>367</v>
      </c>
      <c r="N93" t="s">
        <v>368</v>
      </c>
      <c r="O93" t="s">
        <v>334</v>
      </c>
      <c r="P93" t="s">
        <v>335</v>
      </c>
      <c r="Q93" t="s">
        <v>39</v>
      </c>
      <c r="R93" t="s">
        <v>40</v>
      </c>
      <c r="S93" s="1">
        <v>21225</v>
      </c>
      <c r="T93" s="1">
        <v>1117.4829999999999</v>
      </c>
      <c r="U93" s="1">
        <v>1117.4829999999999</v>
      </c>
      <c r="V93" s="1">
        <v>20107.517</v>
      </c>
      <c r="W93">
        <v>5</v>
      </c>
    </row>
    <row r="94" spans="1:23" hidden="1" x14ac:dyDescent="0.35">
      <c r="A94" t="s">
        <v>23</v>
      </c>
      <c r="B94" t="s">
        <v>24</v>
      </c>
      <c r="C94" t="s">
        <v>370</v>
      </c>
      <c r="D94" t="s">
        <v>364</v>
      </c>
      <c r="E94" t="s">
        <v>365</v>
      </c>
      <c r="F94" t="s">
        <v>189</v>
      </c>
      <c r="G94" t="s">
        <v>366</v>
      </c>
      <c r="H94" t="s">
        <v>28</v>
      </c>
      <c r="I94" t="s">
        <v>231</v>
      </c>
      <c r="J94" t="s">
        <v>232</v>
      </c>
      <c r="K94" t="s">
        <v>33</v>
      </c>
      <c r="L94" t="s">
        <v>51</v>
      </c>
      <c r="M94" t="s">
        <v>371</v>
      </c>
      <c r="N94" t="s">
        <v>372</v>
      </c>
      <c r="O94" t="s">
        <v>108</v>
      </c>
      <c r="P94" t="s">
        <v>109</v>
      </c>
      <c r="Q94" t="s">
        <v>39</v>
      </c>
      <c r="R94" t="s">
        <v>40</v>
      </c>
      <c r="S94" s="1">
        <v>3994.2</v>
      </c>
      <c r="T94" s="1">
        <v>248.69820000000001</v>
      </c>
      <c r="U94" s="1">
        <v>248.69820000000001</v>
      </c>
      <c r="V94" s="1">
        <v>3745.5018</v>
      </c>
      <c r="W94">
        <v>6</v>
      </c>
    </row>
    <row r="95" spans="1:23" hidden="1" x14ac:dyDescent="0.35">
      <c r="A95" t="s">
        <v>23</v>
      </c>
      <c r="B95" t="s">
        <v>24</v>
      </c>
      <c r="C95" t="s">
        <v>373</v>
      </c>
      <c r="D95" t="s">
        <v>364</v>
      </c>
      <c r="E95" t="s">
        <v>365</v>
      </c>
      <c r="F95" t="s">
        <v>189</v>
      </c>
      <c r="G95" t="s">
        <v>366</v>
      </c>
      <c r="H95" t="s">
        <v>28</v>
      </c>
      <c r="I95" t="s">
        <v>231</v>
      </c>
      <c r="J95" t="s">
        <v>232</v>
      </c>
      <c r="K95" t="s">
        <v>33</v>
      </c>
      <c r="L95" t="s">
        <v>51</v>
      </c>
      <c r="M95" t="s">
        <v>371</v>
      </c>
      <c r="N95" t="s">
        <v>372</v>
      </c>
      <c r="O95" t="s">
        <v>334</v>
      </c>
      <c r="P95" t="s">
        <v>335</v>
      </c>
      <c r="Q95" t="s">
        <v>39</v>
      </c>
      <c r="R95" t="s">
        <v>40</v>
      </c>
      <c r="S95" s="1">
        <v>128356.9</v>
      </c>
      <c r="T95" s="1">
        <v>9125.1803999999993</v>
      </c>
      <c r="U95" s="1">
        <v>9125.1803999999993</v>
      </c>
      <c r="V95" s="1">
        <v>119231.7196</v>
      </c>
      <c r="W95">
        <v>7</v>
      </c>
    </row>
    <row r="96" spans="1:23" hidden="1" x14ac:dyDescent="0.35">
      <c r="A96" t="s">
        <v>23</v>
      </c>
      <c r="B96" t="s">
        <v>24</v>
      </c>
      <c r="C96" t="s">
        <v>374</v>
      </c>
      <c r="D96" t="s">
        <v>364</v>
      </c>
      <c r="E96" t="s">
        <v>365</v>
      </c>
      <c r="F96" t="s">
        <v>189</v>
      </c>
      <c r="G96" t="s">
        <v>366</v>
      </c>
      <c r="H96" t="s">
        <v>28</v>
      </c>
      <c r="I96" t="s">
        <v>231</v>
      </c>
      <c r="J96" t="s">
        <v>232</v>
      </c>
      <c r="K96" t="s">
        <v>33</v>
      </c>
      <c r="L96" t="s">
        <v>51</v>
      </c>
      <c r="M96" t="s">
        <v>375</v>
      </c>
      <c r="N96" t="s">
        <v>376</v>
      </c>
      <c r="O96" t="s">
        <v>197</v>
      </c>
      <c r="P96" t="s">
        <v>198</v>
      </c>
      <c r="Q96" t="s">
        <v>39</v>
      </c>
      <c r="R96" t="s">
        <v>40</v>
      </c>
      <c r="S96" s="1">
        <v>21376.1</v>
      </c>
      <c r="T96" s="1">
        <v>0</v>
      </c>
      <c r="U96" s="1">
        <v>0</v>
      </c>
      <c r="V96" s="1">
        <v>21376.1</v>
      </c>
      <c r="W96">
        <v>0</v>
      </c>
    </row>
    <row r="97" spans="1:23" hidden="1" x14ac:dyDescent="0.35">
      <c r="A97" t="s">
        <v>23</v>
      </c>
      <c r="B97" t="s">
        <v>24</v>
      </c>
      <c r="C97" t="s">
        <v>377</v>
      </c>
      <c r="D97" t="s">
        <v>364</v>
      </c>
      <c r="E97" t="s">
        <v>365</v>
      </c>
      <c r="F97" t="s">
        <v>189</v>
      </c>
      <c r="G97" t="s">
        <v>366</v>
      </c>
      <c r="H97" t="s">
        <v>28</v>
      </c>
      <c r="I97" t="s">
        <v>231</v>
      </c>
      <c r="J97" t="s">
        <v>232</v>
      </c>
      <c r="K97" t="s">
        <v>33</v>
      </c>
      <c r="L97" t="s">
        <v>51</v>
      </c>
      <c r="M97" t="s">
        <v>378</v>
      </c>
      <c r="N97" t="s">
        <v>379</v>
      </c>
      <c r="O97" t="s">
        <v>108</v>
      </c>
      <c r="P97" t="s">
        <v>109</v>
      </c>
      <c r="Q97" t="s">
        <v>39</v>
      </c>
      <c r="R97" t="s">
        <v>40</v>
      </c>
      <c r="S97" s="1">
        <v>10959</v>
      </c>
      <c r="T97" s="1">
        <v>143.75479999999999</v>
      </c>
      <c r="U97" s="1">
        <v>143.75479999999999</v>
      </c>
      <c r="V97" s="1">
        <v>10815.245199999999</v>
      </c>
      <c r="W97">
        <v>1</v>
      </c>
    </row>
    <row r="98" spans="1:23" hidden="1" x14ac:dyDescent="0.35">
      <c r="A98" t="s">
        <v>23</v>
      </c>
      <c r="B98" t="s">
        <v>24</v>
      </c>
      <c r="C98" t="s">
        <v>380</v>
      </c>
      <c r="D98" t="s">
        <v>364</v>
      </c>
      <c r="E98" t="s">
        <v>365</v>
      </c>
      <c r="F98" t="s">
        <v>189</v>
      </c>
      <c r="G98" t="s">
        <v>366</v>
      </c>
      <c r="H98" t="s">
        <v>28</v>
      </c>
      <c r="I98" t="s">
        <v>231</v>
      </c>
      <c r="J98" t="s">
        <v>232</v>
      </c>
      <c r="K98" t="s">
        <v>33</v>
      </c>
      <c r="L98" t="s">
        <v>51</v>
      </c>
      <c r="M98" t="s">
        <v>378</v>
      </c>
      <c r="N98" t="s">
        <v>379</v>
      </c>
      <c r="O98" t="s">
        <v>334</v>
      </c>
      <c r="P98" t="s">
        <v>335</v>
      </c>
      <c r="Q98" t="s">
        <v>39</v>
      </c>
      <c r="R98" t="s">
        <v>40</v>
      </c>
      <c r="S98" s="1">
        <v>513202</v>
      </c>
      <c r="T98" s="1">
        <v>42132.2451</v>
      </c>
      <c r="U98" s="1">
        <v>42132.2451</v>
      </c>
      <c r="V98" s="1">
        <v>471069.7549</v>
      </c>
      <c r="W98">
        <v>8</v>
      </c>
    </row>
    <row r="99" spans="1:23" hidden="1" x14ac:dyDescent="0.35">
      <c r="A99" t="s">
        <v>23</v>
      </c>
      <c r="B99" t="s">
        <v>24</v>
      </c>
      <c r="C99" t="s">
        <v>381</v>
      </c>
      <c r="D99" t="s">
        <v>364</v>
      </c>
      <c r="E99" t="s">
        <v>365</v>
      </c>
      <c r="F99" t="s">
        <v>189</v>
      </c>
      <c r="G99" t="s">
        <v>366</v>
      </c>
      <c r="H99" t="s">
        <v>28</v>
      </c>
      <c r="I99" t="s">
        <v>231</v>
      </c>
      <c r="J99" t="s">
        <v>232</v>
      </c>
      <c r="K99" t="s">
        <v>33</v>
      </c>
      <c r="L99" t="s">
        <v>51</v>
      </c>
      <c r="M99" t="s">
        <v>382</v>
      </c>
      <c r="N99" t="s">
        <v>383</v>
      </c>
      <c r="O99" t="s">
        <v>108</v>
      </c>
      <c r="P99" t="s">
        <v>109</v>
      </c>
      <c r="Q99" t="s">
        <v>39</v>
      </c>
      <c r="R99" t="s">
        <v>40</v>
      </c>
      <c r="S99" s="1">
        <v>4541.7</v>
      </c>
      <c r="T99" s="1">
        <v>213.81309999999999</v>
      </c>
      <c r="U99" s="1">
        <v>213.81309999999999</v>
      </c>
      <c r="V99" s="1">
        <v>4327.8869000000004</v>
      </c>
      <c r="W99">
        <v>5</v>
      </c>
    </row>
    <row r="100" spans="1:23" hidden="1" x14ac:dyDescent="0.35">
      <c r="A100" t="s">
        <v>23</v>
      </c>
      <c r="B100" t="s">
        <v>24</v>
      </c>
      <c r="C100" t="s">
        <v>384</v>
      </c>
      <c r="D100" t="s">
        <v>364</v>
      </c>
      <c r="E100" t="s">
        <v>365</v>
      </c>
      <c r="F100" t="s">
        <v>189</v>
      </c>
      <c r="G100" t="s">
        <v>366</v>
      </c>
      <c r="H100" t="s">
        <v>28</v>
      </c>
      <c r="I100" t="s">
        <v>231</v>
      </c>
      <c r="J100" t="s">
        <v>232</v>
      </c>
      <c r="K100" t="s">
        <v>33</v>
      </c>
      <c r="L100" t="s">
        <v>51</v>
      </c>
      <c r="M100" t="s">
        <v>382</v>
      </c>
      <c r="N100" t="s">
        <v>383</v>
      </c>
      <c r="O100" t="s">
        <v>334</v>
      </c>
      <c r="P100" t="s">
        <v>335</v>
      </c>
      <c r="Q100" t="s">
        <v>39</v>
      </c>
      <c r="R100" t="s">
        <v>40</v>
      </c>
      <c r="S100" s="1">
        <v>59802</v>
      </c>
      <c r="T100" s="1">
        <v>4471.0871999999999</v>
      </c>
      <c r="U100" s="1">
        <v>4471.0871999999999</v>
      </c>
      <c r="V100" s="1">
        <v>55330.912799999998</v>
      </c>
      <c r="W100">
        <v>7</v>
      </c>
    </row>
    <row r="101" spans="1:23" hidden="1" x14ac:dyDescent="0.35">
      <c r="A101" t="s">
        <v>23</v>
      </c>
      <c r="B101" t="s">
        <v>24</v>
      </c>
      <c r="C101" t="s">
        <v>385</v>
      </c>
      <c r="D101" t="s">
        <v>364</v>
      </c>
      <c r="E101" t="s">
        <v>365</v>
      </c>
      <c r="F101" t="s">
        <v>189</v>
      </c>
      <c r="G101" t="s">
        <v>366</v>
      </c>
      <c r="H101" t="s">
        <v>28</v>
      </c>
      <c r="I101" t="s">
        <v>231</v>
      </c>
      <c r="J101" t="s">
        <v>232</v>
      </c>
      <c r="K101" t="s">
        <v>33</v>
      </c>
      <c r="L101" t="s">
        <v>51</v>
      </c>
      <c r="M101" t="s">
        <v>386</v>
      </c>
      <c r="N101" t="s">
        <v>387</v>
      </c>
      <c r="O101" t="s">
        <v>197</v>
      </c>
      <c r="P101" t="s">
        <v>198</v>
      </c>
      <c r="Q101" t="s">
        <v>39</v>
      </c>
      <c r="R101" t="s">
        <v>40</v>
      </c>
      <c r="S101" s="1">
        <v>3856.7</v>
      </c>
      <c r="T101" s="1">
        <v>0</v>
      </c>
      <c r="U101" s="1">
        <v>0</v>
      </c>
      <c r="V101" s="1">
        <v>3856.7</v>
      </c>
      <c r="W101">
        <v>0</v>
      </c>
    </row>
    <row r="102" spans="1:23" hidden="1" x14ac:dyDescent="0.35">
      <c r="A102" t="s">
        <v>23</v>
      </c>
      <c r="B102" t="s">
        <v>24</v>
      </c>
      <c r="C102" t="s">
        <v>388</v>
      </c>
      <c r="D102" t="s">
        <v>364</v>
      </c>
      <c r="E102" t="s">
        <v>365</v>
      </c>
      <c r="F102" t="s">
        <v>189</v>
      </c>
      <c r="G102" t="s">
        <v>366</v>
      </c>
      <c r="H102" t="s">
        <v>28</v>
      </c>
      <c r="I102" t="s">
        <v>231</v>
      </c>
      <c r="J102" t="s">
        <v>232</v>
      </c>
      <c r="K102" t="s">
        <v>33</v>
      </c>
      <c r="L102" t="s">
        <v>51</v>
      </c>
      <c r="M102" t="s">
        <v>389</v>
      </c>
      <c r="N102" t="s">
        <v>390</v>
      </c>
      <c r="O102" t="s">
        <v>197</v>
      </c>
      <c r="P102" t="s">
        <v>198</v>
      </c>
      <c r="Q102" t="s">
        <v>39</v>
      </c>
      <c r="R102" t="s">
        <v>40</v>
      </c>
      <c r="S102" s="1">
        <v>2500</v>
      </c>
      <c r="T102" s="1">
        <v>0</v>
      </c>
      <c r="U102" s="1">
        <v>0</v>
      </c>
      <c r="V102" s="1">
        <v>2500</v>
      </c>
      <c r="W102">
        <v>0</v>
      </c>
    </row>
    <row r="103" spans="1:23" hidden="1" x14ac:dyDescent="0.35">
      <c r="A103" t="s">
        <v>23</v>
      </c>
      <c r="B103" t="s">
        <v>24</v>
      </c>
      <c r="C103" t="s">
        <v>391</v>
      </c>
      <c r="D103" t="s">
        <v>392</v>
      </c>
      <c r="E103" t="s">
        <v>365</v>
      </c>
      <c r="F103" t="s">
        <v>28</v>
      </c>
      <c r="G103" t="s">
        <v>393</v>
      </c>
      <c r="H103" t="s">
        <v>28</v>
      </c>
      <c r="I103" t="s">
        <v>231</v>
      </c>
      <c r="J103" t="s">
        <v>232</v>
      </c>
      <c r="K103" t="s">
        <v>33</v>
      </c>
      <c r="L103" t="s">
        <v>51</v>
      </c>
      <c r="M103" t="s">
        <v>394</v>
      </c>
      <c r="N103" t="s">
        <v>395</v>
      </c>
      <c r="O103" t="s">
        <v>197</v>
      </c>
      <c r="P103" t="s">
        <v>198</v>
      </c>
      <c r="Q103" t="s">
        <v>39</v>
      </c>
      <c r="R103" t="s">
        <v>40</v>
      </c>
      <c r="S103" s="1">
        <v>51205.3</v>
      </c>
      <c r="T103" s="1">
        <v>0</v>
      </c>
      <c r="U103" s="1">
        <v>0</v>
      </c>
      <c r="V103" s="1">
        <v>51205.3</v>
      </c>
      <c r="W103">
        <v>0</v>
      </c>
    </row>
    <row r="104" spans="1:23" hidden="1" x14ac:dyDescent="0.35">
      <c r="A104" t="s">
        <v>23</v>
      </c>
      <c r="B104" t="s">
        <v>24</v>
      </c>
      <c r="C104" t="s">
        <v>396</v>
      </c>
      <c r="D104" t="s">
        <v>397</v>
      </c>
      <c r="E104" t="s">
        <v>365</v>
      </c>
      <c r="F104" t="s">
        <v>318</v>
      </c>
      <c r="G104" t="s">
        <v>398</v>
      </c>
      <c r="H104" t="s">
        <v>116</v>
      </c>
      <c r="I104" t="s">
        <v>148</v>
      </c>
      <c r="J104" t="s">
        <v>149</v>
      </c>
      <c r="K104" t="s">
        <v>33</v>
      </c>
      <c r="L104" t="s">
        <v>34</v>
      </c>
      <c r="M104" t="s">
        <v>399</v>
      </c>
      <c r="N104" t="s">
        <v>400</v>
      </c>
      <c r="O104" t="s">
        <v>401</v>
      </c>
      <c r="P104" t="s">
        <v>402</v>
      </c>
      <c r="Q104" t="s">
        <v>39</v>
      </c>
      <c r="R104" t="s">
        <v>40</v>
      </c>
      <c r="S104" s="1">
        <v>1328.7</v>
      </c>
      <c r="T104" s="1">
        <v>0</v>
      </c>
      <c r="U104" s="1">
        <v>0</v>
      </c>
      <c r="V104" s="1">
        <v>1328.7</v>
      </c>
      <c r="W104">
        <v>0</v>
      </c>
    </row>
    <row r="105" spans="1:23" hidden="1" x14ac:dyDescent="0.35">
      <c r="A105" t="s">
        <v>23</v>
      </c>
      <c r="B105" t="s">
        <v>24</v>
      </c>
      <c r="C105" t="s">
        <v>403</v>
      </c>
      <c r="D105" t="s">
        <v>404</v>
      </c>
      <c r="E105" t="s">
        <v>405</v>
      </c>
      <c r="F105" t="s">
        <v>146</v>
      </c>
      <c r="G105" t="s">
        <v>406</v>
      </c>
      <c r="H105" t="s">
        <v>318</v>
      </c>
      <c r="I105" t="s">
        <v>407</v>
      </c>
      <c r="J105" t="s">
        <v>408</v>
      </c>
      <c r="K105" t="s">
        <v>33</v>
      </c>
      <c r="L105" t="s">
        <v>51</v>
      </c>
      <c r="M105" t="s">
        <v>409</v>
      </c>
      <c r="N105" t="s">
        <v>410</v>
      </c>
      <c r="O105" t="s">
        <v>108</v>
      </c>
      <c r="P105" t="s">
        <v>109</v>
      </c>
      <c r="Q105" t="s">
        <v>39</v>
      </c>
      <c r="R105" t="s">
        <v>40</v>
      </c>
      <c r="S105" s="1">
        <v>203804.2</v>
      </c>
      <c r="T105" s="1">
        <v>10782</v>
      </c>
      <c r="U105" s="1">
        <v>10782</v>
      </c>
      <c r="V105" s="1">
        <v>193022.2</v>
      </c>
      <c r="W105">
        <v>5</v>
      </c>
    </row>
    <row r="106" spans="1:23" hidden="1" x14ac:dyDescent="0.35">
      <c r="A106" t="s">
        <v>23</v>
      </c>
      <c r="B106" t="s">
        <v>24</v>
      </c>
      <c r="C106" t="s">
        <v>411</v>
      </c>
      <c r="D106" t="s">
        <v>412</v>
      </c>
      <c r="E106" t="s">
        <v>405</v>
      </c>
      <c r="F106" t="s">
        <v>189</v>
      </c>
      <c r="G106" t="s">
        <v>413</v>
      </c>
      <c r="H106" t="s">
        <v>318</v>
      </c>
      <c r="I106" t="s">
        <v>407</v>
      </c>
      <c r="J106" t="s">
        <v>408</v>
      </c>
      <c r="K106" t="s">
        <v>33</v>
      </c>
      <c r="L106" t="s">
        <v>51</v>
      </c>
      <c r="M106" t="s">
        <v>414</v>
      </c>
      <c r="N106" t="s">
        <v>415</v>
      </c>
      <c r="O106" t="s">
        <v>197</v>
      </c>
      <c r="P106" t="s">
        <v>198</v>
      </c>
      <c r="Q106" t="s">
        <v>39</v>
      </c>
      <c r="R106" t="s">
        <v>40</v>
      </c>
      <c r="S106" s="1">
        <v>3693.1</v>
      </c>
      <c r="T106" s="1">
        <v>0</v>
      </c>
      <c r="U106" s="1">
        <v>0</v>
      </c>
      <c r="V106" s="1">
        <v>3693.1</v>
      </c>
      <c r="W106">
        <v>0</v>
      </c>
    </row>
    <row r="107" spans="1:23" hidden="1" x14ac:dyDescent="0.35">
      <c r="A107" t="s">
        <v>23</v>
      </c>
      <c r="B107" t="s">
        <v>24</v>
      </c>
      <c r="C107" t="s">
        <v>416</v>
      </c>
      <c r="D107" t="s">
        <v>417</v>
      </c>
      <c r="E107" t="s">
        <v>405</v>
      </c>
      <c r="F107" t="s">
        <v>28</v>
      </c>
      <c r="G107" t="s">
        <v>418</v>
      </c>
      <c r="H107" t="s">
        <v>318</v>
      </c>
      <c r="I107" t="s">
        <v>407</v>
      </c>
      <c r="J107" t="s">
        <v>408</v>
      </c>
      <c r="K107" t="s">
        <v>33</v>
      </c>
      <c r="L107" t="s">
        <v>51</v>
      </c>
      <c r="M107" t="s">
        <v>419</v>
      </c>
      <c r="N107" t="s">
        <v>420</v>
      </c>
      <c r="O107" t="s">
        <v>108</v>
      </c>
      <c r="P107" t="s">
        <v>109</v>
      </c>
      <c r="Q107" t="s">
        <v>39</v>
      </c>
      <c r="R107" t="s">
        <v>40</v>
      </c>
      <c r="S107" s="1">
        <v>356415.3</v>
      </c>
      <c r="T107" s="1">
        <v>17755.214899999999</v>
      </c>
      <c r="U107" s="1">
        <v>17755.214899999999</v>
      </c>
      <c r="V107" s="1">
        <v>338660.08510000003</v>
      </c>
      <c r="W107">
        <v>5</v>
      </c>
    </row>
    <row r="108" spans="1:23" hidden="1" x14ac:dyDescent="0.35">
      <c r="A108" t="s">
        <v>421</v>
      </c>
      <c r="B108" t="s">
        <v>422</v>
      </c>
      <c r="C108" t="s">
        <v>25</v>
      </c>
      <c r="D108" t="s">
        <v>26</v>
      </c>
      <c r="E108" t="s">
        <v>27</v>
      </c>
      <c r="F108" t="s">
        <v>28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 t="s">
        <v>34</v>
      </c>
      <c r="M108" t="s">
        <v>35</v>
      </c>
      <c r="N108" t="s">
        <v>36</v>
      </c>
      <c r="O108" t="s">
        <v>37</v>
      </c>
      <c r="P108" t="s">
        <v>38</v>
      </c>
      <c r="Q108" t="s">
        <v>39</v>
      </c>
      <c r="R108" t="s">
        <v>40</v>
      </c>
      <c r="S108" s="1">
        <v>730.5</v>
      </c>
      <c r="T108" s="1">
        <v>18.513999999999999</v>
      </c>
      <c r="U108" s="1">
        <v>18.513999999999999</v>
      </c>
      <c r="V108" s="1">
        <v>711.98599999999999</v>
      </c>
      <c r="W108">
        <v>3</v>
      </c>
    </row>
    <row r="109" spans="1:23" hidden="1" x14ac:dyDescent="0.35">
      <c r="A109" t="s">
        <v>421</v>
      </c>
      <c r="B109" t="s">
        <v>422</v>
      </c>
      <c r="C109" t="s">
        <v>41</v>
      </c>
      <c r="D109" t="s">
        <v>26</v>
      </c>
      <c r="E109" t="s">
        <v>27</v>
      </c>
      <c r="F109" t="s">
        <v>28</v>
      </c>
      <c r="G109" t="s">
        <v>29</v>
      </c>
      <c r="H109" t="s">
        <v>30</v>
      </c>
      <c r="I109" t="s">
        <v>31</v>
      </c>
      <c r="J109" t="s">
        <v>32</v>
      </c>
      <c r="K109" t="s">
        <v>33</v>
      </c>
      <c r="L109" t="s">
        <v>34</v>
      </c>
      <c r="M109" t="s">
        <v>35</v>
      </c>
      <c r="N109" t="s">
        <v>36</v>
      </c>
      <c r="O109" t="s">
        <v>42</v>
      </c>
      <c r="P109" t="s">
        <v>43</v>
      </c>
      <c r="Q109" t="s">
        <v>39</v>
      </c>
      <c r="R109" t="s">
        <v>40</v>
      </c>
      <c r="S109" s="1">
        <v>32.5</v>
      </c>
      <c r="T109" s="1">
        <v>0</v>
      </c>
      <c r="U109" s="1">
        <v>0</v>
      </c>
      <c r="V109" s="1">
        <v>32.5</v>
      </c>
      <c r="W109">
        <v>0</v>
      </c>
    </row>
    <row r="110" spans="1:23" hidden="1" x14ac:dyDescent="0.35">
      <c r="A110" t="s">
        <v>421</v>
      </c>
      <c r="B110" t="s">
        <v>422</v>
      </c>
      <c r="C110" t="s">
        <v>44</v>
      </c>
      <c r="D110" t="s">
        <v>45</v>
      </c>
      <c r="E110" t="s">
        <v>27</v>
      </c>
      <c r="F110" t="s">
        <v>46</v>
      </c>
      <c r="G110" t="s">
        <v>47</v>
      </c>
      <c r="H110" t="s">
        <v>48</v>
      </c>
      <c r="I110" t="s">
        <v>49</v>
      </c>
      <c r="J110" t="s">
        <v>50</v>
      </c>
      <c r="K110" t="s">
        <v>33</v>
      </c>
      <c r="L110" t="s">
        <v>51</v>
      </c>
      <c r="M110" t="s">
        <v>52</v>
      </c>
      <c r="N110" t="s">
        <v>53</v>
      </c>
      <c r="O110" t="s">
        <v>54</v>
      </c>
      <c r="P110" t="s">
        <v>55</v>
      </c>
      <c r="Q110" t="s">
        <v>39</v>
      </c>
      <c r="R110" t="s">
        <v>40</v>
      </c>
      <c r="S110" s="1">
        <v>67.2</v>
      </c>
      <c r="T110" s="1">
        <v>0</v>
      </c>
      <c r="U110" s="1">
        <v>0</v>
      </c>
      <c r="V110" s="1">
        <v>67.2</v>
      </c>
      <c r="W110">
        <v>0</v>
      </c>
    </row>
    <row r="111" spans="1:23" hidden="1" x14ac:dyDescent="0.35">
      <c r="A111" t="s">
        <v>421</v>
      </c>
      <c r="B111" t="s">
        <v>422</v>
      </c>
      <c r="C111" t="s">
        <v>56</v>
      </c>
      <c r="D111" t="s">
        <v>45</v>
      </c>
      <c r="E111" t="s">
        <v>27</v>
      </c>
      <c r="F111" t="s">
        <v>46</v>
      </c>
      <c r="G111" t="s">
        <v>47</v>
      </c>
      <c r="H111" t="s">
        <v>48</v>
      </c>
      <c r="I111" t="s">
        <v>49</v>
      </c>
      <c r="J111" t="s">
        <v>50</v>
      </c>
      <c r="K111" t="s">
        <v>33</v>
      </c>
      <c r="L111" t="s">
        <v>51</v>
      </c>
      <c r="M111" t="s">
        <v>57</v>
      </c>
      <c r="N111" t="s">
        <v>58</v>
      </c>
      <c r="O111" t="s">
        <v>37</v>
      </c>
      <c r="P111" t="s">
        <v>38</v>
      </c>
      <c r="Q111" t="s">
        <v>39</v>
      </c>
      <c r="R111" t="s">
        <v>40</v>
      </c>
      <c r="S111" s="1">
        <v>61.9</v>
      </c>
      <c r="T111" s="1">
        <v>0</v>
      </c>
      <c r="U111" s="1">
        <v>0</v>
      </c>
      <c r="V111" s="1">
        <v>61.9</v>
      </c>
      <c r="W111">
        <v>0</v>
      </c>
    </row>
    <row r="112" spans="1:23" hidden="1" x14ac:dyDescent="0.35">
      <c r="A112" t="s">
        <v>421</v>
      </c>
      <c r="B112" t="s">
        <v>422</v>
      </c>
      <c r="C112" t="s">
        <v>59</v>
      </c>
      <c r="D112" t="s">
        <v>45</v>
      </c>
      <c r="E112" t="s">
        <v>27</v>
      </c>
      <c r="F112" t="s">
        <v>46</v>
      </c>
      <c r="G112" t="s">
        <v>47</v>
      </c>
      <c r="H112" t="s">
        <v>60</v>
      </c>
      <c r="I112" t="s">
        <v>61</v>
      </c>
      <c r="J112" t="s">
        <v>62</v>
      </c>
      <c r="K112" t="s">
        <v>33</v>
      </c>
      <c r="L112" t="s">
        <v>51</v>
      </c>
      <c r="M112" t="s">
        <v>63</v>
      </c>
      <c r="N112" t="s">
        <v>64</v>
      </c>
      <c r="O112" t="s">
        <v>37</v>
      </c>
      <c r="P112" t="s">
        <v>38</v>
      </c>
      <c r="Q112" t="s">
        <v>39</v>
      </c>
      <c r="R112" t="s">
        <v>40</v>
      </c>
      <c r="S112" s="1">
        <v>216.9</v>
      </c>
      <c r="T112" s="1">
        <v>21</v>
      </c>
      <c r="U112" s="1">
        <v>21</v>
      </c>
      <c r="V112" s="1">
        <v>195.9</v>
      </c>
      <c r="W112">
        <v>10</v>
      </c>
    </row>
    <row r="113" spans="1:23" hidden="1" x14ac:dyDescent="0.35">
      <c r="A113" t="s">
        <v>421</v>
      </c>
      <c r="B113" t="s">
        <v>422</v>
      </c>
      <c r="C113" t="s">
        <v>65</v>
      </c>
      <c r="D113" t="s">
        <v>45</v>
      </c>
      <c r="E113" t="s">
        <v>27</v>
      </c>
      <c r="F113" t="s">
        <v>46</v>
      </c>
      <c r="G113" t="s">
        <v>47</v>
      </c>
      <c r="H113" t="s">
        <v>66</v>
      </c>
      <c r="I113" t="s">
        <v>67</v>
      </c>
      <c r="J113" t="s">
        <v>68</v>
      </c>
      <c r="K113" t="s">
        <v>33</v>
      </c>
      <c r="L113" t="s">
        <v>51</v>
      </c>
      <c r="M113" t="s">
        <v>69</v>
      </c>
      <c r="N113" t="s">
        <v>70</v>
      </c>
      <c r="O113" t="s">
        <v>37</v>
      </c>
      <c r="P113" t="s">
        <v>38</v>
      </c>
      <c r="Q113" t="s">
        <v>39</v>
      </c>
      <c r="R113" t="s">
        <v>40</v>
      </c>
      <c r="S113" s="1">
        <v>557.5</v>
      </c>
      <c r="T113" s="1">
        <v>0</v>
      </c>
      <c r="U113" s="1">
        <v>0</v>
      </c>
      <c r="V113" s="1">
        <v>557.5</v>
      </c>
      <c r="W113">
        <v>0</v>
      </c>
    </row>
    <row r="114" spans="1:23" hidden="1" x14ac:dyDescent="0.35">
      <c r="A114" t="s">
        <v>421</v>
      </c>
      <c r="B114" t="s">
        <v>422</v>
      </c>
      <c r="C114" t="s">
        <v>71</v>
      </c>
      <c r="D114" t="s">
        <v>45</v>
      </c>
      <c r="E114" t="s">
        <v>27</v>
      </c>
      <c r="F114" t="s">
        <v>46</v>
      </c>
      <c r="G114" t="s">
        <v>47</v>
      </c>
      <c r="H114" t="s">
        <v>30</v>
      </c>
      <c r="I114" t="s">
        <v>31</v>
      </c>
      <c r="J114" t="s">
        <v>32</v>
      </c>
      <c r="K114" t="s">
        <v>33</v>
      </c>
      <c r="L114" t="s">
        <v>34</v>
      </c>
      <c r="M114" t="s">
        <v>72</v>
      </c>
      <c r="N114" t="s">
        <v>73</v>
      </c>
      <c r="O114" t="s">
        <v>74</v>
      </c>
      <c r="P114" t="s">
        <v>75</v>
      </c>
      <c r="Q114" t="s">
        <v>39</v>
      </c>
      <c r="R114" t="s">
        <v>40</v>
      </c>
      <c r="S114" s="1">
        <v>349800.7</v>
      </c>
      <c r="T114" s="1">
        <v>42070.590400000001</v>
      </c>
      <c r="U114" s="1">
        <v>24343.963299999999</v>
      </c>
      <c r="V114" s="1">
        <v>307730.10960000003</v>
      </c>
      <c r="W114">
        <v>12</v>
      </c>
    </row>
    <row r="115" spans="1:23" hidden="1" x14ac:dyDescent="0.35">
      <c r="A115" t="s">
        <v>421</v>
      </c>
      <c r="B115" t="s">
        <v>422</v>
      </c>
      <c r="C115" t="s">
        <v>76</v>
      </c>
      <c r="D115" t="s">
        <v>45</v>
      </c>
      <c r="E115" t="s">
        <v>27</v>
      </c>
      <c r="F115" t="s">
        <v>46</v>
      </c>
      <c r="G115" t="s">
        <v>47</v>
      </c>
      <c r="H115" t="s">
        <v>30</v>
      </c>
      <c r="I115" t="s">
        <v>31</v>
      </c>
      <c r="J115" t="s">
        <v>32</v>
      </c>
      <c r="K115" t="s">
        <v>33</v>
      </c>
      <c r="L115" t="s">
        <v>34</v>
      </c>
      <c r="M115" t="s">
        <v>72</v>
      </c>
      <c r="N115" t="s">
        <v>73</v>
      </c>
      <c r="O115" t="s">
        <v>77</v>
      </c>
      <c r="P115" t="s">
        <v>78</v>
      </c>
      <c r="Q115" t="s">
        <v>39</v>
      </c>
      <c r="R115" t="s">
        <v>40</v>
      </c>
      <c r="S115" s="1">
        <v>140.5</v>
      </c>
      <c r="T115" s="1">
        <v>0.47899999999999998</v>
      </c>
      <c r="U115" s="1">
        <v>0</v>
      </c>
      <c r="V115" s="1">
        <v>140.02099999999999</v>
      </c>
      <c r="W115">
        <v>0</v>
      </c>
    </row>
    <row r="116" spans="1:23" hidden="1" x14ac:dyDescent="0.35">
      <c r="A116" t="s">
        <v>421</v>
      </c>
      <c r="B116" t="s">
        <v>422</v>
      </c>
      <c r="C116" t="s">
        <v>79</v>
      </c>
      <c r="D116" t="s">
        <v>45</v>
      </c>
      <c r="E116" t="s">
        <v>27</v>
      </c>
      <c r="F116" t="s">
        <v>46</v>
      </c>
      <c r="G116" t="s">
        <v>47</v>
      </c>
      <c r="H116" t="s">
        <v>30</v>
      </c>
      <c r="I116" t="s">
        <v>31</v>
      </c>
      <c r="J116" t="s">
        <v>32</v>
      </c>
      <c r="K116" t="s">
        <v>33</v>
      </c>
      <c r="L116" t="s">
        <v>34</v>
      </c>
      <c r="M116" t="s">
        <v>72</v>
      </c>
      <c r="N116" t="s">
        <v>73</v>
      </c>
      <c r="O116" t="s">
        <v>80</v>
      </c>
      <c r="P116" t="s">
        <v>81</v>
      </c>
      <c r="Q116" t="s">
        <v>39</v>
      </c>
      <c r="R116" t="s">
        <v>40</v>
      </c>
      <c r="S116" s="1">
        <v>105260</v>
      </c>
      <c r="T116" s="1">
        <v>14970.7837</v>
      </c>
      <c r="U116" s="1">
        <v>6900.6733000000004</v>
      </c>
      <c r="V116" s="1">
        <v>90289.2163</v>
      </c>
      <c r="W116">
        <v>14</v>
      </c>
    </row>
    <row r="117" spans="1:23" hidden="1" x14ac:dyDescent="0.35">
      <c r="A117" t="s">
        <v>421</v>
      </c>
      <c r="B117" t="s">
        <v>422</v>
      </c>
      <c r="C117" t="s">
        <v>82</v>
      </c>
      <c r="D117" t="s">
        <v>45</v>
      </c>
      <c r="E117" t="s">
        <v>27</v>
      </c>
      <c r="F117" t="s">
        <v>46</v>
      </c>
      <c r="G117" t="s">
        <v>47</v>
      </c>
      <c r="H117" t="s">
        <v>30</v>
      </c>
      <c r="I117" t="s">
        <v>31</v>
      </c>
      <c r="J117" t="s">
        <v>32</v>
      </c>
      <c r="K117" t="s">
        <v>33</v>
      </c>
      <c r="L117" t="s">
        <v>34</v>
      </c>
      <c r="M117" t="s">
        <v>72</v>
      </c>
      <c r="N117" t="s">
        <v>73</v>
      </c>
      <c r="O117" t="s">
        <v>83</v>
      </c>
      <c r="P117" t="s">
        <v>84</v>
      </c>
      <c r="Q117" t="s">
        <v>39</v>
      </c>
      <c r="R117" t="s">
        <v>40</v>
      </c>
      <c r="S117" s="1">
        <v>300</v>
      </c>
      <c r="T117" s="1">
        <v>0</v>
      </c>
      <c r="U117" s="1">
        <v>0</v>
      </c>
      <c r="V117" s="1">
        <v>300</v>
      </c>
      <c r="W117">
        <v>0</v>
      </c>
    </row>
    <row r="118" spans="1:23" hidden="1" x14ac:dyDescent="0.35">
      <c r="A118" t="s">
        <v>421</v>
      </c>
      <c r="B118" t="s">
        <v>422</v>
      </c>
      <c r="C118" t="s">
        <v>85</v>
      </c>
      <c r="D118" t="s">
        <v>45</v>
      </c>
      <c r="E118" t="s">
        <v>27</v>
      </c>
      <c r="F118" t="s">
        <v>46</v>
      </c>
      <c r="G118" t="s">
        <v>47</v>
      </c>
      <c r="H118" t="s">
        <v>30</v>
      </c>
      <c r="I118" t="s">
        <v>31</v>
      </c>
      <c r="J118" t="s">
        <v>32</v>
      </c>
      <c r="K118" t="s">
        <v>33</v>
      </c>
      <c r="L118" t="s">
        <v>34</v>
      </c>
      <c r="M118" t="s">
        <v>72</v>
      </c>
      <c r="N118" t="s">
        <v>73</v>
      </c>
      <c r="O118" t="s">
        <v>86</v>
      </c>
      <c r="P118" t="s">
        <v>87</v>
      </c>
      <c r="Q118" t="s">
        <v>39</v>
      </c>
      <c r="R118" t="s">
        <v>40</v>
      </c>
      <c r="S118" s="1">
        <v>318.8</v>
      </c>
      <c r="T118" s="1">
        <v>0</v>
      </c>
      <c r="U118" s="1">
        <v>0</v>
      </c>
      <c r="V118" s="1">
        <v>318.8</v>
      </c>
      <c r="W118">
        <v>0</v>
      </c>
    </row>
    <row r="119" spans="1:23" hidden="1" x14ac:dyDescent="0.35">
      <c r="A119" t="s">
        <v>421</v>
      </c>
      <c r="B119" t="s">
        <v>422</v>
      </c>
      <c r="C119" t="s">
        <v>88</v>
      </c>
      <c r="D119" t="s">
        <v>45</v>
      </c>
      <c r="E119" t="s">
        <v>27</v>
      </c>
      <c r="F119" t="s">
        <v>46</v>
      </c>
      <c r="G119" t="s">
        <v>47</v>
      </c>
      <c r="H119" t="s">
        <v>30</v>
      </c>
      <c r="I119" t="s">
        <v>31</v>
      </c>
      <c r="J119" t="s">
        <v>32</v>
      </c>
      <c r="K119" t="s">
        <v>33</v>
      </c>
      <c r="L119" t="s">
        <v>34</v>
      </c>
      <c r="M119" t="s">
        <v>72</v>
      </c>
      <c r="N119" t="s">
        <v>73</v>
      </c>
      <c r="O119" t="s">
        <v>37</v>
      </c>
      <c r="P119" t="s">
        <v>38</v>
      </c>
      <c r="Q119" t="s">
        <v>39</v>
      </c>
      <c r="R119" t="s">
        <v>40</v>
      </c>
      <c r="S119" s="1">
        <v>100142.1</v>
      </c>
      <c r="T119" s="1">
        <v>1990.9701</v>
      </c>
      <c r="U119" s="1">
        <v>1141.9204</v>
      </c>
      <c r="V119" s="1">
        <v>98151.1299</v>
      </c>
      <c r="W119">
        <v>2</v>
      </c>
    </row>
    <row r="120" spans="1:23" hidden="1" x14ac:dyDescent="0.35">
      <c r="A120" t="s">
        <v>421</v>
      </c>
      <c r="B120" t="s">
        <v>422</v>
      </c>
      <c r="C120" t="s">
        <v>89</v>
      </c>
      <c r="D120" t="s">
        <v>45</v>
      </c>
      <c r="E120" t="s">
        <v>27</v>
      </c>
      <c r="F120" t="s">
        <v>46</v>
      </c>
      <c r="G120" t="s">
        <v>47</v>
      </c>
      <c r="H120" t="s">
        <v>30</v>
      </c>
      <c r="I120" t="s">
        <v>31</v>
      </c>
      <c r="J120" t="s">
        <v>32</v>
      </c>
      <c r="K120" t="s">
        <v>33</v>
      </c>
      <c r="L120" t="s">
        <v>34</v>
      </c>
      <c r="M120" t="s">
        <v>72</v>
      </c>
      <c r="N120" t="s">
        <v>73</v>
      </c>
      <c r="O120" t="s">
        <v>42</v>
      </c>
      <c r="P120" t="s">
        <v>43</v>
      </c>
      <c r="Q120" t="s">
        <v>39</v>
      </c>
      <c r="R120" t="s">
        <v>40</v>
      </c>
      <c r="S120" s="1">
        <v>16962</v>
      </c>
      <c r="T120" s="1">
        <v>3452.7280999999998</v>
      </c>
      <c r="U120" s="1">
        <v>3016.0945000000002</v>
      </c>
      <c r="V120" s="1">
        <v>13509.2719</v>
      </c>
      <c r="W120">
        <v>20</v>
      </c>
    </row>
    <row r="121" spans="1:23" hidden="1" x14ac:dyDescent="0.35">
      <c r="A121" t="s">
        <v>421</v>
      </c>
      <c r="B121" t="s">
        <v>422</v>
      </c>
      <c r="C121" t="s">
        <v>90</v>
      </c>
      <c r="D121" t="s">
        <v>45</v>
      </c>
      <c r="E121" t="s">
        <v>27</v>
      </c>
      <c r="F121" t="s">
        <v>46</v>
      </c>
      <c r="G121" t="s">
        <v>47</v>
      </c>
      <c r="H121" t="s">
        <v>30</v>
      </c>
      <c r="I121" t="s">
        <v>31</v>
      </c>
      <c r="J121" t="s">
        <v>32</v>
      </c>
      <c r="K121" t="s">
        <v>33</v>
      </c>
      <c r="L121" t="s">
        <v>34</v>
      </c>
      <c r="M121" t="s">
        <v>72</v>
      </c>
      <c r="N121" t="s">
        <v>73</v>
      </c>
      <c r="O121" t="s">
        <v>91</v>
      </c>
      <c r="P121" t="s">
        <v>92</v>
      </c>
      <c r="Q121" t="s">
        <v>39</v>
      </c>
      <c r="R121" t="s">
        <v>40</v>
      </c>
      <c r="S121" s="1">
        <v>4.5</v>
      </c>
      <c r="T121" s="1">
        <v>4.5</v>
      </c>
      <c r="U121" s="1">
        <v>4.5</v>
      </c>
      <c r="V121" s="1">
        <v>0</v>
      </c>
      <c r="W121">
        <v>100</v>
      </c>
    </row>
    <row r="122" spans="1:23" hidden="1" x14ac:dyDescent="0.35">
      <c r="A122" t="s">
        <v>421</v>
      </c>
      <c r="B122" t="s">
        <v>422</v>
      </c>
      <c r="C122" t="s">
        <v>93</v>
      </c>
      <c r="D122" t="s">
        <v>45</v>
      </c>
      <c r="E122" t="s">
        <v>27</v>
      </c>
      <c r="F122" t="s">
        <v>46</v>
      </c>
      <c r="G122" t="s">
        <v>47</v>
      </c>
      <c r="H122" t="s">
        <v>30</v>
      </c>
      <c r="I122" t="s">
        <v>31</v>
      </c>
      <c r="J122" t="s">
        <v>32</v>
      </c>
      <c r="K122" t="s">
        <v>33</v>
      </c>
      <c r="L122" t="s">
        <v>34</v>
      </c>
      <c r="M122" t="s">
        <v>94</v>
      </c>
      <c r="N122" t="s">
        <v>95</v>
      </c>
      <c r="O122" t="s">
        <v>96</v>
      </c>
      <c r="P122" t="s">
        <v>97</v>
      </c>
      <c r="Q122" t="s">
        <v>39</v>
      </c>
      <c r="R122" t="s">
        <v>40</v>
      </c>
      <c r="S122" s="1">
        <v>216958.1</v>
      </c>
      <c r="T122" s="1">
        <v>32804.154699999999</v>
      </c>
      <c r="U122" s="1">
        <v>20353.8279</v>
      </c>
      <c r="V122" s="1">
        <v>184153.94529999999</v>
      </c>
      <c r="W122">
        <v>15</v>
      </c>
    </row>
    <row r="123" spans="1:23" hidden="1" x14ac:dyDescent="0.35">
      <c r="A123" t="s">
        <v>421</v>
      </c>
      <c r="B123" t="s">
        <v>422</v>
      </c>
      <c r="C123" t="s">
        <v>98</v>
      </c>
      <c r="D123" t="s">
        <v>45</v>
      </c>
      <c r="E123" t="s">
        <v>27</v>
      </c>
      <c r="F123" t="s">
        <v>46</v>
      </c>
      <c r="G123" t="s">
        <v>47</v>
      </c>
      <c r="H123" t="s">
        <v>30</v>
      </c>
      <c r="I123" t="s">
        <v>31</v>
      </c>
      <c r="J123" t="s">
        <v>32</v>
      </c>
      <c r="K123" t="s">
        <v>33</v>
      </c>
      <c r="L123" t="s">
        <v>34</v>
      </c>
      <c r="M123" t="s">
        <v>94</v>
      </c>
      <c r="N123" t="s">
        <v>95</v>
      </c>
      <c r="O123" t="s">
        <v>99</v>
      </c>
      <c r="P123" t="s">
        <v>100</v>
      </c>
      <c r="Q123" t="s">
        <v>39</v>
      </c>
      <c r="R123" t="s">
        <v>40</v>
      </c>
      <c r="S123" s="1">
        <v>65400.7</v>
      </c>
      <c r="T123" s="1">
        <v>7223.9620999999997</v>
      </c>
      <c r="U123" s="1">
        <v>5547.5258999999996</v>
      </c>
      <c r="V123" s="1">
        <v>58176.7379</v>
      </c>
      <c r="W123">
        <v>11</v>
      </c>
    </row>
    <row r="124" spans="1:23" hidden="1" x14ac:dyDescent="0.35">
      <c r="A124" t="s">
        <v>421</v>
      </c>
      <c r="B124" t="s">
        <v>422</v>
      </c>
      <c r="C124" t="s">
        <v>101</v>
      </c>
      <c r="D124" t="s">
        <v>45</v>
      </c>
      <c r="E124" t="s">
        <v>27</v>
      </c>
      <c r="F124" t="s">
        <v>46</v>
      </c>
      <c r="G124" t="s">
        <v>47</v>
      </c>
      <c r="H124" t="s">
        <v>30</v>
      </c>
      <c r="I124" t="s">
        <v>31</v>
      </c>
      <c r="J124" t="s">
        <v>32</v>
      </c>
      <c r="K124" t="s">
        <v>33</v>
      </c>
      <c r="L124" t="s">
        <v>34</v>
      </c>
      <c r="M124" t="s">
        <v>94</v>
      </c>
      <c r="N124" t="s">
        <v>95</v>
      </c>
      <c r="O124" t="s">
        <v>37</v>
      </c>
      <c r="P124" t="s">
        <v>38</v>
      </c>
      <c r="Q124" t="s">
        <v>39</v>
      </c>
      <c r="R124" t="s">
        <v>40</v>
      </c>
      <c r="S124" s="1">
        <v>4394</v>
      </c>
      <c r="T124" s="1">
        <v>692.05870000000004</v>
      </c>
      <c r="U124" s="1">
        <v>677.72929999999997</v>
      </c>
      <c r="V124" s="1">
        <v>3701.9413</v>
      </c>
      <c r="W124">
        <v>16</v>
      </c>
    </row>
    <row r="125" spans="1:23" hidden="1" x14ac:dyDescent="0.35">
      <c r="A125" t="s">
        <v>421</v>
      </c>
      <c r="B125" t="s">
        <v>422</v>
      </c>
      <c r="C125" t="s">
        <v>102</v>
      </c>
      <c r="D125" t="s">
        <v>45</v>
      </c>
      <c r="E125" t="s">
        <v>27</v>
      </c>
      <c r="F125" t="s">
        <v>46</v>
      </c>
      <c r="G125" t="s">
        <v>47</v>
      </c>
      <c r="H125" t="s">
        <v>30</v>
      </c>
      <c r="I125" t="s">
        <v>31</v>
      </c>
      <c r="J125" t="s">
        <v>32</v>
      </c>
      <c r="K125" t="s">
        <v>33</v>
      </c>
      <c r="L125" t="s">
        <v>34</v>
      </c>
      <c r="M125" t="s">
        <v>94</v>
      </c>
      <c r="N125" t="s">
        <v>95</v>
      </c>
      <c r="O125" t="s">
        <v>103</v>
      </c>
      <c r="P125" t="s">
        <v>104</v>
      </c>
      <c r="Q125" t="s">
        <v>39</v>
      </c>
      <c r="R125" t="s">
        <v>40</v>
      </c>
      <c r="S125" s="1">
        <v>3.7</v>
      </c>
      <c r="T125" s="1">
        <v>0.91700000000000004</v>
      </c>
      <c r="U125" s="1">
        <v>0.91700000000000004</v>
      </c>
      <c r="V125" s="1">
        <v>2.7829999999999999</v>
      </c>
      <c r="W125">
        <v>25</v>
      </c>
    </row>
    <row r="126" spans="1:23" hidden="1" x14ac:dyDescent="0.35">
      <c r="A126" t="s">
        <v>421</v>
      </c>
      <c r="B126" t="s">
        <v>422</v>
      </c>
      <c r="C126" t="s">
        <v>105</v>
      </c>
      <c r="D126" t="s">
        <v>45</v>
      </c>
      <c r="E126" t="s">
        <v>27</v>
      </c>
      <c r="F126" t="s">
        <v>46</v>
      </c>
      <c r="G126" t="s">
        <v>47</v>
      </c>
      <c r="H126" t="s">
        <v>30</v>
      </c>
      <c r="I126" t="s">
        <v>31</v>
      </c>
      <c r="J126" t="s">
        <v>32</v>
      </c>
      <c r="K126" t="s">
        <v>33</v>
      </c>
      <c r="L126" t="s">
        <v>34</v>
      </c>
      <c r="M126" t="s">
        <v>106</v>
      </c>
      <c r="N126" t="s">
        <v>107</v>
      </c>
      <c r="O126" t="s">
        <v>108</v>
      </c>
      <c r="P126" t="s">
        <v>109</v>
      </c>
      <c r="Q126" t="s">
        <v>39</v>
      </c>
      <c r="R126" t="s">
        <v>40</v>
      </c>
      <c r="S126" s="1">
        <v>81533.600000000006</v>
      </c>
      <c r="T126" s="1">
        <v>10786.1237</v>
      </c>
      <c r="U126" s="1">
        <v>7067.7610000000004</v>
      </c>
      <c r="V126" s="1">
        <v>70747.476299999995</v>
      </c>
      <c r="W126">
        <v>13</v>
      </c>
    </row>
    <row r="127" spans="1:23" hidden="1" x14ac:dyDescent="0.35">
      <c r="A127" t="s">
        <v>421</v>
      </c>
      <c r="B127" t="s">
        <v>422</v>
      </c>
      <c r="C127" t="s">
        <v>110</v>
      </c>
      <c r="D127" t="s">
        <v>45</v>
      </c>
      <c r="E127" t="s">
        <v>27</v>
      </c>
      <c r="F127" t="s">
        <v>46</v>
      </c>
      <c r="G127" t="s">
        <v>47</v>
      </c>
      <c r="H127" t="s">
        <v>30</v>
      </c>
      <c r="I127" t="s">
        <v>31</v>
      </c>
      <c r="J127" t="s">
        <v>32</v>
      </c>
      <c r="K127" t="s">
        <v>33</v>
      </c>
      <c r="L127" t="s">
        <v>34</v>
      </c>
      <c r="M127" t="s">
        <v>111</v>
      </c>
      <c r="N127" t="s">
        <v>112</v>
      </c>
      <c r="O127" t="s">
        <v>37</v>
      </c>
      <c r="P127" t="s">
        <v>38</v>
      </c>
      <c r="Q127" t="s">
        <v>39</v>
      </c>
      <c r="R127" t="s">
        <v>40</v>
      </c>
      <c r="S127" s="1">
        <v>6933</v>
      </c>
      <c r="T127" s="1">
        <v>1044.7482</v>
      </c>
      <c r="U127" s="1">
        <v>546.08159999999998</v>
      </c>
      <c r="V127" s="1">
        <v>5888.2518</v>
      </c>
      <c r="W127">
        <v>15</v>
      </c>
    </row>
    <row r="128" spans="1:23" hidden="1" x14ac:dyDescent="0.35">
      <c r="A128" t="s">
        <v>421</v>
      </c>
      <c r="B128" t="s">
        <v>422</v>
      </c>
      <c r="C128" t="s">
        <v>113</v>
      </c>
      <c r="D128" t="s">
        <v>114</v>
      </c>
      <c r="E128" t="s">
        <v>115</v>
      </c>
      <c r="F128" t="s">
        <v>116</v>
      </c>
      <c r="G128" t="s">
        <v>117</v>
      </c>
      <c r="H128" t="s">
        <v>48</v>
      </c>
      <c r="I128" t="s">
        <v>49</v>
      </c>
      <c r="J128" t="s">
        <v>50</v>
      </c>
      <c r="K128" t="s">
        <v>33</v>
      </c>
      <c r="L128" t="s">
        <v>51</v>
      </c>
      <c r="M128" t="s">
        <v>118</v>
      </c>
      <c r="N128" t="s">
        <v>119</v>
      </c>
      <c r="O128" t="s">
        <v>37</v>
      </c>
      <c r="P128" t="s">
        <v>38</v>
      </c>
      <c r="Q128" t="s">
        <v>39</v>
      </c>
      <c r="R128" t="s">
        <v>40</v>
      </c>
      <c r="S128" s="1">
        <v>7193.2</v>
      </c>
      <c r="T128" s="1">
        <v>1525.3012000000001</v>
      </c>
      <c r="U128" s="1">
        <v>1525.3012000000001</v>
      </c>
      <c r="V128" s="1">
        <v>5667.8987999999999</v>
      </c>
      <c r="W128">
        <v>21</v>
      </c>
    </row>
    <row r="129" spans="1:23" hidden="1" x14ac:dyDescent="0.35">
      <c r="A129" t="s">
        <v>421</v>
      </c>
      <c r="B129" t="s">
        <v>422</v>
      </c>
      <c r="C129" t="s">
        <v>120</v>
      </c>
      <c r="D129" t="s">
        <v>114</v>
      </c>
      <c r="E129" t="s">
        <v>115</v>
      </c>
      <c r="F129" t="s">
        <v>116</v>
      </c>
      <c r="G129" t="s">
        <v>117</v>
      </c>
      <c r="H129" t="s">
        <v>48</v>
      </c>
      <c r="I129" t="s">
        <v>49</v>
      </c>
      <c r="J129" t="s">
        <v>50</v>
      </c>
      <c r="K129" t="s">
        <v>33</v>
      </c>
      <c r="L129" t="s">
        <v>51</v>
      </c>
      <c r="M129" t="s">
        <v>118</v>
      </c>
      <c r="N129" t="s">
        <v>119</v>
      </c>
      <c r="O129" t="s">
        <v>42</v>
      </c>
      <c r="P129" t="s">
        <v>43</v>
      </c>
      <c r="Q129" t="s">
        <v>39</v>
      </c>
      <c r="R129" t="s">
        <v>40</v>
      </c>
      <c r="S129" s="1">
        <v>9131.9</v>
      </c>
      <c r="T129" s="1">
        <v>0</v>
      </c>
      <c r="U129" s="1">
        <v>0</v>
      </c>
      <c r="V129" s="1">
        <v>9131.9</v>
      </c>
      <c r="W129">
        <v>0</v>
      </c>
    </row>
    <row r="130" spans="1:23" hidden="1" x14ac:dyDescent="0.35">
      <c r="A130" t="s">
        <v>421</v>
      </c>
      <c r="B130" t="s">
        <v>422</v>
      </c>
      <c r="C130" t="s">
        <v>121</v>
      </c>
      <c r="D130" t="s">
        <v>114</v>
      </c>
      <c r="E130" t="s">
        <v>115</v>
      </c>
      <c r="F130" t="s">
        <v>116</v>
      </c>
      <c r="G130" t="s">
        <v>117</v>
      </c>
      <c r="H130" t="s">
        <v>48</v>
      </c>
      <c r="I130" t="s">
        <v>49</v>
      </c>
      <c r="J130" t="s">
        <v>50</v>
      </c>
      <c r="K130" t="s">
        <v>33</v>
      </c>
      <c r="L130" t="s">
        <v>51</v>
      </c>
      <c r="M130" t="s">
        <v>118</v>
      </c>
      <c r="N130" t="s">
        <v>119</v>
      </c>
      <c r="O130" t="s">
        <v>122</v>
      </c>
      <c r="P130" t="s">
        <v>123</v>
      </c>
      <c r="Q130" t="s">
        <v>39</v>
      </c>
      <c r="R130" t="s">
        <v>40</v>
      </c>
      <c r="S130" s="1">
        <v>7025.2</v>
      </c>
      <c r="T130" s="1">
        <v>655.77149999999995</v>
      </c>
      <c r="U130" s="1">
        <v>655.77149999999995</v>
      </c>
      <c r="V130" s="1">
        <v>6369.4285</v>
      </c>
      <c r="W130">
        <v>9</v>
      </c>
    </row>
    <row r="131" spans="1:23" hidden="1" x14ac:dyDescent="0.35">
      <c r="A131" t="s">
        <v>421</v>
      </c>
      <c r="B131" t="s">
        <v>422</v>
      </c>
      <c r="C131" t="s">
        <v>124</v>
      </c>
      <c r="D131" t="s">
        <v>114</v>
      </c>
      <c r="E131" t="s">
        <v>115</v>
      </c>
      <c r="F131" t="s">
        <v>116</v>
      </c>
      <c r="G131" t="s">
        <v>117</v>
      </c>
      <c r="H131" t="s">
        <v>48</v>
      </c>
      <c r="I131" t="s">
        <v>49</v>
      </c>
      <c r="J131" t="s">
        <v>50</v>
      </c>
      <c r="K131" t="s">
        <v>33</v>
      </c>
      <c r="L131" t="s">
        <v>51</v>
      </c>
      <c r="M131" t="s">
        <v>118</v>
      </c>
      <c r="N131" t="s">
        <v>119</v>
      </c>
      <c r="O131" t="s">
        <v>125</v>
      </c>
      <c r="P131" t="s">
        <v>126</v>
      </c>
      <c r="Q131" t="s">
        <v>39</v>
      </c>
      <c r="R131" t="s">
        <v>40</v>
      </c>
      <c r="S131" s="1">
        <v>3050</v>
      </c>
      <c r="T131" s="1">
        <v>318.58760000000001</v>
      </c>
      <c r="U131" s="1">
        <v>318.58760000000001</v>
      </c>
      <c r="V131" s="1">
        <v>2731.4124000000002</v>
      </c>
      <c r="W131">
        <v>10</v>
      </c>
    </row>
    <row r="132" spans="1:23" hidden="1" x14ac:dyDescent="0.35">
      <c r="A132" t="s">
        <v>421</v>
      </c>
      <c r="B132" t="s">
        <v>422</v>
      </c>
      <c r="C132" t="s">
        <v>127</v>
      </c>
      <c r="D132" t="s">
        <v>114</v>
      </c>
      <c r="E132" t="s">
        <v>115</v>
      </c>
      <c r="F132" t="s">
        <v>116</v>
      </c>
      <c r="G132" t="s">
        <v>117</v>
      </c>
      <c r="H132" t="s">
        <v>48</v>
      </c>
      <c r="I132" t="s">
        <v>49</v>
      </c>
      <c r="J132" t="s">
        <v>50</v>
      </c>
      <c r="K132" t="s">
        <v>33</v>
      </c>
      <c r="L132" t="s">
        <v>51</v>
      </c>
      <c r="M132" t="s">
        <v>128</v>
      </c>
      <c r="N132" t="s">
        <v>129</v>
      </c>
      <c r="O132" t="s">
        <v>86</v>
      </c>
      <c r="P132" t="s">
        <v>87</v>
      </c>
      <c r="Q132" t="s">
        <v>39</v>
      </c>
      <c r="R132" t="s">
        <v>40</v>
      </c>
      <c r="S132" s="1">
        <v>33821.9</v>
      </c>
      <c r="T132" s="1">
        <v>0</v>
      </c>
      <c r="U132" s="1">
        <v>0</v>
      </c>
      <c r="V132" s="1">
        <v>33821.9</v>
      </c>
      <c r="W132">
        <v>0</v>
      </c>
    </row>
    <row r="133" spans="1:23" hidden="1" x14ac:dyDescent="0.35">
      <c r="A133" t="s">
        <v>421</v>
      </c>
      <c r="B133" t="s">
        <v>422</v>
      </c>
      <c r="C133" t="s">
        <v>130</v>
      </c>
      <c r="D133" t="s">
        <v>131</v>
      </c>
      <c r="E133" t="s">
        <v>115</v>
      </c>
      <c r="F133" t="s">
        <v>132</v>
      </c>
      <c r="G133" t="s">
        <v>133</v>
      </c>
      <c r="H133" t="s">
        <v>48</v>
      </c>
      <c r="I133" t="s">
        <v>49</v>
      </c>
      <c r="J133" t="s">
        <v>50</v>
      </c>
      <c r="K133" t="s">
        <v>33</v>
      </c>
      <c r="L133" t="s">
        <v>51</v>
      </c>
      <c r="M133" t="s">
        <v>134</v>
      </c>
      <c r="N133" t="s">
        <v>135</v>
      </c>
      <c r="O133" t="s">
        <v>37</v>
      </c>
      <c r="P133" t="s">
        <v>38</v>
      </c>
      <c r="Q133" t="s">
        <v>39</v>
      </c>
      <c r="R133" t="s">
        <v>40</v>
      </c>
      <c r="S133" s="1">
        <v>23.1</v>
      </c>
      <c r="T133" s="1">
        <v>0</v>
      </c>
      <c r="U133" s="1">
        <v>0</v>
      </c>
      <c r="V133" s="1">
        <v>23.1</v>
      </c>
      <c r="W133">
        <v>0</v>
      </c>
    </row>
    <row r="134" spans="1:23" hidden="1" x14ac:dyDescent="0.35">
      <c r="A134" t="s">
        <v>421</v>
      </c>
      <c r="B134" t="s">
        <v>422</v>
      </c>
      <c r="C134" t="s">
        <v>136</v>
      </c>
      <c r="D134" t="s">
        <v>137</v>
      </c>
      <c r="E134" t="s">
        <v>138</v>
      </c>
      <c r="F134" t="s">
        <v>139</v>
      </c>
      <c r="G134" t="s">
        <v>140</v>
      </c>
      <c r="H134" t="s">
        <v>30</v>
      </c>
      <c r="I134" t="s">
        <v>31</v>
      </c>
      <c r="J134" t="s">
        <v>32</v>
      </c>
      <c r="K134" t="s">
        <v>33</v>
      </c>
      <c r="L134" t="s">
        <v>34</v>
      </c>
      <c r="M134" t="s">
        <v>141</v>
      </c>
      <c r="N134" t="s">
        <v>142</v>
      </c>
      <c r="O134" t="s">
        <v>83</v>
      </c>
      <c r="P134" t="s">
        <v>84</v>
      </c>
      <c r="Q134" t="s">
        <v>39</v>
      </c>
      <c r="R134" t="s">
        <v>40</v>
      </c>
      <c r="S134" s="1">
        <v>5651.9</v>
      </c>
      <c r="T134" s="1">
        <v>78.907399999999996</v>
      </c>
      <c r="U134" s="1">
        <v>0</v>
      </c>
      <c r="V134" s="1">
        <v>5572.9925999999996</v>
      </c>
      <c r="W134">
        <v>1</v>
      </c>
    </row>
    <row r="135" spans="1:23" hidden="1" x14ac:dyDescent="0.35">
      <c r="A135" t="s">
        <v>421</v>
      </c>
      <c r="B135" t="s">
        <v>422</v>
      </c>
      <c r="C135" t="s">
        <v>143</v>
      </c>
      <c r="D135" t="s">
        <v>144</v>
      </c>
      <c r="E135" t="s">
        <v>145</v>
      </c>
      <c r="F135" t="s">
        <v>146</v>
      </c>
      <c r="G135" t="s">
        <v>147</v>
      </c>
      <c r="H135" t="s">
        <v>116</v>
      </c>
      <c r="I135" t="s">
        <v>148</v>
      </c>
      <c r="J135" t="s">
        <v>149</v>
      </c>
      <c r="K135" t="s">
        <v>33</v>
      </c>
      <c r="L135" t="s">
        <v>34</v>
      </c>
      <c r="M135" t="s">
        <v>150</v>
      </c>
      <c r="N135" t="s">
        <v>151</v>
      </c>
      <c r="O135" t="s">
        <v>37</v>
      </c>
      <c r="P135" t="s">
        <v>38</v>
      </c>
      <c r="Q135" t="s">
        <v>39</v>
      </c>
      <c r="R135" t="s">
        <v>40</v>
      </c>
      <c r="S135" s="1">
        <v>5465.8</v>
      </c>
      <c r="T135" s="1">
        <v>0</v>
      </c>
      <c r="U135" s="1">
        <v>0</v>
      </c>
      <c r="V135" s="1">
        <v>5465.8</v>
      </c>
      <c r="W135">
        <v>0</v>
      </c>
    </row>
    <row r="136" spans="1:23" hidden="1" x14ac:dyDescent="0.35">
      <c r="A136" t="s">
        <v>421</v>
      </c>
      <c r="B136" t="s">
        <v>422</v>
      </c>
      <c r="C136" t="s">
        <v>152</v>
      </c>
      <c r="D136" t="s">
        <v>144</v>
      </c>
      <c r="E136" t="s">
        <v>145</v>
      </c>
      <c r="F136" t="s">
        <v>146</v>
      </c>
      <c r="G136" t="s">
        <v>147</v>
      </c>
      <c r="H136" t="s">
        <v>116</v>
      </c>
      <c r="I136" t="s">
        <v>148</v>
      </c>
      <c r="J136" t="s">
        <v>149</v>
      </c>
      <c r="K136" t="s">
        <v>33</v>
      </c>
      <c r="L136" t="s">
        <v>34</v>
      </c>
      <c r="M136" t="s">
        <v>153</v>
      </c>
      <c r="N136" t="s">
        <v>154</v>
      </c>
      <c r="O136" t="s">
        <v>37</v>
      </c>
      <c r="P136" t="s">
        <v>38</v>
      </c>
      <c r="Q136" t="s">
        <v>39</v>
      </c>
      <c r="R136" t="s">
        <v>40</v>
      </c>
      <c r="S136" s="1">
        <v>35373.199999999997</v>
      </c>
      <c r="T136" s="1">
        <v>0</v>
      </c>
      <c r="U136" s="1">
        <v>0</v>
      </c>
      <c r="V136" s="1">
        <v>35373.199999999997</v>
      </c>
      <c r="W136">
        <v>0</v>
      </c>
    </row>
    <row r="137" spans="1:23" hidden="1" x14ac:dyDescent="0.35">
      <c r="A137" t="s">
        <v>421</v>
      </c>
      <c r="B137" t="s">
        <v>422</v>
      </c>
      <c r="C137" t="s">
        <v>155</v>
      </c>
      <c r="D137" t="s">
        <v>144</v>
      </c>
      <c r="E137" t="s">
        <v>145</v>
      </c>
      <c r="F137" t="s">
        <v>146</v>
      </c>
      <c r="G137" t="s">
        <v>147</v>
      </c>
      <c r="H137" t="s">
        <v>116</v>
      </c>
      <c r="I137" t="s">
        <v>148</v>
      </c>
      <c r="J137" t="s">
        <v>149</v>
      </c>
      <c r="K137" t="s">
        <v>33</v>
      </c>
      <c r="L137" t="s">
        <v>34</v>
      </c>
      <c r="M137" t="s">
        <v>156</v>
      </c>
      <c r="N137" t="s">
        <v>157</v>
      </c>
      <c r="O137" t="s">
        <v>37</v>
      </c>
      <c r="P137" t="s">
        <v>38</v>
      </c>
      <c r="Q137" t="s">
        <v>39</v>
      </c>
      <c r="R137" t="s">
        <v>40</v>
      </c>
      <c r="S137" s="1">
        <v>3442.8</v>
      </c>
      <c r="T137" s="1">
        <v>0</v>
      </c>
      <c r="U137" s="1">
        <v>0</v>
      </c>
      <c r="V137" s="1">
        <v>3442.8</v>
      </c>
      <c r="W137">
        <v>0</v>
      </c>
    </row>
    <row r="138" spans="1:23" hidden="1" x14ac:dyDescent="0.35">
      <c r="A138" t="s">
        <v>421</v>
      </c>
      <c r="B138" t="s">
        <v>422</v>
      </c>
      <c r="C138" t="s">
        <v>158</v>
      </c>
      <c r="D138" t="s">
        <v>144</v>
      </c>
      <c r="E138" t="s">
        <v>145</v>
      </c>
      <c r="F138" t="s">
        <v>146</v>
      </c>
      <c r="G138" t="s">
        <v>147</v>
      </c>
      <c r="H138" t="s">
        <v>116</v>
      </c>
      <c r="I138" t="s">
        <v>148</v>
      </c>
      <c r="J138" t="s">
        <v>149</v>
      </c>
      <c r="K138" t="s">
        <v>33</v>
      </c>
      <c r="L138" t="s">
        <v>34</v>
      </c>
      <c r="M138" t="s">
        <v>156</v>
      </c>
      <c r="N138" t="s">
        <v>157</v>
      </c>
      <c r="O138" t="s">
        <v>125</v>
      </c>
      <c r="P138" t="s">
        <v>126</v>
      </c>
      <c r="Q138" t="s">
        <v>39</v>
      </c>
      <c r="R138" t="s">
        <v>40</v>
      </c>
      <c r="S138" s="1">
        <v>110377</v>
      </c>
      <c r="T138" s="1">
        <v>1495.5988</v>
      </c>
      <c r="U138" s="1">
        <v>1495.5988</v>
      </c>
      <c r="V138" s="1">
        <v>108881.40119999999</v>
      </c>
      <c r="W138">
        <v>1</v>
      </c>
    </row>
    <row r="139" spans="1:23" hidden="1" x14ac:dyDescent="0.35">
      <c r="A139" t="s">
        <v>421</v>
      </c>
      <c r="B139" t="s">
        <v>422</v>
      </c>
      <c r="C139" t="s">
        <v>159</v>
      </c>
      <c r="D139" t="s">
        <v>144</v>
      </c>
      <c r="E139" t="s">
        <v>145</v>
      </c>
      <c r="F139" t="s">
        <v>146</v>
      </c>
      <c r="G139" t="s">
        <v>147</v>
      </c>
      <c r="H139" t="s">
        <v>116</v>
      </c>
      <c r="I139" t="s">
        <v>148</v>
      </c>
      <c r="J139" t="s">
        <v>149</v>
      </c>
      <c r="K139" t="s">
        <v>33</v>
      </c>
      <c r="L139" t="s">
        <v>34</v>
      </c>
      <c r="M139" t="s">
        <v>160</v>
      </c>
      <c r="N139" t="s">
        <v>161</v>
      </c>
      <c r="O139" t="s">
        <v>37</v>
      </c>
      <c r="P139" t="s">
        <v>38</v>
      </c>
      <c r="Q139" t="s">
        <v>39</v>
      </c>
      <c r="R139" t="s">
        <v>40</v>
      </c>
      <c r="S139" s="1">
        <v>21046</v>
      </c>
      <c r="T139" s="1">
        <v>51.616199999999999</v>
      </c>
      <c r="U139" s="1">
        <v>51.616199999999999</v>
      </c>
      <c r="V139" s="1">
        <v>20994.3838</v>
      </c>
      <c r="W139">
        <v>0</v>
      </c>
    </row>
    <row r="140" spans="1:23" hidden="1" x14ac:dyDescent="0.35">
      <c r="A140" t="s">
        <v>421</v>
      </c>
      <c r="B140" t="s">
        <v>422</v>
      </c>
      <c r="C140" t="s">
        <v>162</v>
      </c>
      <c r="D140" t="s">
        <v>144</v>
      </c>
      <c r="E140" t="s">
        <v>145</v>
      </c>
      <c r="F140" t="s">
        <v>146</v>
      </c>
      <c r="G140" t="s">
        <v>147</v>
      </c>
      <c r="H140" t="s">
        <v>116</v>
      </c>
      <c r="I140" t="s">
        <v>148</v>
      </c>
      <c r="J140" t="s">
        <v>149</v>
      </c>
      <c r="K140" t="s">
        <v>33</v>
      </c>
      <c r="L140" t="s">
        <v>34</v>
      </c>
      <c r="M140" t="s">
        <v>160</v>
      </c>
      <c r="N140" t="s">
        <v>161</v>
      </c>
      <c r="O140" t="s">
        <v>42</v>
      </c>
      <c r="P140" t="s">
        <v>43</v>
      </c>
      <c r="Q140" t="s">
        <v>39</v>
      </c>
      <c r="R140" t="s">
        <v>40</v>
      </c>
      <c r="S140" s="1">
        <v>10536.1</v>
      </c>
      <c r="T140" s="1">
        <v>908.7722</v>
      </c>
      <c r="U140" s="1">
        <v>908.7722</v>
      </c>
      <c r="V140" s="1">
        <v>9627.3277999999991</v>
      </c>
      <c r="W140">
        <v>9</v>
      </c>
    </row>
    <row r="141" spans="1:23" hidden="1" x14ac:dyDescent="0.35">
      <c r="A141" t="s">
        <v>421</v>
      </c>
      <c r="B141" t="s">
        <v>422</v>
      </c>
      <c r="C141" t="s">
        <v>163</v>
      </c>
      <c r="D141" t="s">
        <v>144</v>
      </c>
      <c r="E141" t="s">
        <v>145</v>
      </c>
      <c r="F141" t="s">
        <v>146</v>
      </c>
      <c r="G141" t="s">
        <v>147</v>
      </c>
      <c r="H141" t="s">
        <v>116</v>
      </c>
      <c r="I141" t="s">
        <v>148</v>
      </c>
      <c r="J141" t="s">
        <v>149</v>
      </c>
      <c r="K141" t="s">
        <v>33</v>
      </c>
      <c r="L141" t="s">
        <v>34</v>
      </c>
      <c r="M141" t="s">
        <v>160</v>
      </c>
      <c r="N141" t="s">
        <v>161</v>
      </c>
      <c r="O141" t="s">
        <v>125</v>
      </c>
      <c r="P141" t="s">
        <v>126</v>
      </c>
      <c r="Q141" t="s">
        <v>39</v>
      </c>
      <c r="R141" t="s">
        <v>40</v>
      </c>
      <c r="S141" s="1">
        <v>4782.6000000000004</v>
      </c>
      <c r="T141" s="1">
        <v>493.51130000000001</v>
      </c>
      <c r="U141" s="1">
        <v>493.51130000000001</v>
      </c>
      <c r="V141" s="1">
        <v>4289.0887000000002</v>
      </c>
      <c r="W141">
        <v>10</v>
      </c>
    </row>
    <row r="142" spans="1:23" hidden="1" x14ac:dyDescent="0.35">
      <c r="A142" t="s">
        <v>421</v>
      </c>
      <c r="B142" t="s">
        <v>422</v>
      </c>
      <c r="C142" t="s">
        <v>423</v>
      </c>
      <c r="D142" t="s">
        <v>165</v>
      </c>
      <c r="E142" t="s">
        <v>145</v>
      </c>
      <c r="F142" t="s">
        <v>28</v>
      </c>
      <c r="G142" t="s">
        <v>166</v>
      </c>
      <c r="H142" t="s">
        <v>139</v>
      </c>
      <c r="I142" t="s">
        <v>167</v>
      </c>
      <c r="J142" t="s">
        <v>168</v>
      </c>
      <c r="K142" t="s">
        <v>33</v>
      </c>
      <c r="L142" t="s">
        <v>51</v>
      </c>
      <c r="M142" t="s">
        <v>424</v>
      </c>
      <c r="N142" t="s">
        <v>425</v>
      </c>
      <c r="O142" t="s">
        <v>37</v>
      </c>
      <c r="P142" t="s">
        <v>38</v>
      </c>
      <c r="Q142" t="s">
        <v>39</v>
      </c>
      <c r="R142" t="s">
        <v>40</v>
      </c>
      <c r="S142" s="1">
        <v>521.20000000000005</v>
      </c>
      <c r="T142" s="1">
        <v>0</v>
      </c>
      <c r="U142" s="1">
        <v>0</v>
      </c>
      <c r="V142" s="1">
        <v>521.20000000000005</v>
      </c>
      <c r="W142">
        <v>0</v>
      </c>
    </row>
    <row r="143" spans="1:23" hidden="1" x14ac:dyDescent="0.35">
      <c r="A143" t="s">
        <v>421</v>
      </c>
      <c r="B143" t="s">
        <v>422</v>
      </c>
      <c r="C143" t="s">
        <v>164</v>
      </c>
      <c r="D143" t="s">
        <v>165</v>
      </c>
      <c r="E143" t="s">
        <v>145</v>
      </c>
      <c r="F143" t="s">
        <v>28</v>
      </c>
      <c r="G143" t="s">
        <v>166</v>
      </c>
      <c r="H143" t="s">
        <v>139</v>
      </c>
      <c r="I143" t="s">
        <v>167</v>
      </c>
      <c r="J143" t="s">
        <v>168</v>
      </c>
      <c r="K143" t="s">
        <v>33</v>
      </c>
      <c r="L143" t="s">
        <v>51</v>
      </c>
      <c r="M143" t="s">
        <v>169</v>
      </c>
      <c r="N143" t="s">
        <v>170</v>
      </c>
      <c r="O143" t="s">
        <v>37</v>
      </c>
      <c r="P143" t="s">
        <v>38</v>
      </c>
      <c r="Q143" t="s">
        <v>39</v>
      </c>
      <c r="R143" t="s">
        <v>40</v>
      </c>
      <c r="S143" s="1">
        <v>39330.300000000003</v>
      </c>
      <c r="T143" s="1">
        <v>1030.9217000000001</v>
      </c>
      <c r="U143" s="1">
        <v>1030.9217000000001</v>
      </c>
      <c r="V143" s="1">
        <v>38299.378299999997</v>
      </c>
      <c r="W143">
        <v>3</v>
      </c>
    </row>
    <row r="144" spans="1:23" hidden="1" x14ac:dyDescent="0.35">
      <c r="A144" t="s">
        <v>421</v>
      </c>
      <c r="B144" t="s">
        <v>422</v>
      </c>
      <c r="C144" t="s">
        <v>171</v>
      </c>
      <c r="D144" t="s">
        <v>165</v>
      </c>
      <c r="E144" t="s">
        <v>145</v>
      </c>
      <c r="F144" t="s">
        <v>28</v>
      </c>
      <c r="G144" t="s">
        <v>166</v>
      </c>
      <c r="H144" t="s">
        <v>139</v>
      </c>
      <c r="I144" t="s">
        <v>167</v>
      </c>
      <c r="J144" t="s">
        <v>168</v>
      </c>
      <c r="K144" t="s">
        <v>33</v>
      </c>
      <c r="L144" t="s">
        <v>51</v>
      </c>
      <c r="M144" t="s">
        <v>172</v>
      </c>
      <c r="N144" t="s">
        <v>173</v>
      </c>
      <c r="O144" t="s">
        <v>37</v>
      </c>
      <c r="P144" t="s">
        <v>38</v>
      </c>
      <c r="Q144" t="s">
        <v>39</v>
      </c>
      <c r="R144" t="s">
        <v>40</v>
      </c>
      <c r="S144" s="1">
        <v>1577.6</v>
      </c>
      <c r="T144" s="1">
        <v>0</v>
      </c>
      <c r="U144" s="1">
        <v>0</v>
      </c>
      <c r="V144" s="1">
        <v>1577.6</v>
      </c>
      <c r="W144">
        <v>0</v>
      </c>
    </row>
    <row r="145" spans="1:23" hidden="1" x14ac:dyDescent="0.35">
      <c r="A145" t="s">
        <v>421</v>
      </c>
      <c r="B145" t="s">
        <v>422</v>
      </c>
      <c r="C145" t="s">
        <v>174</v>
      </c>
      <c r="D145" t="s">
        <v>175</v>
      </c>
      <c r="E145" t="s">
        <v>145</v>
      </c>
      <c r="F145" t="s">
        <v>176</v>
      </c>
      <c r="G145" t="s">
        <v>177</v>
      </c>
      <c r="H145" t="s">
        <v>116</v>
      </c>
      <c r="I145" t="s">
        <v>148</v>
      </c>
      <c r="J145" t="s">
        <v>149</v>
      </c>
      <c r="K145" t="s">
        <v>33</v>
      </c>
      <c r="L145" t="s">
        <v>34</v>
      </c>
      <c r="M145" t="s">
        <v>178</v>
      </c>
      <c r="N145" t="s">
        <v>179</v>
      </c>
      <c r="O145" t="s">
        <v>96</v>
      </c>
      <c r="P145" t="s">
        <v>97</v>
      </c>
      <c r="Q145" t="s">
        <v>39</v>
      </c>
      <c r="R145" t="s">
        <v>40</v>
      </c>
      <c r="S145" s="1">
        <v>648619.1</v>
      </c>
      <c r="T145" s="1">
        <v>89880.130399999995</v>
      </c>
      <c r="U145" s="1">
        <v>47803.433100000002</v>
      </c>
      <c r="V145" s="1">
        <v>558738.96959999995</v>
      </c>
      <c r="W145">
        <v>14</v>
      </c>
    </row>
    <row r="146" spans="1:23" hidden="1" x14ac:dyDescent="0.35">
      <c r="A146" t="s">
        <v>421</v>
      </c>
      <c r="B146" t="s">
        <v>422</v>
      </c>
      <c r="C146" t="s">
        <v>180</v>
      </c>
      <c r="D146" t="s">
        <v>175</v>
      </c>
      <c r="E146" t="s">
        <v>145</v>
      </c>
      <c r="F146" t="s">
        <v>176</v>
      </c>
      <c r="G146" t="s">
        <v>177</v>
      </c>
      <c r="H146" t="s">
        <v>116</v>
      </c>
      <c r="I146" t="s">
        <v>148</v>
      </c>
      <c r="J146" t="s">
        <v>149</v>
      </c>
      <c r="K146" t="s">
        <v>33</v>
      </c>
      <c r="L146" t="s">
        <v>34</v>
      </c>
      <c r="M146" t="s">
        <v>178</v>
      </c>
      <c r="N146" t="s">
        <v>179</v>
      </c>
      <c r="O146" t="s">
        <v>99</v>
      </c>
      <c r="P146" t="s">
        <v>100</v>
      </c>
      <c r="Q146" t="s">
        <v>39</v>
      </c>
      <c r="R146" t="s">
        <v>40</v>
      </c>
      <c r="S146" s="1">
        <v>195242.9</v>
      </c>
      <c r="T146" s="1">
        <v>32140.974699999999</v>
      </c>
      <c r="U146" s="1">
        <v>15511.8442</v>
      </c>
      <c r="V146" s="1">
        <v>163101.9253</v>
      </c>
      <c r="W146">
        <v>16</v>
      </c>
    </row>
    <row r="147" spans="1:23" hidden="1" x14ac:dyDescent="0.35">
      <c r="A147" t="s">
        <v>421</v>
      </c>
      <c r="B147" t="s">
        <v>422</v>
      </c>
      <c r="C147" t="s">
        <v>181</v>
      </c>
      <c r="D147" t="s">
        <v>175</v>
      </c>
      <c r="E147" t="s">
        <v>145</v>
      </c>
      <c r="F147" t="s">
        <v>176</v>
      </c>
      <c r="G147" t="s">
        <v>177</v>
      </c>
      <c r="H147" t="s">
        <v>116</v>
      </c>
      <c r="I147" t="s">
        <v>148</v>
      </c>
      <c r="J147" t="s">
        <v>149</v>
      </c>
      <c r="K147" t="s">
        <v>33</v>
      </c>
      <c r="L147" t="s">
        <v>34</v>
      </c>
      <c r="M147" t="s">
        <v>178</v>
      </c>
      <c r="N147" t="s">
        <v>179</v>
      </c>
      <c r="O147" t="s">
        <v>37</v>
      </c>
      <c r="P147" t="s">
        <v>38</v>
      </c>
      <c r="Q147" t="s">
        <v>39</v>
      </c>
      <c r="R147" t="s">
        <v>40</v>
      </c>
      <c r="S147" s="1">
        <v>155984.5</v>
      </c>
      <c r="T147" s="1">
        <v>4842.2534999999998</v>
      </c>
      <c r="U147" s="1">
        <v>3912.0481</v>
      </c>
      <c r="V147" s="1">
        <v>151142.24650000001</v>
      </c>
      <c r="W147">
        <v>3</v>
      </c>
    </row>
    <row r="148" spans="1:23" hidden="1" x14ac:dyDescent="0.35">
      <c r="A148" t="s">
        <v>421</v>
      </c>
      <c r="B148" t="s">
        <v>422</v>
      </c>
      <c r="C148" t="s">
        <v>182</v>
      </c>
      <c r="D148" t="s">
        <v>175</v>
      </c>
      <c r="E148" t="s">
        <v>145</v>
      </c>
      <c r="F148" t="s">
        <v>176</v>
      </c>
      <c r="G148" t="s">
        <v>177</v>
      </c>
      <c r="H148" t="s">
        <v>116</v>
      </c>
      <c r="I148" t="s">
        <v>148</v>
      </c>
      <c r="J148" t="s">
        <v>149</v>
      </c>
      <c r="K148" t="s">
        <v>33</v>
      </c>
      <c r="L148" t="s">
        <v>34</v>
      </c>
      <c r="M148" t="s">
        <v>178</v>
      </c>
      <c r="N148" t="s">
        <v>179</v>
      </c>
      <c r="O148" t="s">
        <v>42</v>
      </c>
      <c r="P148" t="s">
        <v>43</v>
      </c>
      <c r="Q148" t="s">
        <v>39</v>
      </c>
      <c r="R148" t="s">
        <v>40</v>
      </c>
      <c r="S148" s="1">
        <v>8102</v>
      </c>
      <c r="T148" s="1">
        <v>117.3809</v>
      </c>
      <c r="U148" s="1">
        <v>117.3809</v>
      </c>
      <c r="V148" s="1">
        <v>7984.6190999999999</v>
      </c>
      <c r="W148">
        <v>1</v>
      </c>
    </row>
    <row r="149" spans="1:23" hidden="1" x14ac:dyDescent="0.35">
      <c r="A149" t="s">
        <v>421</v>
      </c>
      <c r="B149" t="s">
        <v>422</v>
      </c>
      <c r="C149" t="s">
        <v>183</v>
      </c>
      <c r="D149" t="s">
        <v>175</v>
      </c>
      <c r="E149" t="s">
        <v>145</v>
      </c>
      <c r="F149" t="s">
        <v>176</v>
      </c>
      <c r="G149" t="s">
        <v>177</v>
      </c>
      <c r="H149" t="s">
        <v>116</v>
      </c>
      <c r="I149" t="s">
        <v>148</v>
      </c>
      <c r="J149" t="s">
        <v>149</v>
      </c>
      <c r="K149" t="s">
        <v>33</v>
      </c>
      <c r="L149" t="s">
        <v>34</v>
      </c>
      <c r="M149" t="s">
        <v>178</v>
      </c>
      <c r="N149" t="s">
        <v>179</v>
      </c>
      <c r="O149" t="s">
        <v>122</v>
      </c>
      <c r="P149" t="s">
        <v>123</v>
      </c>
      <c r="Q149" t="s">
        <v>39</v>
      </c>
      <c r="R149" t="s">
        <v>40</v>
      </c>
      <c r="S149" s="1">
        <v>183.2</v>
      </c>
      <c r="T149" s="1">
        <v>0</v>
      </c>
      <c r="U149" s="1">
        <v>0</v>
      </c>
      <c r="V149" s="1">
        <v>183.2</v>
      </c>
      <c r="W149">
        <v>0</v>
      </c>
    </row>
    <row r="150" spans="1:23" hidden="1" x14ac:dyDescent="0.35">
      <c r="A150" t="s">
        <v>421</v>
      </c>
      <c r="B150" t="s">
        <v>422</v>
      </c>
      <c r="C150" t="s">
        <v>184</v>
      </c>
      <c r="D150" t="s">
        <v>175</v>
      </c>
      <c r="E150" t="s">
        <v>145</v>
      </c>
      <c r="F150" t="s">
        <v>176</v>
      </c>
      <c r="G150" t="s">
        <v>177</v>
      </c>
      <c r="H150" t="s">
        <v>116</v>
      </c>
      <c r="I150" t="s">
        <v>148</v>
      </c>
      <c r="J150" t="s">
        <v>149</v>
      </c>
      <c r="K150" t="s">
        <v>33</v>
      </c>
      <c r="L150" t="s">
        <v>34</v>
      </c>
      <c r="M150" t="s">
        <v>178</v>
      </c>
      <c r="N150" t="s">
        <v>179</v>
      </c>
      <c r="O150" t="s">
        <v>103</v>
      </c>
      <c r="P150" t="s">
        <v>104</v>
      </c>
      <c r="Q150" t="s">
        <v>39</v>
      </c>
      <c r="R150" t="s">
        <v>40</v>
      </c>
      <c r="S150" s="1">
        <v>631.4</v>
      </c>
      <c r="T150" s="1">
        <v>513.553</v>
      </c>
      <c r="U150" s="1">
        <v>419.053</v>
      </c>
      <c r="V150" s="1">
        <v>117.84699999999999</v>
      </c>
      <c r="W150">
        <v>81</v>
      </c>
    </row>
    <row r="151" spans="1:23" x14ac:dyDescent="0.35">
      <c r="A151" s="3" t="s">
        <v>421</v>
      </c>
      <c r="B151" s="3" t="s">
        <v>422</v>
      </c>
      <c r="C151" s="3" t="s">
        <v>185</v>
      </c>
      <c r="D151" s="3" t="s">
        <v>186</v>
      </c>
      <c r="E151" s="3" t="s">
        <v>187</v>
      </c>
      <c r="F151" s="3" t="s">
        <v>146</v>
      </c>
      <c r="G151" s="3" t="s">
        <v>188</v>
      </c>
      <c r="H151" s="3" t="s">
        <v>189</v>
      </c>
      <c r="I151" s="3" t="s">
        <v>190</v>
      </c>
      <c r="J151" s="3" t="s">
        <v>191</v>
      </c>
      <c r="K151" s="3" t="s">
        <v>33</v>
      </c>
      <c r="L151" s="3" t="s">
        <v>34</v>
      </c>
      <c r="M151" s="3" t="s">
        <v>192</v>
      </c>
      <c r="N151" s="3" t="s">
        <v>193</v>
      </c>
      <c r="O151" s="3" t="s">
        <v>108</v>
      </c>
      <c r="P151" s="3" t="s">
        <v>109</v>
      </c>
      <c r="Q151" s="3" t="s">
        <v>39</v>
      </c>
      <c r="R151" s="3" t="s">
        <v>40</v>
      </c>
      <c r="S151" s="7">
        <v>5665542.5999999996</v>
      </c>
      <c r="T151" s="7">
        <v>618098.93500000006</v>
      </c>
      <c r="U151" s="7">
        <v>323627.80680000002</v>
      </c>
      <c r="V151" s="7">
        <v>5047443.665</v>
      </c>
      <c r="W151" s="3">
        <v>11</v>
      </c>
    </row>
    <row r="152" spans="1:23" x14ac:dyDescent="0.35">
      <c r="A152" s="3" t="s">
        <v>421</v>
      </c>
      <c r="B152" s="3" t="s">
        <v>422</v>
      </c>
      <c r="C152" s="3" t="s">
        <v>426</v>
      </c>
      <c r="D152" s="3" t="s">
        <v>186</v>
      </c>
      <c r="E152" s="3" t="s">
        <v>187</v>
      </c>
      <c r="F152" s="3" t="s">
        <v>146</v>
      </c>
      <c r="G152" s="3" t="s">
        <v>188</v>
      </c>
      <c r="H152" s="3" t="s">
        <v>189</v>
      </c>
      <c r="I152" s="3" t="s">
        <v>190</v>
      </c>
      <c r="J152" s="3" t="s">
        <v>191</v>
      </c>
      <c r="K152" s="3" t="s">
        <v>33</v>
      </c>
      <c r="L152" s="3" t="s">
        <v>34</v>
      </c>
      <c r="M152" s="3" t="s">
        <v>427</v>
      </c>
      <c r="N152" s="3" t="s">
        <v>428</v>
      </c>
      <c r="O152" s="3" t="s">
        <v>197</v>
      </c>
      <c r="P152" s="3" t="s">
        <v>198</v>
      </c>
      <c r="Q152" s="3" t="s">
        <v>39</v>
      </c>
      <c r="R152" s="3" t="s">
        <v>40</v>
      </c>
      <c r="S152" s="7">
        <v>4200</v>
      </c>
      <c r="T152" s="7">
        <v>0</v>
      </c>
      <c r="U152" s="7">
        <v>0</v>
      </c>
      <c r="V152" s="7">
        <v>4200</v>
      </c>
      <c r="W152" s="3">
        <v>0</v>
      </c>
    </row>
    <row r="153" spans="1:23" x14ac:dyDescent="0.35">
      <c r="A153" s="3" t="s">
        <v>421</v>
      </c>
      <c r="B153" s="3" t="s">
        <v>422</v>
      </c>
      <c r="C153" s="3" t="s">
        <v>194</v>
      </c>
      <c r="D153" s="3" t="s">
        <v>186</v>
      </c>
      <c r="E153" s="3" t="s">
        <v>187</v>
      </c>
      <c r="F153" s="3" t="s">
        <v>146</v>
      </c>
      <c r="G153" s="3" t="s">
        <v>188</v>
      </c>
      <c r="H153" s="3" t="s">
        <v>189</v>
      </c>
      <c r="I153" s="3" t="s">
        <v>190</v>
      </c>
      <c r="J153" s="3" t="s">
        <v>191</v>
      </c>
      <c r="K153" s="3" t="s">
        <v>33</v>
      </c>
      <c r="L153" s="3" t="s">
        <v>34</v>
      </c>
      <c r="M153" s="3" t="s">
        <v>195</v>
      </c>
      <c r="N153" s="3" t="s">
        <v>196</v>
      </c>
      <c r="O153" s="3" t="s">
        <v>197</v>
      </c>
      <c r="P153" s="3" t="s">
        <v>198</v>
      </c>
      <c r="Q153" s="3" t="s">
        <v>39</v>
      </c>
      <c r="R153" s="3" t="s">
        <v>40</v>
      </c>
      <c r="S153" s="7">
        <v>19486.7</v>
      </c>
      <c r="T153" s="7">
        <v>0</v>
      </c>
      <c r="U153" s="7">
        <v>0</v>
      </c>
      <c r="V153" s="7">
        <v>19486.7</v>
      </c>
      <c r="W153" s="3">
        <v>0</v>
      </c>
    </row>
    <row r="154" spans="1:23" x14ac:dyDescent="0.35">
      <c r="A154" s="3" t="s">
        <v>421</v>
      </c>
      <c r="B154" s="3" t="s">
        <v>422</v>
      </c>
      <c r="C154" s="3" t="s">
        <v>429</v>
      </c>
      <c r="D154" s="3" t="s">
        <v>200</v>
      </c>
      <c r="E154" s="3" t="s">
        <v>187</v>
      </c>
      <c r="F154" s="3" t="s">
        <v>189</v>
      </c>
      <c r="G154" s="3" t="s">
        <v>201</v>
      </c>
      <c r="H154" s="3" t="s">
        <v>189</v>
      </c>
      <c r="I154" s="3" t="s">
        <v>190</v>
      </c>
      <c r="J154" s="3" t="s">
        <v>202</v>
      </c>
      <c r="K154" s="3" t="s">
        <v>23</v>
      </c>
      <c r="L154" s="3" t="s">
        <v>203</v>
      </c>
      <c r="M154" s="3" t="s">
        <v>430</v>
      </c>
      <c r="N154" s="3" t="s">
        <v>431</v>
      </c>
      <c r="O154" s="3" t="s">
        <v>197</v>
      </c>
      <c r="P154" s="3" t="s">
        <v>198</v>
      </c>
      <c r="Q154" s="3" t="s">
        <v>39</v>
      </c>
      <c r="R154" s="3" t="s">
        <v>40</v>
      </c>
      <c r="S154" s="7">
        <v>6609.5</v>
      </c>
      <c r="T154" s="7">
        <v>0</v>
      </c>
      <c r="U154" s="7">
        <v>0</v>
      </c>
      <c r="V154" s="7">
        <v>6609.5</v>
      </c>
      <c r="W154" s="3">
        <v>0</v>
      </c>
    </row>
    <row r="155" spans="1:23" x14ac:dyDescent="0.35">
      <c r="A155" s="3" t="s">
        <v>421</v>
      </c>
      <c r="B155" s="3" t="s">
        <v>422</v>
      </c>
      <c r="C155" s="3" t="s">
        <v>199</v>
      </c>
      <c r="D155" s="3" t="s">
        <v>200</v>
      </c>
      <c r="E155" s="3" t="s">
        <v>187</v>
      </c>
      <c r="F155" s="3" t="s">
        <v>189</v>
      </c>
      <c r="G155" s="3" t="s">
        <v>201</v>
      </c>
      <c r="H155" s="3" t="s">
        <v>189</v>
      </c>
      <c r="I155" s="3" t="s">
        <v>190</v>
      </c>
      <c r="J155" s="3" t="s">
        <v>202</v>
      </c>
      <c r="K155" s="3" t="s">
        <v>23</v>
      </c>
      <c r="L155" s="3" t="s">
        <v>203</v>
      </c>
      <c r="M155" s="3" t="s">
        <v>204</v>
      </c>
      <c r="N155" s="3" t="s">
        <v>205</v>
      </c>
      <c r="O155" s="3" t="s">
        <v>197</v>
      </c>
      <c r="P155" s="3" t="s">
        <v>198</v>
      </c>
      <c r="Q155" s="3" t="s">
        <v>39</v>
      </c>
      <c r="R155" s="3" t="s">
        <v>40</v>
      </c>
      <c r="S155" s="7">
        <v>19701.3</v>
      </c>
      <c r="T155" s="7">
        <v>3283.192</v>
      </c>
      <c r="U155" s="7">
        <v>3283.192</v>
      </c>
      <c r="V155" s="7">
        <v>16418.108</v>
      </c>
      <c r="W155" s="3">
        <v>17</v>
      </c>
    </row>
    <row r="156" spans="1:23" x14ac:dyDescent="0.35">
      <c r="A156" s="3" t="s">
        <v>421</v>
      </c>
      <c r="B156" s="3" t="s">
        <v>422</v>
      </c>
      <c r="C156" s="3" t="s">
        <v>206</v>
      </c>
      <c r="D156" s="3" t="s">
        <v>200</v>
      </c>
      <c r="E156" s="3" t="s">
        <v>187</v>
      </c>
      <c r="F156" s="3" t="s">
        <v>189</v>
      </c>
      <c r="G156" s="3" t="s">
        <v>201</v>
      </c>
      <c r="H156" s="3" t="s">
        <v>189</v>
      </c>
      <c r="I156" s="3" t="s">
        <v>190</v>
      </c>
      <c r="J156" s="3" t="s">
        <v>202</v>
      </c>
      <c r="K156" s="3" t="s">
        <v>23</v>
      </c>
      <c r="L156" s="3" t="s">
        <v>203</v>
      </c>
      <c r="M156" s="3" t="s">
        <v>207</v>
      </c>
      <c r="N156" s="3" t="s">
        <v>208</v>
      </c>
      <c r="O156" s="3" t="s">
        <v>197</v>
      </c>
      <c r="P156" s="3" t="s">
        <v>198</v>
      </c>
      <c r="Q156" s="3" t="s">
        <v>39</v>
      </c>
      <c r="R156" s="3" t="s">
        <v>40</v>
      </c>
      <c r="S156" s="7">
        <v>98275</v>
      </c>
      <c r="T156" s="7">
        <v>8189.6</v>
      </c>
      <c r="U156" s="7">
        <v>8189.6</v>
      </c>
      <c r="V156" s="7">
        <v>90085.4</v>
      </c>
      <c r="W156" s="3">
        <v>8</v>
      </c>
    </row>
    <row r="157" spans="1:23" x14ac:dyDescent="0.35">
      <c r="A157" s="3" t="s">
        <v>421</v>
      </c>
      <c r="B157" s="3" t="s">
        <v>422</v>
      </c>
      <c r="C157" s="3" t="s">
        <v>209</v>
      </c>
      <c r="D157" s="3" t="s">
        <v>200</v>
      </c>
      <c r="E157" s="3" t="s">
        <v>187</v>
      </c>
      <c r="F157" s="3" t="s">
        <v>189</v>
      </c>
      <c r="G157" s="3" t="s">
        <v>201</v>
      </c>
      <c r="H157" s="3" t="s">
        <v>189</v>
      </c>
      <c r="I157" s="3" t="s">
        <v>190</v>
      </c>
      <c r="J157" s="3" t="s">
        <v>191</v>
      </c>
      <c r="K157" s="3" t="s">
        <v>33</v>
      </c>
      <c r="L157" s="3" t="s">
        <v>34</v>
      </c>
      <c r="M157" s="3" t="s">
        <v>210</v>
      </c>
      <c r="N157" s="3" t="s">
        <v>211</v>
      </c>
      <c r="O157" s="3" t="s">
        <v>108</v>
      </c>
      <c r="P157" s="3" t="s">
        <v>109</v>
      </c>
      <c r="Q157" s="3" t="s">
        <v>39</v>
      </c>
      <c r="R157" s="3" t="s">
        <v>40</v>
      </c>
      <c r="S157" s="7">
        <v>5474469.7000000002</v>
      </c>
      <c r="T157" s="7">
        <v>770602.40410000004</v>
      </c>
      <c r="U157" s="7">
        <v>447480.0638</v>
      </c>
      <c r="V157" s="7">
        <v>4703867.2959000003</v>
      </c>
      <c r="W157" s="3">
        <v>14</v>
      </c>
    </row>
    <row r="158" spans="1:23" x14ac:dyDescent="0.35">
      <c r="A158" s="3" t="s">
        <v>421</v>
      </c>
      <c r="B158" s="3" t="s">
        <v>422</v>
      </c>
      <c r="C158" s="3" t="s">
        <v>212</v>
      </c>
      <c r="D158" s="3" t="s">
        <v>200</v>
      </c>
      <c r="E158" s="3" t="s">
        <v>187</v>
      </c>
      <c r="F158" s="3" t="s">
        <v>189</v>
      </c>
      <c r="G158" s="3" t="s">
        <v>201</v>
      </c>
      <c r="H158" s="3" t="s">
        <v>189</v>
      </c>
      <c r="I158" s="3" t="s">
        <v>190</v>
      </c>
      <c r="J158" s="3" t="s">
        <v>191</v>
      </c>
      <c r="K158" s="3" t="s">
        <v>33</v>
      </c>
      <c r="L158" s="3" t="s">
        <v>34</v>
      </c>
      <c r="M158" s="3" t="s">
        <v>213</v>
      </c>
      <c r="N158" s="3" t="s">
        <v>214</v>
      </c>
      <c r="O158" s="3" t="s">
        <v>108</v>
      </c>
      <c r="P158" s="3" t="s">
        <v>109</v>
      </c>
      <c r="Q158" s="3" t="s">
        <v>39</v>
      </c>
      <c r="R158" s="3" t="s">
        <v>40</v>
      </c>
      <c r="S158" s="7">
        <v>183013.6</v>
      </c>
      <c r="T158" s="7">
        <v>19733.4912</v>
      </c>
      <c r="U158" s="7">
        <v>10871.8678</v>
      </c>
      <c r="V158" s="7">
        <v>163280.10879999999</v>
      </c>
      <c r="W158" s="3">
        <v>11</v>
      </c>
    </row>
    <row r="159" spans="1:23" x14ac:dyDescent="0.35">
      <c r="A159" s="3" t="s">
        <v>421</v>
      </c>
      <c r="B159" s="3" t="s">
        <v>422</v>
      </c>
      <c r="C159" s="3" t="s">
        <v>215</v>
      </c>
      <c r="D159" s="3" t="s">
        <v>200</v>
      </c>
      <c r="E159" s="3" t="s">
        <v>187</v>
      </c>
      <c r="F159" s="3" t="s">
        <v>189</v>
      </c>
      <c r="G159" s="3" t="s">
        <v>201</v>
      </c>
      <c r="H159" s="3" t="s">
        <v>189</v>
      </c>
      <c r="I159" s="3" t="s">
        <v>190</v>
      </c>
      <c r="J159" s="3" t="s">
        <v>191</v>
      </c>
      <c r="K159" s="3" t="s">
        <v>33</v>
      </c>
      <c r="L159" s="3" t="s">
        <v>34</v>
      </c>
      <c r="M159" s="3" t="s">
        <v>216</v>
      </c>
      <c r="N159" s="3" t="s">
        <v>217</v>
      </c>
      <c r="O159" s="3" t="s">
        <v>108</v>
      </c>
      <c r="P159" s="3" t="s">
        <v>109</v>
      </c>
      <c r="Q159" s="3" t="s">
        <v>39</v>
      </c>
      <c r="R159" s="3" t="s">
        <v>40</v>
      </c>
      <c r="S159" s="7">
        <v>88494.399999999994</v>
      </c>
      <c r="T159" s="7">
        <v>14586.2178</v>
      </c>
      <c r="U159" s="7">
        <v>9412.2147000000004</v>
      </c>
      <c r="V159" s="7">
        <v>73908.182199999996</v>
      </c>
      <c r="W159" s="3">
        <v>16</v>
      </c>
    </row>
    <row r="160" spans="1:23" x14ac:dyDescent="0.35">
      <c r="A160" s="3" t="s">
        <v>421</v>
      </c>
      <c r="B160" s="3" t="s">
        <v>422</v>
      </c>
      <c r="C160" s="3" t="s">
        <v>218</v>
      </c>
      <c r="D160" s="3" t="s">
        <v>200</v>
      </c>
      <c r="E160" s="3" t="s">
        <v>187</v>
      </c>
      <c r="F160" s="3" t="s">
        <v>189</v>
      </c>
      <c r="G160" s="3" t="s">
        <v>201</v>
      </c>
      <c r="H160" s="3" t="s">
        <v>189</v>
      </c>
      <c r="I160" s="3" t="s">
        <v>190</v>
      </c>
      <c r="J160" s="3" t="s">
        <v>191</v>
      </c>
      <c r="K160" s="3" t="s">
        <v>33</v>
      </c>
      <c r="L160" s="3" t="s">
        <v>34</v>
      </c>
      <c r="M160" s="3" t="s">
        <v>219</v>
      </c>
      <c r="N160" s="3" t="s">
        <v>220</v>
      </c>
      <c r="O160" s="3" t="s">
        <v>221</v>
      </c>
      <c r="P160" s="3" t="s">
        <v>222</v>
      </c>
      <c r="Q160" s="3" t="s">
        <v>39</v>
      </c>
      <c r="R160" s="3" t="s">
        <v>40</v>
      </c>
      <c r="S160" s="7">
        <v>1102.9000000000001</v>
      </c>
      <c r="T160" s="7">
        <v>0</v>
      </c>
      <c r="U160" s="7">
        <v>0</v>
      </c>
      <c r="V160" s="7">
        <v>1102.9000000000001</v>
      </c>
      <c r="W160" s="3">
        <v>0</v>
      </c>
    </row>
    <row r="161" spans="1:23" x14ac:dyDescent="0.35">
      <c r="A161" s="3" t="s">
        <v>421</v>
      </c>
      <c r="B161" s="3" t="s">
        <v>422</v>
      </c>
      <c r="C161" s="3" t="s">
        <v>223</v>
      </c>
      <c r="D161" s="3" t="s">
        <v>200</v>
      </c>
      <c r="E161" s="3" t="s">
        <v>187</v>
      </c>
      <c r="F161" s="3" t="s">
        <v>189</v>
      </c>
      <c r="G161" s="3" t="s">
        <v>201</v>
      </c>
      <c r="H161" s="3" t="s">
        <v>189</v>
      </c>
      <c r="I161" s="3" t="s">
        <v>190</v>
      </c>
      <c r="J161" s="3" t="s">
        <v>191</v>
      </c>
      <c r="K161" s="3" t="s">
        <v>33</v>
      </c>
      <c r="L161" s="3" t="s">
        <v>34</v>
      </c>
      <c r="M161" s="3" t="s">
        <v>224</v>
      </c>
      <c r="N161" s="3" t="s">
        <v>225</v>
      </c>
      <c r="O161" s="3" t="s">
        <v>197</v>
      </c>
      <c r="P161" s="3" t="s">
        <v>198</v>
      </c>
      <c r="Q161" s="3" t="s">
        <v>39</v>
      </c>
      <c r="R161" s="3" t="s">
        <v>40</v>
      </c>
      <c r="S161" s="7">
        <v>123977.4</v>
      </c>
      <c r="T161" s="7">
        <v>0</v>
      </c>
      <c r="U161" s="7">
        <v>0</v>
      </c>
      <c r="V161" s="7">
        <v>123977.4</v>
      </c>
      <c r="W161" s="3">
        <v>0</v>
      </c>
    </row>
    <row r="162" spans="1:23" x14ac:dyDescent="0.35">
      <c r="A162" s="3" t="s">
        <v>421</v>
      </c>
      <c r="B162" s="3" t="s">
        <v>422</v>
      </c>
      <c r="C162" s="3" t="s">
        <v>432</v>
      </c>
      <c r="D162" s="3" t="s">
        <v>200</v>
      </c>
      <c r="E162" s="3" t="s">
        <v>187</v>
      </c>
      <c r="F162" s="3" t="s">
        <v>189</v>
      </c>
      <c r="G162" s="3" t="s">
        <v>201</v>
      </c>
      <c r="H162" s="3" t="s">
        <v>189</v>
      </c>
      <c r="I162" s="3" t="s">
        <v>190</v>
      </c>
      <c r="J162" s="3" t="s">
        <v>191</v>
      </c>
      <c r="K162" s="3" t="s">
        <v>33</v>
      </c>
      <c r="L162" s="3" t="s">
        <v>34</v>
      </c>
      <c r="M162" s="3" t="s">
        <v>427</v>
      </c>
      <c r="N162" s="3" t="s">
        <v>428</v>
      </c>
      <c r="O162" s="3" t="s">
        <v>197</v>
      </c>
      <c r="P162" s="3" t="s">
        <v>198</v>
      </c>
      <c r="Q162" s="3" t="s">
        <v>39</v>
      </c>
      <c r="R162" s="3" t="s">
        <v>40</v>
      </c>
      <c r="S162" s="7">
        <v>23605.9</v>
      </c>
      <c r="T162" s="7">
        <v>0</v>
      </c>
      <c r="U162" s="7">
        <v>0</v>
      </c>
      <c r="V162" s="7">
        <v>23605.9</v>
      </c>
      <c r="W162" s="3">
        <v>0</v>
      </c>
    </row>
    <row r="163" spans="1:23" x14ac:dyDescent="0.35">
      <c r="A163" s="3" t="s">
        <v>421</v>
      </c>
      <c r="B163" s="3" t="s">
        <v>422</v>
      </c>
      <c r="C163" s="3" t="s">
        <v>226</v>
      </c>
      <c r="D163" s="3" t="s">
        <v>200</v>
      </c>
      <c r="E163" s="3" t="s">
        <v>187</v>
      </c>
      <c r="F163" s="3" t="s">
        <v>189</v>
      </c>
      <c r="G163" s="3" t="s">
        <v>201</v>
      </c>
      <c r="H163" s="3" t="s">
        <v>189</v>
      </c>
      <c r="I163" s="3" t="s">
        <v>190</v>
      </c>
      <c r="J163" s="3" t="s">
        <v>191</v>
      </c>
      <c r="K163" s="3" t="s">
        <v>33</v>
      </c>
      <c r="L163" s="3" t="s">
        <v>34</v>
      </c>
      <c r="M163" s="3" t="s">
        <v>227</v>
      </c>
      <c r="N163" s="3" t="s">
        <v>228</v>
      </c>
      <c r="O163" s="3" t="s">
        <v>197</v>
      </c>
      <c r="P163" s="3" t="s">
        <v>198</v>
      </c>
      <c r="Q163" s="3" t="s">
        <v>39</v>
      </c>
      <c r="R163" s="3" t="s">
        <v>40</v>
      </c>
      <c r="S163" s="7">
        <v>115733.1</v>
      </c>
      <c r="T163" s="7">
        <v>0</v>
      </c>
      <c r="U163" s="7">
        <v>0</v>
      </c>
      <c r="V163" s="7">
        <v>115733.1</v>
      </c>
      <c r="W163" s="3">
        <v>0</v>
      </c>
    </row>
    <row r="164" spans="1:23" x14ac:dyDescent="0.35">
      <c r="A164" s="3" t="s">
        <v>421</v>
      </c>
      <c r="B164" s="3" t="s">
        <v>422</v>
      </c>
      <c r="C164" s="3" t="s">
        <v>229</v>
      </c>
      <c r="D164" s="3" t="s">
        <v>200</v>
      </c>
      <c r="E164" s="3" t="s">
        <v>187</v>
      </c>
      <c r="F164" s="3" t="s">
        <v>189</v>
      </c>
      <c r="G164" s="3" t="s">
        <v>201</v>
      </c>
      <c r="H164" s="3" t="s">
        <v>189</v>
      </c>
      <c r="I164" s="3" t="s">
        <v>190</v>
      </c>
      <c r="J164" s="3" t="s">
        <v>191</v>
      </c>
      <c r="K164" s="3" t="s">
        <v>33</v>
      </c>
      <c r="L164" s="3" t="s">
        <v>34</v>
      </c>
      <c r="M164" s="3" t="s">
        <v>195</v>
      </c>
      <c r="N164" s="3" t="s">
        <v>196</v>
      </c>
      <c r="O164" s="3" t="s">
        <v>197</v>
      </c>
      <c r="P164" s="3" t="s">
        <v>198</v>
      </c>
      <c r="Q164" s="3" t="s">
        <v>39</v>
      </c>
      <c r="R164" s="3" t="s">
        <v>40</v>
      </c>
      <c r="S164" s="7">
        <v>29599.599999999999</v>
      </c>
      <c r="T164" s="7">
        <v>0</v>
      </c>
      <c r="U164" s="7">
        <v>0</v>
      </c>
      <c r="V164" s="7">
        <v>29599.599999999999</v>
      </c>
      <c r="W164" s="3">
        <v>0</v>
      </c>
    </row>
    <row r="165" spans="1:23" x14ac:dyDescent="0.35">
      <c r="A165" s="3" t="s">
        <v>421</v>
      </c>
      <c r="B165" s="3" t="s">
        <v>422</v>
      </c>
      <c r="C165" s="3" t="s">
        <v>433</v>
      </c>
      <c r="D165" s="3" t="s">
        <v>200</v>
      </c>
      <c r="E165" s="3" t="s">
        <v>187</v>
      </c>
      <c r="F165" s="3" t="s">
        <v>189</v>
      </c>
      <c r="G165" s="3" t="s">
        <v>201</v>
      </c>
      <c r="H165" s="3" t="s">
        <v>189</v>
      </c>
      <c r="I165" s="3" t="s">
        <v>190</v>
      </c>
      <c r="J165" s="3" t="s">
        <v>191</v>
      </c>
      <c r="K165" s="3" t="s">
        <v>33</v>
      </c>
      <c r="L165" s="3" t="s">
        <v>34</v>
      </c>
      <c r="M165" s="3" t="s">
        <v>434</v>
      </c>
      <c r="N165" s="3" t="s">
        <v>435</v>
      </c>
      <c r="O165" s="3" t="s">
        <v>197</v>
      </c>
      <c r="P165" s="3" t="s">
        <v>198</v>
      </c>
      <c r="Q165" s="3" t="s">
        <v>39</v>
      </c>
      <c r="R165" s="3" t="s">
        <v>40</v>
      </c>
      <c r="S165" s="7">
        <v>14900</v>
      </c>
      <c r="T165" s="7">
        <v>0</v>
      </c>
      <c r="U165" s="7">
        <v>0</v>
      </c>
      <c r="V165" s="7">
        <v>14900</v>
      </c>
      <c r="W165" s="3">
        <v>0</v>
      </c>
    </row>
    <row r="166" spans="1:23" x14ac:dyDescent="0.35">
      <c r="A166" s="3" t="s">
        <v>421</v>
      </c>
      <c r="B166" s="3" t="s">
        <v>422</v>
      </c>
      <c r="C166" s="3" t="s">
        <v>230</v>
      </c>
      <c r="D166" s="3" t="s">
        <v>200</v>
      </c>
      <c r="E166" s="3" t="s">
        <v>187</v>
      </c>
      <c r="F166" s="3" t="s">
        <v>189</v>
      </c>
      <c r="G166" s="3" t="s">
        <v>201</v>
      </c>
      <c r="H166" s="3" t="s">
        <v>28</v>
      </c>
      <c r="I166" s="3" t="s">
        <v>231</v>
      </c>
      <c r="J166" s="3" t="s">
        <v>232</v>
      </c>
      <c r="K166" s="3" t="s">
        <v>33</v>
      </c>
      <c r="L166" s="3" t="s">
        <v>51</v>
      </c>
      <c r="M166" s="3" t="s">
        <v>233</v>
      </c>
      <c r="N166" s="3" t="s">
        <v>234</v>
      </c>
      <c r="O166" s="3" t="s">
        <v>197</v>
      </c>
      <c r="P166" s="3" t="s">
        <v>198</v>
      </c>
      <c r="Q166" s="3" t="s">
        <v>39</v>
      </c>
      <c r="R166" s="3" t="s">
        <v>40</v>
      </c>
      <c r="S166" s="7">
        <v>340444.3</v>
      </c>
      <c r="T166" s="7">
        <v>45665.545700000002</v>
      </c>
      <c r="U166" s="7">
        <v>37006.289400000001</v>
      </c>
      <c r="V166" s="7">
        <v>294778.75429999997</v>
      </c>
      <c r="W166" s="3">
        <v>13</v>
      </c>
    </row>
    <row r="167" spans="1:23" x14ac:dyDescent="0.35">
      <c r="A167" s="3" t="s">
        <v>421</v>
      </c>
      <c r="B167" s="3" t="s">
        <v>422</v>
      </c>
      <c r="C167" s="3" t="s">
        <v>235</v>
      </c>
      <c r="D167" s="3" t="s">
        <v>200</v>
      </c>
      <c r="E167" s="3" t="s">
        <v>187</v>
      </c>
      <c r="F167" s="3" t="s">
        <v>189</v>
      </c>
      <c r="G167" s="3" t="s">
        <v>201</v>
      </c>
      <c r="H167" s="3" t="s">
        <v>28</v>
      </c>
      <c r="I167" s="3" t="s">
        <v>231</v>
      </c>
      <c r="J167" s="3" t="s">
        <v>232</v>
      </c>
      <c r="K167" s="3" t="s">
        <v>33</v>
      </c>
      <c r="L167" s="3" t="s">
        <v>51</v>
      </c>
      <c r="M167" s="3" t="s">
        <v>236</v>
      </c>
      <c r="N167" s="3" t="s">
        <v>237</v>
      </c>
      <c r="O167" s="3" t="s">
        <v>197</v>
      </c>
      <c r="P167" s="3" t="s">
        <v>198</v>
      </c>
      <c r="Q167" s="3" t="s">
        <v>39</v>
      </c>
      <c r="R167" s="3" t="s">
        <v>40</v>
      </c>
      <c r="S167" s="7">
        <v>188979.20000000001</v>
      </c>
      <c r="T167" s="7">
        <v>32819.3079</v>
      </c>
      <c r="U167" s="7">
        <v>13921.3889</v>
      </c>
      <c r="V167" s="7">
        <v>156159.8921</v>
      </c>
      <c r="W167" s="3">
        <v>17</v>
      </c>
    </row>
    <row r="168" spans="1:23" x14ac:dyDescent="0.35">
      <c r="A168" s="3" t="s">
        <v>421</v>
      </c>
      <c r="B168" s="3" t="s">
        <v>422</v>
      </c>
      <c r="C168" s="3" t="s">
        <v>238</v>
      </c>
      <c r="D168" s="3" t="s">
        <v>239</v>
      </c>
      <c r="E168" s="3" t="s">
        <v>187</v>
      </c>
      <c r="F168" s="3" t="s">
        <v>28</v>
      </c>
      <c r="G168" s="3" t="s">
        <v>240</v>
      </c>
      <c r="H168" s="3" t="s">
        <v>189</v>
      </c>
      <c r="I168" s="3" t="s">
        <v>190</v>
      </c>
      <c r="J168" s="3" t="s">
        <v>191</v>
      </c>
      <c r="K168" s="3" t="s">
        <v>33</v>
      </c>
      <c r="L168" s="3" t="s">
        <v>34</v>
      </c>
      <c r="M168" s="3" t="s">
        <v>241</v>
      </c>
      <c r="N168" s="3" t="s">
        <v>242</v>
      </c>
      <c r="O168" s="3" t="s">
        <v>108</v>
      </c>
      <c r="P168" s="3" t="s">
        <v>109</v>
      </c>
      <c r="Q168" s="3" t="s">
        <v>39</v>
      </c>
      <c r="R168" s="3" t="s">
        <v>40</v>
      </c>
      <c r="S168" s="7">
        <v>300340.90000000002</v>
      </c>
      <c r="T168" s="7">
        <v>31760.9807</v>
      </c>
      <c r="U168" s="7">
        <v>12148.089</v>
      </c>
      <c r="V168" s="7">
        <v>268579.91930000001</v>
      </c>
      <c r="W168" s="3">
        <v>11</v>
      </c>
    </row>
    <row r="169" spans="1:23" x14ac:dyDescent="0.35">
      <c r="A169" s="3" t="s">
        <v>421</v>
      </c>
      <c r="B169" s="3" t="s">
        <v>422</v>
      </c>
      <c r="C169" s="3" t="s">
        <v>243</v>
      </c>
      <c r="D169" s="3" t="s">
        <v>244</v>
      </c>
      <c r="E169" s="3" t="s">
        <v>187</v>
      </c>
      <c r="F169" s="3" t="s">
        <v>245</v>
      </c>
      <c r="G169" s="3" t="s">
        <v>246</v>
      </c>
      <c r="H169" s="3" t="s">
        <v>66</v>
      </c>
      <c r="I169" s="3" t="s">
        <v>67</v>
      </c>
      <c r="J169" s="3" t="s">
        <v>68</v>
      </c>
      <c r="K169" s="3" t="s">
        <v>33</v>
      </c>
      <c r="L169" s="3" t="s">
        <v>51</v>
      </c>
      <c r="M169" s="3" t="s">
        <v>247</v>
      </c>
      <c r="N169" s="3" t="s">
        <v>248</v>
      </c>
      <c r="O169" s="3" t="s">
        <v>108</v>
      </c>
      <c r="P169" s="3" t="s">
        <v>109</v>
      </c>
      <c r="Q169" s="3" t="s">
        <v>39</v>
      </c>
      <c r="R169" s="3" t="s">
        <v>40</v>
      </c>
      <c r="S169" s="7">
        <v>241260.4</v>
      </c>
      <c r="T169" s="7">
        <v>13413.8734</v>
      </c>
      <c r="U169" s="7">
        <v>1209.6596</v>
      </c>
      <c r="V169" s="7">
        <v>227846.52660000001</v>
      </c>
      <c r="W169" s="3">
        <v>6</v>
      </c>
    </row>
    <row r="170" spans="1:23" x14ac:dyDescent="0.35">
      <c r="A170" s="3" t="s">
        <v>421</v>
      </c>
      <c r="B170" s="3" t="s">
        <v>422</v>
      </c>
      <c r="C170" s="3" t="s">
        <v>249</v>
      </c>
      <c r="D170" s="3" t="s">
        <v>244</v>
      </c>
      <c r="E170" s="3" t="s">
        <v>187</v>
      </c>
      <c r="F170" s="3" t="s">
        <v>245</v>
      </c>
      <c r="G170" s="3" t="s">
        <v>246</v>
      </c>
      <c r="H170" s="3" t="s">
        <v>66</v>
      </c>
      <c r="I170" s="3" t="s">
        <v>67</v>
      </c>
      <c r="J170" s="3" t="s">
        <v>68</v>
      </c>
      <c r="K170" s="3" t="s">
        <v>33</v>
      </c>
      <c r="L170" s="3" t="s">
        <v>51</v>
      </c>
      <c r="M170" s="3" t="s">
        <v>250</v>
      </c>
      <c r="N170" s="3" t="s">
        <v>251</v>
      </c>
      <c r="O170" s="3" t="s">
        <v>197</v>
      </c>
      <c r="P170" s="3" t="s">
        <v>198</v>
      </c>
      <c r="Q170" s="3" t="s">
        <v>39</v>
      </c>
      <c r="R170" s="3" t="s">
        <v>40</v>
      </c>
      <c r="S170" s="7">
        <v>82757.8</v>
      </c>
      <c r="T170" s="7">
        <v>0</v>
      </c>
      <c r="U170" s="7">
        <v>0</v>
      </c>
      <c r="V170" s="7">
        <v>82757.8</v>
      </c>
      <c r="W170" s="3">
        <v>0</v>
      </c>
    </row>
    <row r="171" spans="1:23" x14ac:dyDescent="0.35">
      <c r="A171" s="3" t="s">
        <v>421</v>
      </c>
      <c r="B171" s="3" t="s">
        <v>422</v>
      </c>
      <c r="C171" s="3" t="s">
        <v>252</v>
      </c>
      <c r="D171" s="3" t="s">
        <v>244</v>
      </c>
      <c r="E171" s="3" t="s">
        <v>187</v>
      </c>
      <c r="F171" s="3" t="s">
        <v>245</v>
      </c>
      <c r="G171" s="3" t="s">
        <v>246</v>
      </c>
      <c r="H171" s="3" t="s">
        <v>66</v>
      </c>
      <c r="I171" s="3" t="s">
        <v>67</v>
      </c>
      <c r="J171" s="3" t="s">
        <v>68</v>
      </c>
      <c r="K171" s="3" t="s">
        <v>33</v>
      </c>
      <c r="L171" s="3" t="s">
        <v>51</v>
      </c>
      <c r="M171" s="3" t="s">
        <v>253</v>
      </c>
      <c r="N171" s="3" t="s">
        <v>254</v>
      </c>
      <c r="O171" s="3" t="s">
        <v>197</v>
      </c>
      <c r="P171" s="3" t="s">
        <v>198</v>
      </c>
      <c r="Q171" s="3" t="s">
        <v>39</v>
      </c>
      <c r="R171" s="3" t="s">
        <v>40</v>
      </c>
      <c r="S171" s="7">
        <v>1724.3</v>
      </c>
      <c r="T171" s="7">
        <v>0</v>
      </c>
      <c r="U171" s="7">
        <v>0</v>
      </c>
      <c r="V171" s="7">
        <v>1724.3</v>
      </c>
      <c r="W171" s="3">
        <v>0</v>
      </c>
    </row>
    <row r="172" spans="1:23" x14ac:dyDescent="0.35">
      <c r="A172" s="3" t="s">
        <v>421</v>
      </c>
      <c r="B172" s="3" t="s">
        <v>422</v>
      </c>
      <c r="C172" s="3" t="s">
        <v>255</v>
      </c>
      <c r="D172" s="3" t="s">
        <v>244</v>
      </c>
      <c r="E172" s="3" t="s">
        <v>187</v>
      </c>
      <c r="F172" s="3" t="s">
        <v>245</v>
      </c>
      <c r="G172" s="3" t="s">
        <v>246</v>
      </c>
      <c r="H172" s="3" t="s">
        <v>66</v>
      </c>
      <c r="I172" s="3" t="s">
        <v>67</v>
      </c>
      <c r="J172" s="3" t="s">
        <v>68</v>
      </c>
      <c r="K172" s="3" t="s">
        <v>33</v>
      </c>
      <c r="L172" s="3" t="s">
        <v>51</v>
      </c>
      <c r="M172" s="3" t="s">
        <v>256</v>
      </c>
      <c r="N172" s="3" t="s">
        <v>257</v>
      </c>
      <c r="O172" s="3" t="s">
        <v>197</v>
      </c>
      <c r="P172" s="3" t="s">
        <v>198</v>
      </c>
      <c r="Q172" s="3" t="s">
        <v>39</v>
      </c>
      <c r="R172" s="3" t="s">
        <v>40</v>
      </c>
      <c r="S172" s="7">
        <v>23957.3</v>
      </c>
      <c r="T172" s="7">
        <v>0</v>
      </c>
      <c r="U172" s="7">
        <v>0</v>
      </c>
      <c r="V172" s="7">
        <v>23957.3</v>
      </c>
      <c r="W172" s="3">
        <v>0</v>
      </c>
    </row>
    <row r="173" spans="1:23" x14ac:dyDescent="0.35">
      <c r="A173" s="3" t="s">
        <v>421</v>
      </c>
      <c r="B173" s="3" t="s">
        <v>422</v>
      </c>
      <c r="C173" s="3" t="s">
        <v>258</v>
      </c>
      <c r="D173" s="3" t="s">
        <v>259</v>
      </c>
      <c r="E173" s="3" t="s">
        <v>187</v>
      </c>
      <c r="F173" s="3" t="s">
        <v>116</v>
      </c>
      <c r="G173" s="3" t="s">
        <v>260</v>
      </c>
      <c r="H173" s="3" t="s">
        <v>189</v>
      </c>
      <c r="I173" s="3" t="s">
        <v>190</v>
      </c>
      <c r="J173" s="3" t="s">
        <v>202</v>
      </c>
      <c r="K173" s="3" t="s">
        <v>23</v>
      </c>
      <c r="L173" s="3" t="s">
        <v>203</v>
      </c>
      <c r="M173" s="3" t="s">
        <v>261</v>
      </c>
      <c r="N173" s="3" t="s">
        <v>262</v>
      </c>
      <c r="O173" s="3" t="s">
        <v>197</v>
      </c>
      <c r="P173" s="3" t="s">
        <v>198</v>
      </c>
      <c r="Q173" s="3" t="s">
        <v>39</v>
      </c>
      <c r="R173" s="3" t="s">
        <v>40</v>
      </c>
      <c r="S173" s="7">
        <v>3437.3</v>
      </c>
      <c r="T173" s="7">
        <v>572.88</v>
      </c>
      <c r="U173" s="7">
        <v>572.88</v>
      </c>
      <c r="V173" s="7">
        <v>2864.42</v>
      </c>
      <c r="W173" s="3">
        <v>17</v>
      </c>
    </row>
    <row r="174" spans="1:23" x14ac:dyDescent="0.35">
      <c r="A174" s="3" t="s">
        <v>421</v>
      </c>
      <c r="B174" s="3" t="s">
        <v>422</v>
      </c>
      <c r="C174" s="3" t="s">
        <v>263</v>
      </c>
      <c r="D174" s="3" t="s">
        <v>259</v>
      </c>
      <c r="E174" s="3" t="s">
        <v>187</v>
      </c>
      <c r="F174" s="3" t="s">
        <v>116</v>
      </c>
      <c r="G174" s="3" t="s">
        <v>260</v>
      </c>
      <c r="H174" s="3" t="s">
        <v>189</v>
      </c>
      <c r="I174" s="3" t="s">
        <v>190</v>
      </c>
      <c r="J174" s="3" t="s">
        <v>191</v>
      </c>
      <c r="K174" s="3" t="s">
        <v>33</v>
      </c>
      <c r="L174" s="3" t="s">
        <v>34</v>
      </c>
      <c r="M174" s="3" t="s">
        <v>264</v>
      </c>
      <c r="N174" s="3" t="s">
        <v>265</v>
      </c>
      <c r="O174" s="3" t="s">
        <v>197</v>
      </c>
      <c r="P174" s="3" t="s">
        <v>198</v>
      </c>
      <c r="Q174" s="3" t="s">
        <v>39</v>
      </c>
      <c r="R174" s="3" t="s">
        <v>40</v>
      </c>
      <c r="S174" s="7">
        <v>1718.3</v>
      </c>
      <c r="T174" s="7">
        <v>0</v>
      </c>
      <c r="U174" s="7">
        <v>0</v>
      </c>
      <c r="V174" s="7">
        <v>1718.3</v>
      </c>
      <c r="W174" s="3">
        <v>0</v>
      </c>
    </row>
    <row r="175" spans="1:23" x14ac:dyDescent="0.35">
      <c r="A175" s="3" t="s">
        <v>421</v>
      </c>
      <c r="B175" s="3" t="s">
        <v>422</v>
      </c>
      <c r="C175" s="3" t="s">
        <v>266</v>
      </c>
      <c r="D175" s="3" t="s">
        <v>259</v>
      </c>
      <c r="E175" s="3" t="s">
        <v>187</v>
      </c>
      <c r="F175" s="3" t="s">
        <v>116</v>
      </c>
      <c r="G175" s="3" t="s">
        <v>260</v>
      </c>
      <c r="H175" s="3" t="s">
        <v>189</v>
      </c>
      <c r="I175" s="3" t="s">
        <v>190</v>
      </c>
      <c r="J175" s="3" t="s">
        <v>191</v>
      </c>
      <c r="K175" s="3" t="s">
        <v>33</v>
      </c>
      <c r="L175" s="3" t="s">
        <v>34</v>
      </c>
      <c r="M175" s="3" t="s">
        <v>267</v>
      </c>
      <c r="N175" s="3" t="s">
        <v>268</v>
      </c>
      <c r="O175" s="3" t="s">
        <v>37</v>
      </c>
      <c r="P175" s="3" t="s">
        <v>38</v>
      </c>
      <c r="Q175" s="3" t="s">
        <v>39</v>
      </c>
      <c r="R175" s="3" t="s">
        <v>40</v>
      </c>
      <c r="S175" s="7">
        <v>95084.9</v>
      </c>
      <c r="T175" s="7">
        <v>0</v>
      </c>
      <c r="U175" s="7">
        <v>0</v>
      </c>
      <c r="V175" s="7">
        <v>95084.9</v>
      </c>
      <c r="W175" s="3">
        <v>0</v>
      </c>
    </row>
    <row r="176" spans="1:23" x14ac:dyDescent="0.35">
      <c r="A176" s="3" t="s">
        <v>421</v>
      </c>
      <c r="B176" s="3" t="s">
        <v>422</v>
      </c>
      <c r="C176" s="3" t="s">
        <v>269</v>
      </c>
      <c r="D176" s="3" t="s">
        <v>259</v>
      </c>
      <c r="E176" s="3" t="s">
        <v>187</v>
      </c>
      <c r="F176" s="3" t="s">
        <v>116</v>
      </c>
      <c r="G176" s="3" t="s">
        <v>260</v>
      </c>
      <c r="H176" s="3" t="s">
        <v>189</v>
      </c>
      <c r="I176" s="3" t="s">
        <v>190</v>
      </c>
      <c r="J176" s="3" t="s">
        <v>191</v>
      </c>
      <c r="K176" s="3" t="s">
        <v>33</v>
      </c>
      <c r="L176" s="3" t="s">
        <v>34</v>
      </c>
      <c r="M176" s="3" t="s">
        <v>267</v>
      </c>
      <c r="N176" s="3" t="s">
        <v>268</v>
      </c>
      <c r="O176" s="3" t="s">
        <v>197</v>
      </c>
      <c r="P176" s="3" t="s">
        <v>198</v>
      </c>
      <c r="Q176" s="3" t="s">
        <v>39</v>
      </c>
      <c r="R176" s="3" t="s">
        <v>40</v>
      </c>
      <c r="S176" s="7">
        <v>14782.4</v>
      </c>
      <c r="T176" s="7">
        <v>0</v>
      </c>
      <c r="U176" s="7">
        <v>0</v>
      </c>
      <c r="V176" s="7">
        <v>14782.4</v>
      </c>
      <c r="W176" s="3">
        <v>0</v>
      </c>
    </row>
    <row r="177" spans="1:23" x14ac:dyDescent="0.35">
      <c r="A177" s="3" t="s">
        <v>421</v>
      </c>
      <c r="B177" s="3" t="s">
        <v>422</v>
      </c>
      <c r="C177" s="3" t="s">
        <v>270</v>
      </c>
      <c r="D177" s="3" t="s">
        <v>259</v>
      </c>
      <c r="E177" s="3" t="s">
        <v>187</v>
      </c>
      <c r="F177" s="3" t="s">
        <v>116</v>
      </c>
      <c r="G177" s="3" t="s">
        <v>260</v>
      </c>
      <c r="H177" s="3" t="s">
        <v>189</v>
      </c>
      <c r="I177" s="3" t="s">
        <v>190</v>
      </c>
      <c r="J177" s="3" t="s">
        <v>191</v>
      </c>
      <c r="K177" s="3" t="s">
        <v>33</v>
      </c>
      <c r="L177" s="3" t="s">
        <v>34</v>
      </c>
      <c r="M177" s="3" t="s">
        <v>271</v>
      </c>
      <c r="N177" s="3" t="s">
        <v>272</v>
      </c>
      <c r="O177" s="3" t="s">
        <v>108</v>
      </c>
      <c r="P177" s="3" t="s">
        <v>109</v>
      </c>
      <c r="Q177" s="3" t="s">
        <v>39</v>
      </c>
      <c r="R177" s="3" t="s">
        <v>40</v>
      </c>
      <c r="S177" s="7">
        <v>46883.7</v>
      </c>
      <c r="T177" s="7">
        <v>8508.4567999999999</v>
      </c>
      <c r="U177" s="7">
        <v>4215.9976999999999</v>
      </c>
      <c r="V177" s="7">
        <v>38375.243199999997</v>
      </c>
      <c r="W177" s="3">
        <v>18</v>
      </c>
    </row>
    <row r="178" spans="1:23" x14ac:dyDescent="0.35">
      <c r="A178" s="3" t="s">
        <v>421</v>
      </c>
      <c r="B178" s="3" t="s">
        <v>422</v>
      </c>
      <c r="C178" s="3" t="s">
        <v>273</v>
      </c>
      <c r="D178" s="3" t="s">
        <v>259</v>
      </c>
      <c r="E178" s="3" t="s">
        <v>187</v>
      </c>
      <c r="F178" s="3" t="s">
        <v>116</v>
      </c>
      <c r="G178" s="3" t="s">
        <v>260</v>
      </c>
      <c r="H178" s="3" t="s">
        <v>189</v>
      </c>
      <c r="I178" s="3" t="s">
        <v>190</v>
      </c>
      <c r="J178" s="3" t="s">
        <v>191</v>
      </c>
      <c r="K178" s="3" t="s">
        <v>33</v>
      </c>
      <c r="L178" s="3" t="s">
        <v>34</v>
      </c>
      <c r="M178" s="3" t="s">
        <v>274</v>
      </c>
      <c r="N178" s="3" t="s">
        <v>275</v>
      </c>
      <c r="O178" s="3" t="s">
        <v>108</v>
      </c>
      <c r="P178" s="3" t="s">
        <v>109</v>
      </c>
      <c r="Q178" s="3" t="s">
        <v>39</v>
      </c>
      <c r="R178" s="3" t="s">
        <v>40</v>
      </c>
      <c r="S178" s="7">
        <v>66303.8</v>
      </c>
      <c r="T178" s="7">
        <v>9169.3608000000004</v>
      </c>
      <c r="U178" s="7">
        <v>5800.1315000000004</v>
      </c>
      <c r="V178" s="7">
        <v>57134.439200000001</v>
      </c>
      <c r="W178" s="3">
        <v>14</v>
      </c>
    </row>
    <row r="179" spans="1:23" x14ac:dyDescent="0.35">
      <c r="A179" s="3" t="s">
        <v>421</v>
      </c>
      <c r="B179" s="3" t="s">
        <v>422</v>
      </c>
      <c r="C179" s="3" t="s">
        <v>276</v>
      </c>
      <c r="D179" s="3" t="s">
        <v>259</v>
      </c>
      <c r="E179" s="3" t="s">
        <v>187</v>
      </c>
      <c r="F179" s="3" t="s">
        <v>116</v>
      </c>
      <c r="G179" s="3" t="s">
        <v>260</v>
      </c>
      <c r="H179" s="3" t="s">
        <v>189</v>
      </c>
      <c r="I179" s="3" t="s">
        <v>190</v>
      </c>
      <c r="J179" s="3" t="s">
        <v>191</v>
      </c>
      <c r="K179" s="3" t="s">
        <v>33</v>
      </c>
      <c r="L179" s="3" t="s">
        <v>34</v>
      </c>
      <c r="M179" s="3" t="s">
        <v>277</v>
      </c>
      <c r="N179" s="3" t="s">
        <v>278</v>
      </c>
      <c r="O179" s="3" t="s">
        <v>197</v>
      </c>
      <c r="P179" s="3" t="s">
        <v>198</v>
      </c>
      <c r="Q179" s="3" t="s">
        <v>39</v>
      </c>
      <c r="R179" s="3" t="s">
        <v>40</v>
      </c>
      <c r="S179" s="7">
        <v>5928.5</v>
      </c>
      <c r="T179" s="7">
        <v>0</v>
      </c>
      <c r="U179" s="7">
        <v>0</v>
      </c>
      <c r="V179" s="7">
        <v>5928.5</v>
      </c>
      <c r="W179" s="3">
        <v>0</v>
      </c>
    </row>
    <row r="180" spans="1:23" x14ac:dyDescent="0.35">
      <c r="A180" s="3" t="s">
        <v>421</v>
      </c>
      <c r="B180" s="3" t="s">
        <v>422</v>
      </c>
      <c r="C180" s="3" t="s">
        <v>279</v>
      </c>
      <c r="D180" s="3" t="s">
        <v>259</v>
      </c>
      <c r="E180" s="3" t="s">
        <v>187</v>
      </c>
      <c r="F180" s="3" t="s">
        <v>116</v>
      </c>
      <c r="G180" s="3" t="s">
        <v>260</v>
      </c>
      <c r="H180" s="3" t="s">
        <v>189</v>
      </c>
      <c r="I180" s="3" t="s">
        <v>190</v>
      </c>
      <c r="J180" s="3" t="s">
        <v>191</v>
      </c>
      <c r="K180" s="3" t="s">
        <v>33</v>
      </c>
      <c r="L180" s="3" t="s">
        <v>34</v>
      </c>
      <c r="M180" s="3" t="s">
        <v>280</v>
      </c>
      <c r="N180" s="3" t="s">
        <v>281</v>
      </c>
      <c r="O180" s="3" t="s">
        <v>197</v>
      </c>
      <c r="P180" s="3" t="s">
        <v>198</v>
      </c>
      <c r="Q180" s="3" t="s">
        <v>39</v>
      </c>
      <c r="R180" s="3" t="s">
        <v>40</v>
      </c>
      <c r="S180" s="7">
        <v>7523.1</v>
      </c>
      <c r="T180" s="7">
        <v>0</v>
      </c>
      <c r="U180" s="7">
        <v>0</v>
      </c>
      <c r="V180" s="7">
        <v>7523.1</v>
      </c>
      <c r="W180" s="3">
        <v>0</v>
      </c>
    </row>
    <row r="181" spans="1:23" x14ac:dyDescent="0.35">
      <c r="A181" s="3" t="s">
        <v>421</v>
      </c>
      <c r="B181" s="3" t="s">
        <v>422</v>
      </c>
      <c r="C181" s="3" t="s">
        <v>282</v>
      </c>
      <c r="D181" s="3" t="s">
        <v>259</v>
      </c>
      <c r="E181" s="3" t="s">
        <v>187</v>
      </c>
      <c r="F181" s="3" t="s">
        <v>116</v>
      </c>
      <c r="G181" s="3" t="s">
        <v>260</v>
      </c>
      <c r="H181" s="3" t="s">
        <v>66</v>
      </c>
      <c r="I181" s="3" t="s">
        <v>67</v>
      </c>
      <c r="J181" s="3" t="s">
        <v>68</v>
      </c>
      <c r="K181" s="3" t="s">
        <v>33</v>
      </c>
      <c r="L181" s="3" t="s">
        <v>51</v>
      </c>
      <c r="M181" s="3" t="s">
        <v>283</v>
      </c>
      <c r="N181" s="3" t="s">
        <v>284</v>
      </c>
      <c r="O181" s="3" t="s">
        <v>197</v>
      </c>
      <c r="P181" s="3" t="s">
        <v>198</v>
      </c>
      <c r="Q181" s="3" t="s">
        <v>39</v>
      </c>
      <c r="R181" s="3" t="s">
        <v>40</v>
      </c>
      <c r="S181" s="7">
        <v>500</v>
      </c>
      <c r="T181" s="7">
        <v>0</v>
      </c>
      <c r="U181" s="7">
        <v>0</v>
      </c>
      <c r="V181" s="7">
        <v>500</v>
      </c>
      <c r="W181" s="3">
        <v>0</v>
      </c>
    </row>
    <row r="182" spans="1:23" x14ac:dyDescent="0.35">
      <c r="A182" s="3" t="s">
        <v>421</v>
      </c>
      <c r="B182" s="3" t="s">
        <v>422</v>
      </c>
      <c r="C182" s="3" t="s">
        <v>285</v>
      </c>
      <c r="D182" s="3" t="s">
        <v>259</v>
      </c>
      <c r="E182" s="3" t="s">
        <v>187</v>
      </c>
      <c r="F182" s="3" t="s">
        <v>116</v>
      </c>
      <c r="G182" s="3" t="s">
        <v>260</v>
      </c>
      <c r="H182" s="3" t="s">
        <v>30</v>
      </c>
      <c r="I182" s="3" t="s">
        <v>31</v>
      </c>
      <c r="J182" s="3" t="s">
        <v>32</v>
      </c>
      <c r="K182" s="3" t="s">
        <v>33</v>
      </c>
      <c r="L182" s="3" t="s">
        <v>34</v>
      </c>
      <c r="M182" s="3" t="s">
        <v>286</v>
      </c>
      <c r="N182" s="3" t="s">
        <v>287</v>
      </c>
      <c r="O182" s="3" t="s">
        <v>37</v>
      </c>
      <c r="P182" s="3" t="s">
        <v>38</v>
      </c>
      <c r="Q182" s="3" t="s">
        <v>39</v>
      </c>
      <c r="R182" s="3" t="s">
        <v>40</v>
      </c>
      <c r="S182" s="7">
        <v>900.4</v>
      </c>
      <c r="T182" s="7">
        <v>0</v>
      </c>
      <c r="U182" s="7">
        <v>0</v>
      </c>
      <c r="V182" s="7">
        <v>900.4</v>
      </c>
      <c r="W182" s="3">
        <v>0</v>
      </c>
    </row>
    <row r="183" spans="1:23" x14ac:dyDescent="0.35">
      <c r="A183" s="3" t="s">
        <v>421</v>
      </c>
      <c r="B183" s="3" t="s">
        <v>422</v>
      </c>
      <c r="C183" s="3" t="s">
        <v>288</v>
      </c>
      <c r="D183" s="3" t="s">
        <v>259</v>
      </c>
      <c r="E183" s="3" t="s">
        <v>187</v>
      </c>
      <c r="F183" s="3" t="s">
        <v>116</v>
      </c>
      <c r="G183" s="3" t="s">
        <v>260</v>
      </c>
      <c r="H183" s="3" t="s">
        <v>30</v>
      </c>
      <c r="I183" s="3" t="s">
        <v>31</v>
      </c>
      <c r="J183" s="3" t="s">
        <v>32</v>
      </c>
      <c r="K183" s="3" t="s">
        <v>33</v>
      </c>
      <c r="L183" s="3" t="s">
        <v>34</v>
      </c>
      <c r="M183" s="3" t="s">
        <v>286</v>
      </c>
      <c r="N183" s="3" t="s">
        <v>287</v>
      </c>
      <c r="O183" s="3" t="s">
        <v>42</v>
      </c>
      <c r="P183" s="3" t="s">
        <v>43</v>
      </c>
      <c r="Q183" s="3" t="s">
        <v>39</v>
      </c>
      <c r="R183" s="3" t="s">
        <v>40</v>
      </c>
      <c r="S183" s="7">
        <v>67.400000000000006</v>
      </c>
      <c r="T183" s="7">
        <v>0</v>
      </c>
      <c r="U183" s="7">
        <v>0</v>
      </c>
      <c r="V183" s="7">
        <v>67.400000000000006</v>
      </c>
      <c r="W183" s="3">
        <v>0</v>
      </c>
    </row>
    <row r="184" spans="1:23" hidden="1" x14ac:dyDescent="0.35">
      <c r="A184" t="s">
        <v>421</v>
      </c>
      <c r="B184" t="s">
        <v>422</v>
      </c>
      <c r="C184" t="s">
        <v>289</v>
      </c>
      <c r="D184" t="s">
        <v>290</v>
      </c>
      <c r="E184" t="s">
        <v>291</v>
      </c>
      <c r="F184" t="s">
        <v>146</v>
      </c>
      <c r="G184" t="s">
        <v>292</v>
      </c>
      <c r="H184" t="s">
        <v>293</v>
      </c>
      <c r="I184" t="s">
        <v>294</v>
      </c>
      <c r="J184" t="s">
        <v>295</v>
      </c>
      <c r="K184" t="s">
        <v>33</v>
      </c>
      <c r="L184" t="s">
        <v>51</v>
      </c>
      <c r="M184" t="s">
        <v>296</v>
      </c>
      <c r="N184" t="s">
        <v>297</v>
      </c>
      <c r="O184" t="s">
        <v>108</v>
      </c>
      <c r="P184" t="s">
        <v>109</v>
      </c>
      <c r="Q184" t="s">
        <v>39</v>
      </c>
      <c r="R184" t="s">
        <v>40</v>
      </c>
      <c r="S184" s="1">
        <v>263750</v>
      </c>
      <c r="T184" s="1">
        <v>35031.250899999999</v>
      </c>
      <c r="U184" s="1">
        <v>26325.425800000001</v>
      </c>
      <c r="V184" s="1">
        <v>228718.74909999999</v>
      </c>
      <c r="W184">
        <v>13</v>
      </c>
    </row>
    <row r="185" spans="1:23" hidden="1" x14ac:dyDescent="0.35">
      <c r="A185" t="s">
        <v>421</v>
      </c>
      <c r="B185" t="s">
        <v>422</v>
      </c>
      <c r="C185" t="s">
        <v>298</v>
      </c>
      <c r="D185" t="s">
        <v>290</v>
      </c>
      <c r="E185" t="s">
        <v>291</v>
      </c>
      <c r="F185" t="s">
        <v>146</v>
      </c>
      <c r="G185" t="s">
        <v>292</v>
      </c>
      <c r="H185" t="s">
        <v>293</v>
      </c>
      <c r="I185" t="s">
        <v>294</v>
      </c>
      <c r="J185" t="s">
        <v>295</v>
      </c>
      <c r="K185" t="s">
        <v>33</v>
      </c>
      <c r="L185" t="s">
        <v>51</v>
      </c>
      <c r="M185" t="s">
        <v>299</v>
      </c>
      <c r="N185" t="s">
        <v>300</v>
      </c>
      <c r="O185" t="s">
        <v>108</v>
      </c>
      <c r="P185" t="s">
        <v>109</v>
      </c>
      <c r="Q185" t="s">
        <v>39</v>
      </c>
      <c r="R185" t="s">
        <v>40</v>
      </c>
      <c r="S185" s="1">
        <v>93678.1</v>
      </c>
      <c r="T185" s="1">
        <v>11282.422699999999</v>
      </c>
      <c r="U185" s="1">
        <v>6245.6587</v>
      </c>
      <c r="V185" s="1">
        <v>82395.677299999996</v>
      </c>
      <c r="W185">
        <v>12</v>
      </c>
    </row>
    <row r="186" spans="1:23" hidden="1" x14ac:dyDescent="0.35">
      <c r="A186" t="s">
        <v>421</v>
      </c>
      <c r="B186" t="s">
        <v>422</v>
      </c>
      <c r="C186" t="s">
        <v>301</v>
      </c>
      <c r="D186" t="s">
        <v>290</v>
      </c>
      <c r="E186" t="s">
        <v>291</v>
      </c>
      <c r="F186" t="s">
        <v>146</v>
      </c>
      <c r="G186" t="s">
        <v>292</v>
      </c>
      <c r="H186" t="s">
        <v>293</v>
      </c>
      <c r="I186" t="s">
        <v>294</v>
      </c>
      <c r="J186" t="s">
        <v>295</v>
      </c>
      <c r="K186" t="s">
        <v>33</v>
      </c>
      <c r="L186" t="s">
        <v>51</v>
      </c>
      <c r="M186" t="s">
        <v>302</v>
      </c>
      <c r="N186" t="s">
        <v>303</v>
      </c>
      <c r="O186" t="s">
        <v>108</v>
      </c>
      <c r="P186" t="s">
        <v>109</v>
      </c>
      <c r="Q186" t="s">
        <v>39</v>
      </c>
      <c r="R186" t="s">
        <v>40</v>
      </c>
      <c r="S186" s="1">
        <v>207715.20000000001</v>
      </c>
      <c r="T186" s="1">
        <v>25477.925599999999</v>
      </c>
      <c r="U186" s="1">
        <v>18044.705699999999</v>
      </c>
      <c r="V186" s="1">
        <v>182237.27439999999</v>
      </c>
      <c r="W186">
        <v>12</v>
      </c>
    </row>
    <row r="187" spans="1:23" hidden="1" x14ac:dyDescent="0.35">
      <c r="A187" t="s">
        <v>421</v>
      </c>
      <c r="B187" t="s">
        <v>422</v>
      </c>
      <c r="C187" t="s">
        <v>304</v>
      </c>
      <c r="D187" t="s">
        <v>290</v>
      </c>
      <c r="E187" t="s">
        <v>291</v>
      </c>
      <c r="F187" t="s">
        <v>146</v>
      </c>
      <c r="G187" t="s">
        <v>292</v>
      </c>
      <c r="H187" t="s">
        <v>293</v>
      </c>
      <c r="I187" t="s">
        <v>294</v>
      </c>
      <c r="J187" t="s">
        <v>295</v>
      </c>
      <c r="K187" t="s">
        <v>33</v>
      </c>
      <c r="L187" t="s">
        <v>51</v>
      </c>
      <c r="M187" t="s">
        <v>305</v>
      </c>
      <c r="N187" t="s">
        <v>306</v>
      </c>
      <c r="O187" t="s">
        <v>108</v>
      </c>
      <c r="P187" t="s">
        <v>109</v>
      </c>
      <c r="Q187" t="s">
        <v>39</v>
      </c>
      <c r="R187" t="s">
        <v>40</v>
      </c>
      <c r="S187" s="1">
        <v>87050.7</v>
      </c>
      <c r="T187" s="1">
        <v>11469.7109</v>
      </c>
      <c r="U187" s="1">
        <v>7892.2329</v>
      </c>
      <c r="V187" s="1">
        <v>75580.989100000006</v>
      </c>
      <c r="W187">
        <v>13</v>
      </c>
    </row>
    <row r="188" spans="1:23" hidden="1" x14ac:dyDescent="0.35">
      <c r="A188" t="s">
        <v>421</v>
      </c>
      <c r="B188" t="s">
        <v>422</v>
      </c>
      <c r="C188" t="s">
        <v>307</v>
      </c>
      <c r="D188" t="s">
        <v>290</v>
      </c>
      <c r="E188" t="s">
        <v>291</v>
      </c>
      <c r="F188" t="s">
        <v>146</v>
      </c>
      <c r="G188" t="s">
        <v>292</v>
      </c>
      <c r="H188" t="s">
        <v>293</v>
      </c>
      <c r="I188" t="s">
        <v>294</v>
      </c>
      <c r="J188" t="s">
        <v>295</v>
      </c>
      <c r="K188" t="s">
        <v>33</v>
      </c>
      <c r="L188" t="s">
        <v>51</v>
      </c>
      <c r="M188" t="s">
        <v>308</v>
      </c>
      <c r="N188" t="s">
        <v>309</v>
      </c>
      <c r="O188" t="s">
        <v>37</v>
      </c>
      <c r="P188" t="s">
        <v>38</v>
      </c>
      <c r="Q188" t="s">
        <v>39</v>
      </c>
      <c r="R188" t="s">
        <v>40</v>
      </c>
      <c r="S188" s="1">
        <v>9529.5</v>
      </c>
      <c r="T188" s="1">
        <v>1043.2039</v>
      </c>
      <c r="U188" s="1">
        <v>1043.2039</v>
      </c>
      <c r="V188" s="1">
        <v>8486.2960999999996</v>
      </c>
      <c r="W188">
        <v>11</v>
      </c>
    </row>
    <row r="189" spans="1:23" hidden="1" x14ac:dyDescent="0.35">
      <c r="A189" t="s">
        <v>421</v>
      </c>
      <c r="B189" t="s">
        <v>422</v>
      </c>
      <c r="C189" t="s">
        <v>436</v>
      </c>
      <c r="D189" t="s">
        <v>290</v>
      </c>
      <c r="E189" t="s">
        <v>291</v>
      </c>
      <c r="F189" t="s">
        <v>146</v>
      </c>
      <c r="G189" t="s">
        <v>292</v>
      </c>
      <c r="H189" t="s">
        <v>293</v>
      </c>
      <c r="I189" t="s">
        <v>294</v>
      </c>
      <c r="J189" t="s">
        <v>295</v>
      </c>
      <c r="K189" t="s">
        <v>33</v>
      </c>
      <c r="L189" t="s">
        <v>51</v>
      </c>
      <c r="M189" t="s">
        <v>308</v>
      </c>
      <c r="N189" t="s">
        <v>309</v>
      </c>
      <c r="O189" t="s">
        <v>197</v>
      </c>
      <c r="P189" t="s">
        <v>198</v>
      </c>
      <c r="Q189" t="s">
        <v>39</v>
      </c>
      <c r="R189" t="s">
        <v>40</v>
      </c>
      <c r="S189" s="1">
        <v>2252</v>
      </c>
      <c r="T189" s="1">
        <v>0</v>
      </c>
      <c r="U189" s="1">
        <v>0</v>
      </c>
      <c r="V189" s="1">
        <v>2252</v>
      </c>
      <c r="W189">
        <v>0</v>
      </c>
    </row>
    <row r="190" spans="1:23" hidden="1" x14ac:dyDescent="0.35">
      <c r="A190" t="s">
        <v>421</v>
      </c>
      <c r="B190" t="s">
        <v>422</v>
      </c>
      <c r="C190" t="s">
        <v>310</v>
      </c>
      <c r="D190" t="s">
        <v>290</v>
      </c>
      <c r="E190" t="s">
        <v>291</v>
      </c>
      <c r="F190" t="s">
        <v>146</v>
      </c>
      <c r="G190" t="s">
        <v>292</v>
      </c>
      <c r="H190" t="s">
        <v>293</v>
      </c>
      <c r="I190" t="s">
        <v>294</v>
      </c>
      <c r="J190" t="s">
        <v>295</v>
      </c>
      <c r="K190" t="s">
        <v>33</v>
      </c>
      <c r="L190" t="s">
        <v>51</v>
      </c>
      <c r="M190" t="s">
        <v>311</v>
      </c>
      <c r="N190" t="s">
        <v>312</v>
      </c>
      <c r="O190" t="s">
        <v>197</v>
      </c>
      <c r="P190" t="s">
        <v>198</v>
      </c>
      <c r="Q190" t="s">
        <v>39</v>
      </c>
      <c r="R190" t="s">
        <v>40</v>
      </c>
      <c r="S190" s="1">
        <v>10264.799999999999</v>
      </c>
      <c r="T190" s="1">
        <v>0</v>
      </c>
      <c r="U190" s="1">
        <v>0</v>
      </c>
      <c r="V190" s="1">
        <v>10264.799999999999</v>
      </c>
      <c r="W190">
        <v>0</v>
      </c>
    </row>
    <row r="191" spans="1:23" hidden="1" x14ac:dyDescent="0.35">
      <c r="A191" t="s">
        <v>421</v>
      </c>
      <c r="B191" t="s">
        <v>422</v>
      </c>
      <c r="C191" t="s">
        <v>313</v>
      </c>
      <c r="D191" t="s">
        <v>290</v>
      </c>
      <c r="E191" t="s">
        <v>291</v>
      </c>
      <c r="F191" t="s">
        <v>146</v>
      </c>
      <c r="G191" t="s">
        <v>292</v>
      </c>
      <c r="H191" t="s">
        <v>293</v>
      </c>
      <c r="I191" t="s">
        <v>294</v>
      </c>
      <c r="J191" t="s">
        <v>295</v>
      </c>
      <c r="K191" t="s">
        <v>33</v>
      </c>
      <c r="L191" t="s">
        <v>51</v>
      </c>
      <c r="M191" t="s">
        <v>314</v>
      </c>
      <c r="N191" t="s">
        <v>315</v>
      </c>
      <c r="O191" t="s">
        <v>197</v>
      </c>
      <c r="P191" t="s">
        <v>198</v>
      </c>
      <c r="Q191" t="s">
        <v>39</v>
      </c>
      <c r="R191" t="s">
        <v>40</v>
      </c>
      <c r="S191" s="1">
        <v>128.69999999999999</v>
      </c>
      <c r="T191" s="1">
        <v>0</v>
      </c>
      <c r="U191" s="1">
        <v>0</v>
      </c>
      <c r="V191" s="1">
        <v>128.69999999999999</v>
      </c>
      <c r="W191">
        <v>0</v>
      </c>
    </row>
    <row r="192" spans="1:23" hidden="1" x14ac:dyDescent="0.35">
      <c r="A192" t="s">
        <v>421</v>
      </c>
      <c r="B192" t="s">
        <v>422</v>
      </c>
      <c r="C192" t="s">
        <v>316</v>
      </c>
      <c r="D192" t="s">
        <v>317</v>
      </c>
      <c r="E192" t="s">
        <v>291</v>
      </c>
      <c r="F192" t="s">
        <v>318</v>
      </c>
      <c r="G192" t="s">
        <v>319</v>
      </c>
      <c r="H192" t="s">
        <v>293</v>
      </c>
      <c r="I192" t="s">
        <v>294</v>
      </c>
      <c r="J192" t="s">
        <v>295</v>
      </c>
      <c r="K192" t="s">
        <v>33</v>
      </c>
      <c r="L192" t="s">
        <v>51</v>
      </c>
      <c r="M192" t="s">
        <v>320</v>
      </c>
      <c r="N192" t="s">
        <v>321</v>
      </c>
      <c r="O192" t="s">
        <v>37</v>
      </c>
      <c r="P192" t="s">
        <v>38</v>
      </c>
      <c r="Q192" t="s">
        <v>39</v>
      </c>
      <c r="R192" t="s">
        <v>40</v>
      </c>
      <c r="S192" s="1">
        <v>16495.3</v>
      </c>
      <c r="T192" s="1">
        <v>0</v>
      </c>
      <c r="U192" s="1">
        <v>0</v>
      </c>
      <c r="V192" s="1">
        <v>16495.3</v>
      </c>
      <c r="W192">
        <v>0</v>
      </c>
    </row>
    <row r="193" spans="1:23" hidden="1" x14ac:dyDescent="0.35">
      <c r="A193" t="s">
        <v>421</v>
      </c>
      <c r="B193" t="s">
        <v>422</v>
      </c>
      <c r="C193" t="s">
        <v>322</v>
      </c>
      <c r="D193" t="s">
        <v>317</v>
      </c>
      <c r="E193" t="s">
        <v>291</v>
      </c>
      <c r="F193" t="s">
        <v>318</v>
      </c>
      <c r="G193" t="s">
        <v>319</v>
      </c>
      <c r="H193" t="s">
        <v>293</v>
      </c>
      <c r="I193" t="s">
        <v>294</v>
      </c>
      <c r="J193" t="s">
        <v>295</v>
      </c>
      <c r="K193" t="s">
        <v>33</v>
      </c>
      <c r="L193" t="s">
        <v>51</v>
      </c>
      <c r="M193" t="s">
        <v>323</v>
      </c>
      <c r="N193" t="s">
        <v>324</v>
      </c>
      <c r="O193" t="s">
        <v>197</v>
      </c>
      <c r="P193" t="s">
        <v>198</v>
      </c>
      <c r="Q193" t="s">
        <v>39</v>
      </c>
      <c r="R193" t="s">
        <v>40</v>
      </c>
      <c r="S193" s="1">
        <v>8766.7000000000007</v>
      </c>
      <c r="T193" s="1">
        <v>0</v>
      </c>
      <c r="U193" s="1">
        <v>0</v>
      </c>
      <c r="V193" s="1">
        <v>8766.7000000000007</v>
      </c>
      <c r="W193">
        <v>0</v>
      </c>
    </row>
    <row r="194" spans="1:23" hidden="1" x14ac:dyDescent="0.35">
      <c r="A194" t="s">
        <v>421</v>
      </c>
      <c r="B194" t="s">
        <v>422</v>
      </c>
      <c r="C194" t="s">
        <v>325</v>
      </c>
      <c r="D194" t="s">
        <v>326</v>
      </c>
      <c r="E194" t="s">
        <v>327</v>
      </c>
      <c r="F194" t="s">
        <v>189</v>
      </c>
      <c r="G194" t="s">
        <v>328</v>
      </c>
      <c r="H194" t="s">
        <v>146</v>
      </c>
      <c r="I194" t="s">
        <v>329</v>
      </c>
      <c r="J194" t="s">
        <v>330</v>
      </c>
      <c r="K194" t="s">
        <v>33</v>
      </c>
      <c r="L194" t="s">
        <v>34</v>
      </c>
      <c r="M194" t="s">
        <v>331</v>
      </c>
      <c r="N194" t="s">
        <v>332</v>
      </c>
      <c r="O194" t="s">
        <v>108</v>
      </c>
      <c r="P194" t="s">
        <v>109</v>
      </c>
      <c r="Q194" t="s">
        <v>39</v>
      </c>
      <c r="R194" t="s">
        <v>40</v>
      </c>
      <c r="S194" s="1">
        <v>662520.5</v>
      </c>
      <c r="T194" s="1">
        <v>78405.111799999999</v>
      </c>
      <c r="U194" s="1">
        <v>55187.921399999999</v>
      </c>
      <c r="V194" s="1">
        <v>584115.38820000004</v>
      </c>
      <c r="W194">
        <v>12</v>
      </c>
    </row>
    <row r="195" spans="1:23" hidden="1" x14ac:dyDescent="0.35">
      <c r="A195" t="s">
        <v>421</v>
      </c>
      <c r="B195" t="s">
        <v>422</v>
      </c>
      <c r="C195" t="s">
        <v>333</v>
      </c>
      <c r="D195" t="s">
        <v>326</v>
      </c>
      <c r="E195" t="s">
        <v>327</v>
      </c>
      <c r="F195" t="s">
        <v>189</v>
      </c>
      <c r="G195" t="s">
        <v>328</v>
      </c>
      <c r="H195" t="s">
        <v>146</v>
      </c>
      <c r="I195" t="s">
        <v>329</v>
      </c>
      <c r="J195" t="s">
        <v>330</v>
      </c>
      <c r="K195" t="s">
        <v>33</v>
      </c>
      <c r="L195" t="s">
        <v>34</v>
      </c>
      <c r="M195" t="s">
        <v>331</v>
      </c>
      <c r="N195" t="s">
        <v>332</v>
      </c>
      <c r="O195" t="s">
        <v>334</v>
      </c>
      <c r="P195" t="s">
        <v>335</v>
      </c>
      <c r="Q195" t="s">
        <v>39</v>
      </c>
      <c r="R195" t="s">
        <v>40</v>
      </c>
      <c r="S195" s="1">
        <v>5379.7</v>
      </c>
      <c r="T195" s="1">
        <v>235.0727</v>
      </c>
      <c r="U195" s="1">
        <v>207.94550000000001</v>
      </c>
      <c r="V195" s="1">
        <v>5144.6273000000001</v>
      </c>
      <c r="W195">
        <v>4</v>
      </c>
    </row>
    <row r="196" spans="1:23" hidden="1" x14ac:dyDescent="0.35">
      <c r="A196" t="s">
        <v>421</v>
      </c>
      <c r="B196" t="s">
        <v>422</v>
      </c>
      <c r="C196" t="s">
        <v>336</v>
      </c>
      <c r="D196" t="s">
        <v>337</v>
      </c>
      <c r="E196" t="s">
        <v>327</v>
      </c>
      <c r="F196" t="s">
        <v>116</v>
      </c>
      <c r="G196" t="s">
        <v>338</v>
      </c>
      <c r="H196" t="s">
        <v>146</v>
      </c>
      <c r="I196" t="s">
        <v>329</v>
      </c>
      <c r="J196" t="s">
        <v>339</v>
      </c>
      <c r="K196" t="s">
        <v>23</v>
      </c>
      <c r="L196" t="s">
        <v>203</v>
      </c>
      <c r="M196" t="s">
        <v>340</v>
      </c>
      <c r="N196" t="s">
        <v>341</v>
      </c>
      <c r="O196" t="s">
        <v>197</v>
      </c>
      <c r="P196" t="s">
        <v>198</v>
      </c>
      <c r="Q196" t="s">
        <v>39</v>
      </c>
      <c r="R196" t="s">
        <v>40</v>
      </c>
      <c r="S196" s="1">
        <v>104471.3</v>
      </c>
      <c r="T196" s="1">
        <v>40251.122000000003</v>
      </c>
      <c r="U196" s="1">
        <v>40251.122000000003</v>
      </c>
      <c r="V196" s="1">
        <v>64220.178</v>
      </c>
      <c r="W196">
        <v>39</v>
      </c>
    </row>
    <row r="197" spans="1:23" hidden="1" x14ac:dyDescent="0.35">
      <c r="A197" t="s">
        <v>421</v>
      </c>
      <c r="B197" t="s">
        <v>422</v>
      </c>
      <c r="C197" t="s">
        <v>437</v>
      </c>
      <c r="D197" t="s">
        <v>337</v>
      </c>
      <c r="E197" t="s">
        <v>327</v>
      </c>
      <c r="F197" t="s">
        <v>116</v>
      </c>
      <c r="G197" t="s">
        <v>338</v>
      </c>
      <c r="H197" t="s">
        <v>146</v>
      </c>
      <c r="I197" t="s">
        <v>329</v>
      </c>
      <c r="J197" t="s">
        <v>330</v>
      </c>
      <c r="K197" t="s">
        <v>33</v>
      </c>
      <c r="L197" t="s">
        <v>34</v>
      </c>
      <c r="M197" t="s">
        <v>438</v>
      </c>
      <c r="N197" t="s">
        <v>439</v>
      </c>
      <c r="O197" t="s">
        <v>197</v>
      </c>
      <c r="P197" t="s">
        <v>198</v>
      </c>
      <c r="Q197" t="s">
        <v>39</v>
      </c>
      <c r="R197" t="s">
        <v>40</v>
      </c>
      <c r="S197" s="1">
        <v>34518.6</v>
      </c>
      <c r="T197" s="1">
        <v>0</v>
      </c>
      <c r="U197" s="1">
        <v>0</v>
      </c>
      <c r="V197" s="1">
        <v>34518.6</v>
      </c>
      <c r="W197">
        <v>0</v>
      </c>
    </row>
    <row r="198" spans="1:23" hidden="1" x14ac:dyDescent="0.35">
      <c r="A198" t="s">
        <v>421</v>
      </c>
      <c r="B198" t="s">
        <v>422</v>
      </c>
      <c r="C198" t="s">
        <v>342</v>
      </c>
      <c r="D198" t="s">
        <v>337</v>
      </c>
      <c r="E198" t="s">
        <v>327</v>
      </c>
      <c r="F198" t="s">
        <v>116</v>
      </c>
      <c r="G198" t="s">
        <v>338</v>
      </c>
      <c r="H198" t="s">
        <v>146</v>
      </c>
      <c r="I198" t="s">
        <v>329</v>
      </c>
      <c r="J198" t="s">
        <v>330</v>
      </c>
      <c r="K198" t="s">
        <v>33</v>
      </c>
      <c r="L198" t="s">
        <v>34</v>
      </c>
      <c r="M198" t="s">
        <v>343</v>
      </c>
      <c r="N198" t="s">
        <v>344</v>
      </c>
      <c r="O198" t="s">
        <v>37</v>
      </c>
      <c r="P198" t="s">
        <v>38</v>
      </c>
      <c r="Q198" t="s">
        <v>39</v>
      </c>
      <c r="R198" t="s">
        <v>40</v>
      </c>
      <c r="S198" s="1">
        <v>48.2</v>
      </c>
      <c r="T198" s="1">
        <v>0</v>
      </c>
      <c r="U198" s="1">
        <v>0</v>
      </c>
      <c r="V198" s="1">
        <v>48.2</v>
      </c>
      <c r="W198">
        <v>0</v>
      </c>
    </row>
    <row r="199" spans="1:23" hidden="1" x14ac:dyDescent="0.35">
      <c r="A199" t="s">
        <v>421</v>
      </c>
      <c r="B199" t="s">
        <v>422</v>
      </c>
      <c r="C199" t="s">
        <v>345</v>
      </c>
      <c r="D199" t="s">
        <v>337</v>
      </c>
      <c r="E199" t="s">
        <v>327</v>
      </c>
      <c r="F199" t="s">
        <v>116</v>
      </c>
      <c r="G199" t="s">
        <v>338</v>
      </c>
      <c r="H199" t="s">
        <v>146</v>
      </c>
      <c r="I199" t="s">
        <v>329</v>
      </c>
      <c r="J199" t="s">
        <v>330</v>
      </c>
      <c r="K199" t="s">
        <v>33</v>
      </c>
      <c r="L199" t="s">
        <v>34</v>
      </c>
      <c r="M199" t="s">
        <v>346</v>
      </c>
      <c r="N199" t="s">
        <v>347</v>
      </c>
      <c r="O199" t="s">
        <v>197</v>
      </c>
      <c r="P199" t="s">
        <v>198</v>
      </c>
      <c r="Q199" t="s">
        <v>39</v>
      </c>
      <c r="R199" t="s">
        <v>40</v>
      </c>
      <c r="S199" s="1">
        <v>223871.4</v>
      </c>
      <c r="T199" s="1">
        <v>0</v>
      </c>
      <c r="U199" s="1">
        <v>0</v>
      </c>
      <c r="V199" s="1">
        <v>223871.4</v>
      </c>
      <c r="W199">
        <v>0</v>
      </c>
    </row>
    <row r="200" spans="1:23" hidden="1" x14ac:dyDescent="0.35">
      <c r="A200" t="s">
        <v>421</v>
      </c>
      <c r="B200" t="s">
        <v>422</v>
      </c>
      <c r="C200" t="s">
        <v>348</v>
      </c>
      <c r="D200" t="s">
        <v>337</v>
      </c>
      <c r="E200" t="s">
        <v>327</v>
      </c>
      <c r="F200" t="s">
        <v>116</v>
      </c>
      <c r="G200" t="s">
        <v>338</v>
      </c>
      <c r="H200" t="s">
        <v>146</v>
      </c>
      <c r="I200" t="s">
        <v>329</v>
      </c>
      <c r="J200" t="s">
        <v>330</v>
      </c>
      <c r="K200" t="s">
        <v>33</v>
      </c>
      <c r="L200" t="s">
        <v>34</v>
      </c>
      <c r="M200" t="s">
        <v>349</v>
      </c>
      <c r="N200" t="s">
        <v>350</v>
      </c>
      <c r="O200" t="s">
        <v>197</v>
      </c>
      <c r="P200" t="s">
        <v>198</v>
      </c>
      <c r="Q200" t="s">
        <v>39</v>
      </c>
      <c r="R200" t="s">
        <v>40</v>
      </c>
      <c r="S200" s="1">
        <v>29779.9</v>
      </c>
      <c r="T200" s="1">
        <v>0</v>
      </c>
      <c r="U200" s="1">
        <v>0</v>
      </c>
      <c r="V200" s="1">
        <v>29779.9</v>
      </c>
      <c r="W200">
        <v>0</v>
      </c>
    </row>
    <row r="201" spans="1:23" hidden="1" x14ac:dyDescent="0.35">
      <c r="A201" t="s">
        <v>421</v>
      </c>
      <c r="B201" t="s">
        <v>422</v>
      </c>
      <c r="C201" t="s">
        <v>351</v>
      </c>
      <c r="D201" t="s">
        <v>337</v>
      </c>
      <c r="E201" t="s">
        <v>327</v>
      </c>
      <c r="F201" t="s">
        <v>116</v>
      </c>
      <c r="G201" t="s">
        <v>338</v>
      </c>
      <c r="H201" t="s">
        <v>146</v>
      </c>
      <c r="I201" t="s">
        <v>329</v>
      </c>
      <c r="J201" t="s">
        <v>330</v>
      </c>
      <c r="K201" t="s">
        <v>33</v>
      </c>
      <c r="L201" t="s">
        <v>34</v>
      </c>
      <c r="M201" t="s">
        <v>352</v>
      </c>
      <c r="N201" t="s">
        <v>353</v>
      </c>
      <c r="O201" t="s">
        <v>197</v>
      </c>
      <c r="P201" t="s">
        <v>198</v>
      </c>
      <c r="Q201" t="s">
        <v>39</v>
      </c>
      <c r="R201" t="s">
        <v>40</v>
      </c>
      <c r="S201" s="1">
        <v>7460.5</v>
      </c>
      <c r="T201" s="1">
        <v>0</v>
      </c>
      <c r="U201" s="1">
        <v>0</v>
      </c>
      <c r="V201" s="1">
        <v>7460.5</v>
      </c>
      <c r="W201">
        <v>0</v>
      </c>
    </row>
    <row r="202" spans="1:23" hidden="1" x14ac:dyDescent="0.35">
      <c r="A202" t="s">
        <v>421</v>
      </c>
      <c r="B202" t="s">
        <v>422</v>
      </c>
      <c r="C202" t="s">
        <v>354</v>
      </c>
      <c r="D202" t="s">
        <v>337</v>
      </c>
      <c r="E202" t="s">
        <v>327</v>
      </c>
      <c r="F202" t="s">
        <v>116</v>
      </c>
      <c r="G202" t="s">
        <v>338</v>
      </c>
      <c r="H202" t="s">
        <v>146</v>
      </c>
      <c r="I202" t="s">
        <v>329</v>
      </c>
      <c r="J202" t="s">
        <v>330</v>
      </c>
      <c r="K202" t="s">
        <v>33</v>
      </c>
      <c r="L202" t="s">
        <v>34</v>
      </c>
      <c r="M202" t="s">
        <v>355</v>
      </c>
      <c r="N202" t="s">
        <v>356</v>
      </c>
      <c r="O202" t="s">
        <v>197</v>
      </c>
      <c r="P202" t="s">
        <v>198</v>
      </c>
      <c r="Q202" t="s">
        <v>39</v>
      </c>
      <c r="R202" t="s">
        <v>40</v>
      </c>
      <c r="S202" s="1">
        <v>45132.3</v>
      </c>
      <c r="T202" s="1">
        <v>2327.4059999999999</v>
      </c>
      <c r="U202" s="1">
        <v>2327.4059999999999</v>
      </c>
      <c r="V202" s="1">
        <v>42804.894</v>
      </c>
      <c r="W202">
        <v>5</v>
      </c>
    </row>
    <row r="203" spans="1:23" hidden="1" x14ac:dyDescent="0.35">
      <c r="A203" t="s">
        <v>421</v>
      </c>
      <c r="B203" t="s">
        <v>422</v>
      </c>
      <c r="C203" t="s">
        <v>357</v>
      </c>
      <c r="D203" t="s">
        <v>337</v>
      </c>
      <c r="E203" t="s">
        <v>327</v>
      </c>
      <c r="F203" t="s">
        <v>116</v>
      </c>
      <c r="G203" t="s">
        <v>338</v>
      </c>
      <c r="H203" t="s">
        <v>146</v>
      </c>
      <c r="I203" t="s">
        <v>329</v>
      </c>
      <c r="J203" t="s">
        <v>330</v>
      </c>
      <c r="K203" t="s">
        <v>33</v>
      </c>
      <c r="L203" t="s">
        <v>34</v>
      </c>
      <c r="M203" t="s">
        <v>358</v>
      </c>
      <c r="N203" t="s">
        <v>359</v>
      </c>
      <c r="O203" t="s">
        <v>197</v>
      </c>
      <c r="P203" t="s">
        <v>198</v>
      </c>
      <c r="Q203" t="s">
        <v>39</v>
      </c>
      <c r="R203" t="s">
        <v>40</v>
      </c>
      <c r="S203" s="1">
        <v>113.2</v>
      </c>
      <c r="T203" s="1">
        <v>0</v>
      </c>
      <c r="U203" s="1">
        <v>0</v>
      </c>
      <c r="V203" s="1">
        <v>113.2</v>
      </c>
      <c r="W203">
        <v>0</v>
      </c>
    </row>
    <row r="204" spans="1:23" hidden="1" x14ac:dyDescent="0.35">
      <c r="A204" t="s">
        <v>421</v>
      </c>
      <c r="B204" t="s">
        <v>422</v>
      </c>
      <c r="C204" t="s">
        <v>360</v>
      </c>
      <c r="D204" t="s">
        <v>337</v>
      </c>
      <c r="E204" t="s">
        <v>327</v>
      </c>
      <c r="F204" t="s">
        <v>116</v>
      </c>
      <c r="G204" t="s">
        <v>338</v>
      </c>
      <c r="H204" t="s">
        <v>48</v>
      </c>
      <c r="I204" t="s">
        <v>49</v>
      </c>
      <c r="J204" t="s">
        <v>50</v>
      </c>
      <c r="K204" t="s">
        <v>33</v>
      </c>
      <c r="L204" t="s">
        <v>51</v>
      </c>
      <c r="M204" t="s">
        <v>361</v>
      </c>
      <c r="N204" t="s">
        <v>362</v>
      </c>
      <c r="O204" t="s">
        <v>197</v>
      </c>
      <c r="P204" t="s">
        <v>198</v>
      </c>
      <c r="Q204" t="s">
        <v>39</v>
      </c>
      <c r="R204" t="s">
        <v>40</v>
      </c>
      <c r="S204" s="1">
        <v>3155.1</v>
      </c>
      <c r="T204" s="1">
        <v>0</v>
      </c>
      <c r="U204" s="1">
        <v>0</v>
      </c>
      <c r="V204" s="1">
        <v>3155.1</v>
      </c>
      <c r="W204">
        <v>0</v>
      </c>
    </row>
    <row r="205" spans="1:23" hidden="1" x14ac:dyDescent="0.35">
      <c r="A205" t="s">
        <v>421</v>
      </c>
      <c r="B205" t="s">
        <v>422</v>
      </c>
      <c r="C205" t="s">
        <v>363</v>
      </c>
      <c r="D205" t="s">
        <v>364</v>
      </c>
      <c r="E205" t="s">
        <v>365</v>
      </c>
      <c r="F205" t="s">
        <v>189</v>
      </c>
      <c r="G205" t="s">
        <v>366</v>
      </c>
      <c r="H205" t="s">
        <v>28</v>
      </c>
      <c r="I205" t="s">
        <v>231</v>
      </c>
      <c r="J205" t="s">
        <v>232</v>
      </c>
      <c r="K205" t="s">
        <v>33</v>
      </c>
      <c r="L205" t="s">
        <v>51</v>
      </c>
      <c r="M205" t="s">
        <v>367</v>
      </c>
      <c r="N205" t="s">
        <v>368</v>
      </c>
      <c r="O205" t="s">
        <v>108</v>
      </c>
      <c r="P205" t="s">
        <v>109</v>
      </c>
      <c r="Q205" t="s">
        <v>39</v>
      </c>
      <c r="R205" t="s">
        <v>40</v>
      </c>
      <c r="S205" s="1">
        <v>211289.8</v>
      </c>
      <c r="T205" s="1">
        <v>30577.698700000001</v>
      </c>
      <c r="U205" s="1">
        <v>15618.8783</v>
      </c>
      <c r="V205" s="1">
        <v>180712.10130000001</v>
      </c>
      <c r="W205">
        <v>14</v>
      </c>
    </row>
    <row r="206" spans="1:23" hidden="1" x14ac:dyDescent="0.35">
      <c r="A206" t="s">
        <v>421</v>
      </c>
      <c r="B206" t="s">
        <v>422</v>
      </c>
      <c r="C206" t="s">
        <v>369</v>
      </c>
      <c r="D206" t="s">
        <v>364</v>
      </c>
      <c r="E206" t="s">
        <v>365</v>
      </c>
      <c r="F206" t="s">
        <v>189</v>
      </c>
      <c r="G206" t="s">
        <v>366</v>
      </c>
      <c r="H206" t="s">
        <v>28</v>
      </c>
      <c r="I206" t="s">
        <v>231</v>
      </c>
      <c r="J206" t="s">
        <v>232</v>
      </c>
      <c r="K206" t="s">
        <v>33</v>
      </c>
      <c r="L206" t="s">
        <v>51</v>
      </c>
      <c r="M206" t="s">
        <v>367</v>
      </c>
      <c r="N206" t="s">
        <v>368</v>
      </c>
      <c r="O206" t="s">
        <v>334</v>
      </c>
      <c r="P206" t="s">
        <v>335</v>
      </c>
      <c r="Q206" t="s">
        <v>39</v>
      </c>
      <c r="R206" t="s">
        <v>40</v>
      </c>
      <c r="S206" s="1">
        <v>21225</v>
      </c>
      <c r="T206" s="1">
        <v>2234.9659999999999</v>
      </c>
      <c r="U206" s="1">
        <v>1117.4829999999999</v>
      </c>
      <c r="V206" s="1">
        <v>18990.034</v>
      </c>
      <c r="W206">
        <v>11</v>
      </c>
    </row>
    <row r="207" spans="1:23" hidden="1" x14ac:dyDescent="0.35">
      <c r="A207" t="s">
        <v>421</v>
      </c>
      <c r="B207" t="s">
        <v>422</v>
      </c>
      <c r="C207" t="s">
        <v>370</v>
      </c>
      <c r="D207" t="s">
        <v>364</v>
      </c>
      <c r="E207" t="s">
        <v>365</v>
      </c>
      <c r="F207" t="s">
        <v>189</v>
      </c>
      <c r="G207" t="s">
        <v>366</v>
      </c>
      <c r="H207" t="s">
        <v>28</v>
      </c>
      <c r="I207" t="s">
        <v>231</v>
      </c>
      <c r="J207" t="s">
        <v>232</v>
      </c>
      <c r="K207" t="s">
        <v>33</v>
      </c>
      <c r="L207" t="s">
        <v>51</v>
      </c>
      <c r="M207" t="s">
        <v>371</v>
      </c>
      <c r="N207" t="s">
        <v>372</v>
      </c>
      <c r="O207" t="s">
        <v>108</v>
      </c>
      <c r="P207" t="s">
        <v>109</v>
      </c>
      <c r="Q207" t="s">
        <v>39</v>
      </c>
      <c r="R207" t="s">
        <v>40</v>
      </c>
      <c r="S207" s="1">
        <v>3994.2</v>
      </c>
      <c r="T207" s="1">
        <v>625.32039999999995</v>
      </c>
      <c r="U207" s="1">
        <v>376.62220000000002</v>
      </c>
      <c r="V207" s="1">
        <v>3368.8796000000002</v>
      </c>
      <c r="W207">
        <v>16</v>
      </c>
    </row>
    <row r="208" spans="1:23" hidden="1" x14ac:dyDescent="0.35">
      <c r="A208" t="s">
        <v>421</v>
      </c>
      <c r="B208" t="s">
        <v>422</v>
      </c>
      <c r="C208" t="s">
        <v>373</v>
      </c>
      <c r="D208" t="s">
        <v>364</v>
      </c>
      <c r="E208" t="s">
        <v>365</v>
      </c>
      <c r="F208" t="s">
        <v>189</v>
      </c>
      <c r="G208" t="s">
        <v>366</v>
      </c>
      <c r="H208" t="s">
        <v>28</v>
      </c>
      <c r="I208" t="s">
        <v>231</v>
      </c>
      <c r="J208" t="s">
        <v>232</v>
      </c>
      <c r="K208" t="s">
        <v>33</v>
      </c>
      <c r="L208" t="s">
        <v>51</v>
      </c>
      <c r="M208" t="s">
        <v>371</v>
      </c>
      <c r="N208" t="s">
        <v>372</v>
      </c>
      <c r="O208" t="s">
        <v>334</v>
      </c>
      <c r="P208" t="s">
        <v>335</v>
      </c>
      <c r="Q208" t="s">
        <v>39</v>
      </c>
      <c r="R208" t="s">
        <v>40</v>
      </c>
      <c r="S208" s="1">
        <v>128356.9</v>
      </c>
      <c r="T208" s="1">
        <v>22105.130799999999</v>
      </c>
      <c r="U208" s="1">
        <v>12979.9504</v>
      </c>
      <c r="V208" s="1">
        <v>106251.7692</v>
      </c>
      <c r="W208">
        <v>17</v>
      </c>
    </row>
    <row r="209" spans="1:23" hidden="1" x14ac:dyDescent="0.35">
      <c r="A209" t="s">
        <v>421</v>
      </c>
      <c r="B209" t="s">
        <v>422</v>
      </c>
      <c r="C209" t="s">
        <v>374</v>
      </c>
      <c r="D209" t="s">
        <v>364</v>
      </c>
      <c r="E209" t="s">
        <v>365</v>
      </c>
      <c r="F209" t="s">
        <v>189</v>
      </c>
      <c r="G209" t="s">
        <v>366</v>
      </c>
      <c r="H209" t="s">
        <v>28</v>
      </c>
      <c r="I209" t="s">
        <v>231</v>
      </c>
      <c r="J209" t="s">
        <v>232</v>
      </c>
      <c r="K209" t="s">
        <v>33</v>
      </c>
      <c r="L209" t="s">
        <v>51</v>
      </c>
      <c r="M209" t="s">
        <v>375</v>
      </c>
      <c r="N209" t="s">
        <v>376</v>
      </c>
      <c r="O209" t="s">
        <v>197</v>
      </c>
      <c r="P209" t="s">
        <v>198</v>
      </c>
      <c r="Q209" t="s">
        <v>39</v>
      </c>
      <c r="R209" t="s">
        <v>40</v>
      </c>
      <c r="S209" s="1">
        <v>21376.1</v>
      </c>
      <c r="T209" s="1">
        <v>0</v>
      </c>
      <c r="U209" s="1">
        <v>0</v>
      </c>
      <c r="V209" s="1">
        <v>21376.1</v>
      </c>
      <c r="W209">
        <v>0</v>
      </c>
    </row>
    <row r="210" spans="1:23" hidden="1" x14ac:dyDescent="0.35">
      <c r="A210" t="s">
        <v>421</v>
      </c>
      <c r="B210" t="s">
        <v>422</v>
      </c>
      <c r="C210" t="s">
        <v>377</v>
      </c>
      <c r="D210" t="s">
        <v>364</v>
      </c>
      <c r="E210" t="s">
        <v>365</v>
      </c>
      <c r="F210" t="s">
        <v>189</v>
      </c>
      <c r="G210" t="s">
        <v>366</v>
      </c>
      <c r="H210" t="s">
        <v>28</v>
      </c>
      <c r="I210" t="s">
        <v>231</v>
      </c>
      <c r="J210" t="s">
        <v>232</v>
      </c>
      <c r="K210" t="s">
        <v>33</v>
      </c>
      <c r="L210" t="s">
        <v>51</v>
      </c>
      <c r="M210" t="s">
        <v>378</v>
      </c>
      <c r="N210" t="s">
        <v>379</v>
      </c>
      <c r="O210" t="s">
        <v>108</v>
      </c>
      <c r="P210" t="s">
        <v>109</v>
      </c>
      <c r="Q210" t="s">
        <v>39</v>
      </c>
      <c r="R210" t="s">
        <v>40</v>
      </c>
      <c r="S210" s="1">
        <v>10959</v>
      </c>
      <c r="T210" s="1">
        <v>496.43610000000001</v>
      </c>
      <c r="U210" s="1">
        <v>352.68130000000002</v>
      </c>
      <c r="V210" s="1">
        <v>10462.563899999999</v>
      </c>
      <c r="W210">
        <v>5</v>
      </c>
    </row>
    <row r="211" spans="1:23" hidden="1" x14ac:dyDescent="0.35">
      <c r="A211" t="s">
        <v>421</v>
      </c>
      <c r="B211" t="s">
        <v>422</v>
      </c>
      <c r="C211" t="s">
        <v>380</v>
      </c>
      <c r="D211" t="s">
        <v>364</v>
      </c>
      <c r="E211" t="s">
        <v>365</v>
      </c>
      <c r="F211" t="s">
        <v>189</v>
      </c>
      <c r="G211" t="s">
        <v>366</v>
      </c>
      <c r="H211" t="s">
        <v>28</v>
      </c>
      <c r="I211" t="s">
        <v>231</v>
      </c>
      <c r="J211" t="s">
        <v>232</v>
      </c>
      <c r="K211" t="s">
        <v>33</v>
      </c>
      <c r="L211" t="s">
        <v>51</v>
      </c>
      <c r="M211" t="s">
        <v>378</v>
      </c>
      <c r="N211" t="s">
        <v>379</v>
      </c>
      <c r="O211" t="s">
        <v>334</v>
      </c>
      <c r="P211" t="s">
        <v>335</v>
      </c>
      <c r="Q211" t="s">
        <v>39</v>
      </c>
      <c r="R211" t="s">
        <v>40</v>
      </c>
      <c r="S211" s="1">
        <v>513202</v>
      </c>
      <c r="T211" s="1">
        <v>84646.763800000001</v>
      </c>
      <c r="U211" s="1">
        <v>42514.518700000001</v>
      </c>
      <c r="V211" s="1">
        <v>428555.23619999998</v>
      </c>
      <c r="W211">
        <v>16</v>
      </c>
    </row>
    <row r="212" spans="1:23" hidden="1" x14ac:dyDescent="0.35">
      <c r="A212" t="s">
        <v>421</v>
      </c>
      <c r="B212" t="s">
        <v>422</v>
      </c>
      <c r="C212" t="s">
        <v>381</v>
      </c>
      <c r="D212" t="s">
        <v>364</v>
      </c>
      <c r="E212" t="s">
        <v>365</v>
      </c>
      <c r="F212" t="s">
        <v>189</v>
      </c>
      <c r="G212" t="s">
        <v>366</v>
      </c>
      <c r="H212" t="s">
        <v>28</v>
      </c>
      <c r="I212" t="s">
        <v>231</v>
      </c>
      <c r="J212" t="s">
        <v>232</v>
      </c>
      <c r="K212" t="s">
        <v>33</v>
      </c>
      <c r="L212" t="s">
        <v>51</v>
      </c>
      <c r="M212" t="s">
        <v>382</v>
      </c>
      <c r="N212" t="s">
        <v>383</v>
      </c>
      <c r="O212" t="s">
        <v>108</v>
      </c>
      <c r="P212" t="s">
        <v>109</v>
      </c>
      <c r="Q212" t="s">
        <v>39</v>
      </c>
      <c r="R212" t="s">
        <v>40</v>
      </c>
      <c r="S212" s="1">
        <v>4541.7</v>
      </c>
      <c r="T212" s="1">
        <v>506.07060000000001</v>
      </c>
      <c r="U212" s="1">
        <v>292.25749999999999</v>
      </c>
      <c r="V212" s="1">
        <v>4035.6293999999998</v>
      </c>
      <c r="W212">
        <v>11</v>
      </c>
    </row>
    <row r="213" spans="1:23" hidden="1" x14ac:dyDescent="0.35">
      <c r="A213" t="s">
        <v>421</v>
      </c>
      <c r="B213" t="s">
        <v>422</v>
      </c>
      <c r="C213" t="s">
        <v>384</v>
      </c>
      <c r="D213" t="s">
        <v>364</v>
      </c>
      <c r="E213" t="s">
        <v>365</v>
      </c>
      <c r="F213" t="s">
        <v>189</v>
      </c>
      <c r="G213" t="s">
        <v>366</v>
      </c>
      <c r="H213" t="s">
        <v>28</v>
      </c>
      <c r="I213" t="s">
        <v>231</v>
      </c>
      <c r="J213" t="s">
        <v>232</v>
      </c>
      <c r="K213" t="s">
        <v>33</v>
      </c>
      <c r="L213" t="s">
        <v>51</v>
      </c>
      <c r="M213" t="s">
        <v>382</v>
      </c>
      <c r="N213" t="s">
        <v>383</v>
      </c>
      <c r="O213" t="s">
        <v>334</v>
      </c>
      <c r="P213" t="s">
        <v>335</v>
      </c>
      <c r="Q213" t="s">
        <v>39</v>
      </c>
      <c r="R213" t="s">
        <v>40</v>
      </c>
      <c r="S213" s="1">
        <v>59802</v>
      </c>
      <c r="T213" s="1">
        <v>9246.4855000000007</v>
      </c>
      <c r="U213" s="1">
        <v>4775.3982999999998</v>
      </c>
      <c r="V213" s="1">
        <v>50555.514499999997</v>
      </c>
      <c r="W213">
        <v>15</v>
      </c>
    </row>
    <row r="214" spans="1:23" hidden="1" x14ac:dyDescent="0.35">
      <c r="A214" t="s">
        <v>421</v>
      </c>
      <c r="B214" t="s">
        <v>422</v>
      </c>
      <c r="C214" t="s">
        <v>385</v>
      </c>
      <c r="D214" t="s">
        <v>364</v>
      </c>
      <c r="E214" t="s">
        <v>365</v>
      </c>
      <c r="F214" t="s">
        <v>189</v>
      </c>
      <c r="G214" t="s">
        <v>366</v>
      </c>
      <c r="H214" t="s">
        <v>28</v>
      </c>
      <c r="I214" t="s">
        <v>231</v>
      </c>
      <c r="J214" t="s">
        <v>232</v>
      </c>
      <c r="K214" t="s">
        <v>33</v>
      </c>
      <c r="L214" t="s">
        <v>51</v>
      </c>
      <c r="M214" t="s">
        <v>386</v>
      </c>
      <c r="N214" t="s">
        <v>387</v>
      </c>
      <c r="O214" t="s">
        <v>197</v>
      </c>
      <c r="P214" t="s">
        <v>198</v>
      </c>
      <c r="Q214" t="s">
        <v>39</v>
      </c>
      <c r="R214" t="s">
        <v>40</v>
      </c>
      <c r="S214" s="1">
        <v>3856.7</v>
      </c>
      <c r="T214" s="1">
        <v>0</v>
      </c>
      <c r="U214" s="1">
        <v>0</v>
      </c>
      <c r="V214" s="1">
        <v>3856.7</v>
      </c>
      <c r="W214">
        <v>0</v>
      </c>
    </row>
    <row r="215" spans="1:23" hidden="1" x14ac:dyDescent="0.35">
      <c r="A215" t="s">
        <v>421</v>
      </c>
      <c r="B215" t="s">
        <v>422</v>
      </c>
      <c r="C215" t="s">
        <v>388</v>
      </c>
      <c r="D215" t="s">
        <v>364</v>
      </c>
      <c r="E215" t="s">
        <v>365</v>
      </c>
      <c r="F215" t="s">
        <v>189</v>
      </c>
      <c r="G215" t="s">
        <v>366</v>
      </c>
      <c r="H215" t="s">
        <v>28</v>
      </c>
      <c r="I215" t="s">
        <v>231</v>
      </c>
      <c r="J215" t="s">
        <v>232</v>
      </c>
      <c r="K215" t="s">
        <v>33</v>
      </c>
      <c r="L215" t="s">
        <v>51</v>
      </c>
      <c r="M215" t="s">
        <v>389</v>
      </c>
      <c r="N215" t="s">
        <v>390</v>
      </c>
      <c r="O215" t="s">
        <v>197</v>
      </c>
      <c r="P215" t="s">
        <v>198</v>
      </c>
      <c r="Q215" t="s">
        <v>39</v>
      </c>
      <c r="R215" t="s">
        <v>40</v>
      </c>
      <c r="S215" s="1">
        <v>2500</v>
      </c>
      <c r="T215" s="1">
        <v>0</v>
      </c>
      <c r="U215" s="1">
        <v>0</v>
      </c>
      <c r="V215" s="1">
        <v>2500</v>
      </c>
      <c r="W215">
        <v>0</v>
      </c>
    </row>
    <row r="216" spans="1:23" hidden="1" x14ac:dyDescent="0.35">
      <c r="A216" t="s">
        <v>421</v>
      </c>
      <c r="B216" t="s">
        <v>422</v>
      </c>
      <c r="C216" t="s">
        <v>391</v>
      </c>
      <c r="D216" t="s">
        <v>392</v>
      </c>
      <c r="E216" t="s">
        <v>365</v>
      </c>
      <c r="F216" t="s">
        <v>28</v>
      </c>
      <c r="G216" t="s">
        <v>393</v>
      </c>
      <c r="H216" t="s">
        <v>28</v>
      </c>
      <c r="I216" t="s">
        <v>231</v>
      </c>
      <c r="J216" t="s">
        <v>232</v>
      </c>
      <c r="K216" t="s">
        <v>33</v>
      </c>
      <c r="L216" t="s">
        <v>51</v>
      </c>
      <c r="M216" t="s">
        <v>394</v>
      </c>
      <c r="N216" t="s">
        <v>395</v>
      </c>
      <c r="O216" t="s">
        <v>197</v>
      </c>
      <c r="P216" t="s">
        <v>198</v>
      </c>
      <c r="Q216" t="s">
        <v>39</v>
      </c>
      <c r="R216" t="s">
        <v>40</v>
      </c>
      <c r="S216" s="1">
        <v>51205.3</v>
      </c>
      <c r="T216" s="1">
        <v>1367.5889999999999</v>
      </c>
      <c r="U216" s="1">
        <v>1367.5889999999999</v>
      </c>
      <c r="V216" s="1">
        <v>49837.711000000003</v>
      </c>
      <c r="W216">
        <v>3</v>
      </c>
    </row>
    <row r="217" spans="1:23" hidden="1" x14ac:dyDescent="0.35">
      <c r="A217" t="s">
        <v>421</v>
      </c>
      <c r="B217" t="s">
        <v>422</v>
      </c>
      <c r="C217" t="s">
        <v>396</v>
      </c>
      <c r="D217" t="s">
        <v>397</v>
      </c>
      <c r="E217" t="s">
        <v>365</v>
      </c>
      <c r="F217" t="s">
        <v>318</v>
      </c>
      <c r="G217" t="s">
        <v>398</v>
      </c>
      <c r="H217" t="s">
        <v>116</v>
      </c>
      <c r="I217" t="s">
        <v>148</v>
      </c>
      <c r="J217" t="s">
        <v>149</v>
      </c>
      <c r="K217" t="s">
        <v>33</v>
      </c>
      <c r="L217" t="s">
        <v>34</v>
      </c>
      <c r="M217" t="s">
        <v>399</v>
      </c>
      <c r="N217" t="s">
        <v>400</v>
      </c>
      <c r="O217" t="s">
        <v>401</v>
      </c>
      <c r="P217" t="s">
        <v>402</v>
      </c>
      <c r="Q217" t="s">
        <v>39</v>
      </c>
      <c r="R217" t="s">
        <v>40</v>
      </c>
      <c r="S217" s="1">
        <v>1328.7</v>
      </c>
      <c r="T217" s="1">
        <v>0</v>
      </c>
      <c r="U217" s="1">
        <v>0</v>
      </c>
      <c r="V217" s="1">
        <v>1328.7</v>
      </c>
      <c r="W217">
        <v>0</v>
      </c>
    </row>
    <row r="218" spans="1:23" hidden="1" x14ac:dyDescent="0.35">
      <c r="A218" t="s">
        <v>421</v>
      </c>
      <c r="B218" t="s">
        <v>422</v>
      </c>
      <c r="C218" t="s">
        <v>403</v>
      </c>
      <c r="D218" t="s">
        <v>404</v>
      </c>
      <c r="E218" t="s">
        <v>405</v>
      </c>
      <c r="F218" t="s">
        <v>146</v>
      </c>
      <c r="G218" t="s">
        <v>406</v>
      </c>
      <c r="H218" t="s">
        <v>318</v>
      </c>
      <c r="I218" t="s">
        <v>407</v>
      </c>
      <c r="J218" t="s">
        <v>408</v>
      </c>
      <c r="K218" t="s">
        <v>33</v>
      </c>
      <c r="L218" t="s">
        <v>51</v>
      </c>
      <c r="M218" t="s">
        <v>409</v>
      </c>
      <c r="N218" t="s">
        <v>410</v>
      </c>
      <c r="O218" t="s">
        <v>108</v>
      </c>
      <c r="P218" t="s">
        <v>109</v>
      </c>
      <c r="Q218" t="s">
        <v>39</v>
      </c>
      <c r="R218" t="s">
        <v>40</v>
      </c>
      <c r="S218" s="1">
        <v>203804.2</v>
      </c>
      <c r="T218" s="1">
        <v>26568.674900000002</v>
      </c>
      <c r="U218" s="1">
        <v>15786.6749</v>
      </c>
      <c r="V218" s="1">
        <v>177235.5251</v>
      </c>
      <c r="W218">
        <v>13</v>
      </c>
    </row>
    <row r="219" spans="1:23" hidden="1" x14ac:dyDescent="0.35">
      <c r="A219" t="s">
        <v>421</v>
      </c>
      <c r="B219" t="s">
        <v>422</v>
      </c>
      <c r="C219" t="s">
        <v>440</v>
      </c>
      <c r="D219" t="s">
        <v>404</v>
      </c>
      <c r="E219" t="s">
        <v>405</v>
      </c>
      <c r="F219" t="s">
        <v>146</v>
      </c>
      <c r="G219" t="s">
        <v>406</v>
      </c>
      <c r="H219" t="s">
        <v>318</v>
      </c>
      <c r="I219" t="s">
        <v>407</v>
      </c>
      <c r="J219" t="s">
        <v>408</v>
      </c>
      <c r="K219" t="s">
        <v>33</v>
      </c>
      <c r="L219" t="s">
        <v>51</v>
      </c>
      <c r="M219" t="s">
        <v>441</v>
      </c>
      <c r="N219" t="s">
        <v>442</v>
      </c>
      <c r="O219" t="s">
        <v>197</v>
      </c>
      <c r="P219" t="s">
        <v>198</v>
      </c>
      <c r="Q219" t="s">
        <v>39</v>
      </c>
      <c r="R219" t="s">
        <v>40</v>
      </c>
      <c r="S219" s="1">
        <v>22865.1</v>
      </c>
      <c r="T219" s="1">
        <v>0</v>
      </c>
      <c r="U219" s="1">
        <v>0</v>
      </c>
      <c r="V219" s="1">
        <v>22865.1</v>
      </c>
      <c r="W219">
        <v>0</v>
      </c>
    </row>
    <row r="220" spans="1:23" hidden="1" x14ac:dyDescent="0.35">
      <c r="A220" t="s">
        <v>421</v>
      </c>
      <c r="B220" t="s">
        <v>422</v>
      </c>
      <c r="C220" t="s">
        <v>411</v>
      </c>
      <c r="D220" t="s">
        <v>412</v>
      </c>
      <c r="E220" t="s">
        <v>405</v>
      </c>
      <c r="F220" t="s">
        <v>189</v>
      </c>
      <c r="G220" t="s">
        <v>413</v>
      </c>
      <c r="H220" t="s">
        <v>318</v>
      </c>
      <c r="I220" t="s">
        <v>407</v>
      </c>
      <c r="J220" t="s">
        <v>408</v>
      </c>
      <c r="K220" t="s">
        <v>33</v>
      </c>
      <c r="L220" t="s">
        <v>51</v>
      </c>
      <c r="M220" t="s">
        <v>414</v>
      </c>
      <c r="N220" t="s">
        <v>415</v>
      </c>
      <c r="O220" t="s">
        <v>197</v>
      </c>
      <c r="P220" t="s">
        <v>198</v>
      </c>
      <c r="Q220" t="s">
        <v>39</v>
      </c>
      <c r="R220" t="s">
        <v>40</v>
      </c>
      <c r="S220" s="1">
        <v>3693.1</v>
      </c>
      <c r="T220" s="1">
        <v>0</v>
      </c>
      <c r="U220" s="1">
        <v>0</v>
      </c>
      <c r="V220" s="1">
        <v>3693.1</v>
      </c>
      <c r="W220">
        <v>0</v>
      </c>
    </row>
    <row r="221" spans="1:23" hidden="1" x14ac:dyDescent="0.35">
      <c r="A221" t="s">
        <v>421</v>
      </c>
      <c r="B221" t="s">
        <v>422</v>
      </c>
      <c r="C221" t="s">
        <v>416</v>
      </c>
      <c r="D221" t="s">
        <v>417</v>
      </c>
      <c r="E221" t="s">
        <v>405</v>
      </c>
      <c r="F221" t="s">
        <v>28</v>
      </c>
      <c r="G221" t="s">
        <v>418</v>
      </c>
      <c r="H221" t="s">
        <v>318</v>
      </c>
      <c r="I221" t="s">
        <v>407</v>
      </c>
      <c r="J221" t="s">
        <v>408</v>
      </c>
      <c r="K221" t="s">
        <v>33</v>
      </c>
      <c r="L221" t="s">
        <v>51</v>
      </c>
      <c r="M221" t="s">
        <v>419</v>
      </c>
      <c r="N221" t="s">
        <v>420</v>
      </c>
      <c r="O221" t="s">
        <v>108</v>
      </c>
      <c r="P221" t="s">
        <v>109</v>
      </c>
      <c r="Q221" t="s">
        <v>39</v>
      </c>
      <c r="R221" t="s">
        <v>40</v>
      </c>
      <c r="S221" s="1">
        <v>356415.3</v>
      </c>
      <c r="T221" s="1">
        <v>44464.731099999997</v>
      </c>
      <c r="U221" s="1">
        <v>26709.516199999998</v>
      </c>
      <c r="V221" s="1">
        <v>311950.56890000001</v>
      </c>
      <c r="W221">
        <v>12</v>
      </c>
    </row>
    <row r="222" spans="1:23" hidden="1" x14ac:dyDescent="0.35">
      <c r="A222" t="s">
        <v>443</v>
      </c>
      <c r="B222" t="s">
        <v>444</v>
      </c>
      <c r="C222" t="s">
        <v>25</v>
      </c>
      <c r="D222" t="s">
        <v>26</v>
      </c>
      <c r="E222" t="s">
        <v>27</v>
      </c>
      <c r="F222" t="s">
        <v>28</v>
      </c>
      <c r="G222" t="s">
        <v>29</v>
      </c>
      <c r="H222" t="s">
        <v>30</v>
      </c>
      <c r="I222" t="s">
        <v>31</v>
      </c>
      <c r="J222" t="s">
        <v>32</v>
      </c>
      <c r="K222" t="s">
        <v>33</v>
      </c>
      <c r="L222" t="s">
        <v>34</v>
      </c>
      <c r="M222" t="s">
        <v>35</v>
      </c>
      <c r="N222" t="s">
        <v>36</v>
      </c>
      <c r="O222" t="s">
        <v>37</v>
      </c>
      <c r="P222" t="s">
        <v>38</v>
      </c>
      <c r="Q222" t="s">
        <v>39</v>
      </c>
      <c r="R222" t="s">
        <v>40</v>
      </c>
      <c r="S222" s="1">
        <v>730.5</v>
      </c>
      <c r="T222" s="1">
        <v>37.028100000000002</v>
      </c>
      <c r="U222" s="1">
        <v>18.514099999999999</v>
      </c>
      <c r="V222" s="1">
        <v>693.47190000000001</v>
      </c>
      <c r="W222">
        <v>5</v>
      </c>
    </row>
    <row r="223" spans="1:23" hidden="1" x14ac:dyDescent="0.35">
      <c r="A223" t="s">
        <v>443</v>
      </c>
      <c r="B223" t="s">
        <v>444</v>
      </c>
      <c r="C223" t="s">
        <v>41</v>
      </c>
      <c r="D223" t="s">
        <v>26</v>
      </c>
      <c r="E223" t="s">
        <v>27</v>
      </c>
      <c r="F223" t="s">
        <v>28</v>
      </c>
      <c r="G223" t="s">
        <v>29</v>
      </c>
      <c r="H223" t="s">
        <v>30</v>
      </c>
      <c r="I223" t="s">
        <v>31</v>
      </c>
      <c r="J223" t="s">
        <v>32</v>
      </c>
      <c r="K223" t="s">
        <v>33</v>
      </c>
      <c r="L223" t="s">
        <v>34</v>
      </c>
      <c r="M223" t="s">
        <v>35</v>
      </c>
      <c r="N223" t="s">
        <v>36</v>
      </c>
      <c r="O223" t="s">
        <v>42</v>
      </c>
      <c r="P223" t="s">
        <v>43</v>
      </c>
      <c r="Q223" t="s">
        <v>39</v>
      </c>
      <c r="R223" t="s">
        <v>40</v>
      </c>
      <c r="S223" s="1">
        <v>32.5</v>
      </c>
      <c r="T223" s="1">
        <v>0.2034</v>
      </c>
      <c r="U223" s="1">
        <v>0.2034</v>
      </c>
      <c r="V223" s="1">
        <v>32.296599999999998</v>
      </c>
      <c r="W223">
        <v>1</v>
      </c>
    </row>
    <row r="224" spans="1:23" hidden="1" x14ac:dyDescent="0.35">
      <c r="A224" t="s">
        <v>443</v>
      </c>
      <c r="B224" t="s">
        <v>444</v>
      </c>
      <c r="C224" t="s">
        <v>44</v>
      </c>
      <c r="D224" t="s">
        <v>45</v>
      </c>
      <c r="E224" t="s">
        <v>27</v>
      </c>
      <c r="F224" t="s">
        <v>46</v>
      </c>
      <c r="G224" t="s">
        <v>47</v>
      </c>
      <c r="H224" t="s">
        <v>48</v>
      </c>
      <c r="I224" t="s">
        <v>49</v>
      </c>
      <c r="J224" t="s">
        <v>50</v>
      </c>
      <c r="K224" t="s">
        <v>33</v>
      </c>
      <c r="L224" t="s">
        <v>51</v>
      </c>
      <c r="M224" t="s">
        <v>52</v>
      </c>
      <c r="N224" t="s">
        <v>53</v>
      </c>
      <c r="O224" t="s">
        <v>54</v>
      </c>
      <c r="P224" t="s">
        <v>55</v>
      </c>
      <c r="Q224" t="s">
        <v>39</v>
      </c>
      <c r="R224" t="s">
        <v>40</v>
      </c>
      <c r="S224" s="1">
        <v>67.2</v>
      </c>
      <c r="T224" s="1">
        <v>0</v>
      </c>
      <c r="U224" s="1">
        <v>0</v>
      </c>
      <c r="V224" s="1">
        <v>67.2</v>
      </c>
      <c r="W224">
        <v>0</v>
      </c>
    </row>
    <row r="225" spans="1:23" hidden="1" x14ac:dyDescent="0.35">
      <c r="A225" t="s">
        <v>443</v>
      </c>
      <c r="B225" t="s">
        <v>444</v>
      </c>
      <c r="C225" t="s">
        <v>56</v>
      </c>
      <c r="D225" t="s">
        <v>45</v>
      </c>
      <c r="E225" t="s">
        <v>27</v>
      </c>
      <c r="F225" t="s">
        <v>46</v>
      </c>
      <c r="G225" t="s">
        <v>47</v>
      </c>
      <c r="H225" t="s">
        <v>48</v>
      </c>
      <c r="I225" t="s">
        <v>49</v>
      </c>
      <c r="J225" t="s">
        <v>50</v>
      </c>
      <c r="K225" t="s">
        <v>33</v>
      </c>
      <c r="L225" t="s">
        <v>51</v>
      </c>
      <c r="M225" t="s">
        <v>57</v>
      </c>
      <c r="N225" t="s">
        <v>58</v>
      </c>
      <c r="O225" t="s">
        <v>37</v>
      </c>
      <c r="P225" t="s">
        <v>38</v>
      </c>
      <c r="Q225" t="s">
        <v>39</v>
      </c>
      <c r="R225" t="s">
        <v>40</v>
      </c>
      <c r="S225" s="1">
        <v>61.9</v>
      </c>
      <c r="T225" s="1">
        <v>0</v>
      </c>
      <c r="U225" s="1">
        <v>0</v>
      </c>
      <c r="V225" s="1">
        <v>61.9</v>
      </c>
      <c r="W225">
        <v>0</v>
      </c>
    </row>
    <row r="226" spans="1:23" hidden="1" x14ac:dyDescent="0.35">
      <c r="A226" t="s">
        <v>443</v>
      </c>
      <c r="B226" t="s">
        <v>444</v>
      </c>
      <c r="C226" t="s">
        <v>59</v>
      </c>
      <c r="D226" t="s">
        <v>45</v>
      </c>
      <c r="E226" t="s">
        <v>27</v>
      </c>
      <c r="F226" t="s">
        <v>46</v>
      </c>
      <c r="G226" t="s">
        <v>47</v>
      </c>
      <c r="H226" t="s">
        <v>60</v>
      </c>
      <c r="I226" t="s">
        <v>61</v>
      </c>
      <c r="J226" t="s">
        <v>62</v>
      </c>
      <c r="K226" t="s">
        <v>33</v>
      </c>
      <c r="L226" t="s">
        <v>51</v>
      </c>
      <c r="M226" t="s">
        <v>63</v>
      </c>
      <c r="N226" t="s">
        <v>64</v>
      </c>
      <c r="O226" t="s">
        <v>37</v>
      </c>
      <c r="P226" t="s">
        <v>38</v>
      </c>
      <c r="Q226" t="s">
        <v>39</v>
      </c>
      <c r="R226" t="s">
        <v>40</v>
      </c>
      <c r="S226" s="1">
        <v>216.9</v>
      </c>
      <c r="T226" s="1">
        <v>70</v>
      </c>
      <c r="U226" s="1">
        <v>49</v>
      </c>
      <c r="V226" s="1">
        <v>146.9</v>
      </c>
      <c r="W226">
        <v>32</v>
      </c>
    </row>
    <row r="227" spans="1:23" hidden="1" x14ac:dyDescent="0.35">
      <c r="A227" t="s">
        <v>443</v>
      </c>
      <c r="B227" t="s">
        <v>444</v>
      </c>
      <c r="C227" t="s">
        <v>65</v>
      </c>
      <c r="D227" t="s">
        <v>45</v>
      </c>
      <c r="E227" t="s">
        <v>27</v>
      </c>
      <c r="F227" t="s">
        <v>46</v>
      </c>
      <c r="G227" t="s">
        <v>47</v>
      </c>
      <c r="H227" t="s">
        <v>66</v>
      </c>
      <c r="I227" t="s">
        <v>67</v>
      </c>
      <c r="J227" t="s">
        <v>68</v>
      </c>
      <c r="K227" t="s">
        <v>33</v>
      </c>
      <c r="L227" t="s">
        <v>51</v>
      </c>
      <c r="M227" t="s">
        <v>69</v>
      </c>
      <c r="N227" t="s">
        <v>70</v>
      </c>
      <c r="O227" t="s">
        <v>37</v>
      </c>
      <c r="P227" t="s">
        <v>38</v>
      </c>
      <c r="Q227" t="s">
        <v>39</v>
      </c>
      <c r="R227" t="s">
        <v>40</v>
      </c>
      <c r="S227" s="1">
        <v>557.5</v>
      </c>
      <c r="T227" s="1">
        <v>0</v>
      </c>
      <c r="U227" s="1">
        <v>0</v>
      </c>
      <c r="V227" s="1">
        <v>557.5</v>
      </c>
      <c r="W227">
        <v>0</v>
      </c>
    </row>
    <row r="228" spans="1:23" hidden="1" x14ac:dyDescent="0.35">
      <c r="A228" t="s">
        <v>443</v>
      </c>
      <c r="B228" t="s">
        <v>444</v>
      </c>
      <c r="C228" t="s">
        <v>71</v>
      </c>
      <c r="D228" t="s">
        <v>45</v>
      </c>
      <c r="E228" t="s">
        <v>27</v>
      </c>
      <c r="F228" t="s">
        <v>46</v>
      </c>
      <c r="G228" t="s">
        <v>47</v>
      </c>
      <c r="H228" t="s">
        <v>30</v>
      </c>
      <c r="I228" t="s">
        <v>31</v>
      </c>
      <c r="J228" t="s">
        <v>32</v>
      </c>
      <c r="K228" t="s">
        <v>33</v>
      </c>
      <c r="L228" t="s">
        <v>34</v>
      </c>
      <c r="M228" t="s">
        <v>72</v>
      </c>
      <c r="N228" t="s">
        <v>73</v>
      </c>
      <c r="O228" t="s">
        <v>74</v>
      </c>
      <c r="P228" t="s">
        <v>75</v>
      </c>
      <c r="Q228" t="s">
        <v>39</v>
      </c>
      <c r="R228" t="s">
        <v>40</v>
      </c>
      <c r="S228" s="1">
        <v>349800.7</v>
      </c>
      <c r="T228" s="1">
        <v>73469.082999999999</v>
      </c>
      <c r="U228" s="1">
        <v>31398.492600000001</v>
      </c>
      <c r="V228" s="1">
        <v>276331.61700000003</v>
      </c>
      <c r="W228">
        <v>21</v>
      </c>
    </row>
    <row r="229" spans="1:23" hidden="1" x14ac:dyDescent="0.35">
      <c r="A229" t="s">
        <v>443</v>
      </c>
      <c r="B229" t="s">
        <v>444</v>
      </c>
      <c r="C229" t="s">
        <v>76</v>
      </c>
      <c r="D229" t="s">
        <v>45</v>
      </c>
      <c r="E229" t="s">
        <v>27</v>
      </c>
      <c r="F229" t="s">
        <v>46</v>
      </c>
      <c r="G229" t="s">
        <v>47</v>
      </c>
      <c r="H229" t="s">
        <v>30</v>
      </c>
      <c r="I229" t="s">
        <v>31</v>
      </c>
      <c r="J229" t="s">
        <v>32</v>
      </c>
      <c r="K229" t="s">
        <v>33</v>
      </c>
      <c r="L229" t="s">
        <v>34</v>
      </c>
      <c r="M229" t="s">
        <v>72</v>
      </c>
      <c r="N229" t="s">
        <v>73</v>
      </c>
      <c r="O229" t="s">
        <v>77</v>
      </c>
      <c r="P229" t="s">
        <v>78</v>
      </c>
      <c r="Q229" t="s">
        <v>39</v>
      </c>
      <c r="R229" t="s">
        <v>40</v>
      </c>
      <c r="S229" s="1">
        <v>140.5</v>
      </c>
      <c r="T229" s="1">
        <v>3.9790000000000001</v>
      </c>
      <c r="U229" s="1">
        <v>3.5</v>
      </c>
      <c r="V229" s="1">
        <v>136.52099999999999</v>
      </c>
      <c r="W229">
        <v>3</v>
      </c>
    </row>
    <row r="230" spans="1:23" hidden="1" x14ac:dyDescent="0.35">
      <c r="A230" t="s">
        <v>443</v>
      </c>
      <c r="B230" t="s">
        <v>444</v>
      </c>
      <c r="C230" t="s">
        <v>79</v>
      </c>
      <c r="D230" t="s">
        <v>45</v>
      </c>
      <c r="E230" t="s">
        <v>27</v>
      </c>
      <c r="F230" t="s">
        <v>46</v>
      </c>
      <c r="G230" t="s">
        <v>47</v>
      </c>
      <c r="H230" t="s">
        <v>30</v>
      </c>
      <c r="I230" t="s">
        <v>31</v>
      </c>
      <c r="J230" t="s">
        <v>32</v>
      </c>
      <c r="K230" t="s">
        <v>33</v>
      </c>
      <c r="L230" t="s">
        <v>34</v>
      </c>
      <c r="M230" t="s">
        <v>72</v>
      </c>
      <c r="N230" t="s">
        <v>73</v>
      </c>
      <c r="O230" t="s">
        <v>80</v>
      </c>
      <c r="P230" t="s">
        <v>81</v>
      </c>
      <c r="Q230" t="s">
        <v>39</v>
      </c>
      <c r="R230" t="s">
        <v>40</v>
      </c>
      <c r="S230" s="1">
        <v>105260</v>
      </c>
      <c r="T230" s="1">
        <v>22503.672500000001</v>
      </c>
      <c r="U230" s="1">
        <v>7532.8887999999997</v>
      </c>
      <c r="V230" s="1">
        <v>82756.327499999999</v>
      </c>
      <c r="W230">
        <v>21</v>
      </c>
    </row>
    <row r="231" spans="1:23" hidden="1" x14ac:dyDescent="0.35">
      <c r="A231" t="s">
        <v>443</v>
      </c>
      <c r="B231" t="s">
        <v>444</v>
      </c>
      <c r="C231" t="s">
        <v>82</v>
      </c>
      <c r="D231" t="s">
        <v>45</v>
      </c>
      <c r="E231" t="s">
        <v>27</v>
      </c>
      <c r="F231" t="s">
        <v>46</v>
      </c>
      <c r="G231" t="s">
        <v>47</v>
      </c>
      <c r="H231" t="s">
        <v>30</v>
      </c>
      <c r="I231" t="s">
        <v>31</v>
      </c>
      <c r="J231" t="s">
        <v>32</v>
      </c>
      <c r="K231" t="s">
        <v>33</v>
      </c>
      <c r="L231" t="s">
        <v>34</v>
      </c>
      <c r="M231" t="s">
        <v>72</v>
      </c>
      <c r="N231" t="s">
        <v>73</v>
      </c>
      <c r="O231" t="s">
        <v>83</v>
      </c>
      <c r="P231" t="s">
        <v>84</v>
      </c>
      <c r="Q231" t="s">
        <v>39</v>
      </c>
      <c r="R231" t="s">
        <v>40</v>
      </c>
      <c r="S231" s="1">
        <v>300</v>
      </c>
      <c r="T231" s="1">
        <v>0</v>
      </c>
      <c r="U231" s="1">
        <v>0</v>
      </c>
      <c r="V231" s="1">
        <v>300</v>
      </c>
      <c r="W231">
        <v>0</v>
      </c>
    </row>
    <row r="232" spans="1:23" hidden="1" x14ac:dyDescent="0.35">
      <c r="A232" t="s">
        <v>443</v>
      </c>
      <c r="B232" t="s">
        <v>444</v>
      </c>
      <c r="C232" t="s">
        <v>85</v>
      </c>
      <c r="D232" t="s">
        <v>45</v>
      </c>
      <c r="E232" t="s">
        <v>27</v>
      </c>
      <c r="F232" t="s">
        <v>46</v>
      </c>
      <c r="G232" t="s">
        <v>47</v>
      </c>
      <c r="H232" t="s">
        <v>30</v>
      </c>
      <c r="I232" t="s">
        <v>31</v>
      </c>
      <c r="J232" t="s">
        <v>32</v>
      </c>
      <c r="K232" t="s">
        <v>33</v>
      </c>
      <c r="L232" t="s">
        <v>34</v>
      </c>
      <c r="M232" t="s">
        <v>72</v>
      </c>
      <c r="N232" t="s">
        <v>73</v>
      </c>
      <c r="O232" t="s">
        <v>86</v>
      </c>
      <c r="P232" t="s">
        <v>87</v>
      </c>
      <c r="Q232" t="s">
        <v>39</v>
      </c>
      <c r="R232" t="s">
        <v>40</v>
      </c>
      <c r="S232" s="1">
        <v>31.2</v>
      </c>
      <c r="T232" s="1">
        <v>0</v>
      </c>
      <c r="U232" s="1">
        <v>0</v>
      </c>
      <c r="V232" s="1">
        <v>31.2</v>
      </c>
      <c r="W232">
        <v>0</v>
      </c>
    </row>
    <row r="233" spans="1:23" hidden="1" x14ac:dyDescent="0.35">
      <c r="A233" t="s">
        <v>443</v>
      </c>
      <c r="B233" t="s">
        <v>444</v>
      </c>
      <c r="C233" t="s">
        <v>88</v>
      </c>
      <c r="D233" t="s">
        <v>45</v>
      </c>
      <c r="E233" t="s">
        <v>27</v>
      </c>
      <c r="F233" t="s">
        <v>46</v>
      </c>
      <c r="G233" t="s">
        <v>47</v>
      </c>
      <c r="H233" t="s">
        <v>30</v>
      </c>
      <c r="I233" t="s">
        <v>31</v>
      </c>
      <c r="J233" t="s">
        <v>32</v>
      </c>
      <c r="K233" t="s">
        <v>33</v>
      </c>
      <c r="L233" t="s">
        <v>34</v>
      </c>
      <c r="M233" t="s">
        <v>72</v>
      </c>
      <c r="N233" t="s">
        <v>73</v>
      </c>
      <c r="O233" t="s">
        <v>37</v>
      </c>
      <c r="P233" t="s">
        <v>38</v>
      </c>
      <c r="Q233" t="s">
        <v>39</v>
      </c>
      <c r="R233" t="s">
        <v>40</v>
      </c>
      <c r="S233" s="1">
        <v>100142.1</v>
      </c>
      <c r="T233" s="1">
        <v>3706.8669</v>
      </c>
      <c r="U233" s="1">
        <v>1715.8968</v>
      </c>
      <c r="V233" s="1">
        <v>96435.233099999998</v>
      </c>
      <c r="W233">
        <v>4</v>
      </c>
    </row>
    <row r="234" spans="1:23" hidden="1" x14ac:dyDescent="0.35">
      <c r="A234" t="s">
        <v>443</v>
      </c>
      <c r="B234" t="s">
        <v>444</v>
      </c>
      <c r="C234" t="s">
        <v>89</v>
      </c>
      <c r="D234" t="s">
        <v>45</v>
      </c>
      <c r="E234" t="s">
        <v>27</v>
      </c>
      <c r="F234" t="s">
        <v>46</v>
      </c>
      <c r="G234" t="s">
        <v>47</v>
      </c>
      <c r="H234" t="s">
        <v>30</v>
      </c>
      <c r="I234" t="s">
        <v>31</v>
      </c>
      <c r="J234" t="s">
        <v>32</v>
      </c>
      <c r="K234" t="s">
        <v>33</v>
      </c>
      <c r="L234" t="s">
        <v>34</v>
      </c>
      <c r="M234" t="s">
        <v>72</v>
      </c>
      <c r="N234" t="s">
        <v>73</v>
      </c>
      <c r="O234" t="s">
        <v>42</v>
      </c>
      <c r="P234" t="s">
        <v>43</v>
      </c>
      <c r="Q234" t="s">
        <v>39</v>
      </c>
      <c r="R234" t="s">
        <v>40</v>
      </c>
      <c r="S234" s="1">
        <v>16962</v>
      </c>
      <c r="T234" s="1">
        <v>5587.33</v>
      </c>
      <c r="U234" s="1">
        <v>2134.6019000000001</v>
      </c>
      <c r="V234" s="1">
        <v>11374.67</v>
      </c>
      <c r="W234">
        <v>33</v>
      </c>
    </row>
    <row r="235" spans="1:23" hidden="1" x14ac:dyDescent="0.35">
      <c r="A235" t="s">
        <v>443</v>
      </c>
      <c r="B235" t="s">
        <v>444</v>
      </c>
      <c r="C235" t="s">
        <v>90</v>
      </c>
      <c r="D235" t="s">
        <v>45</v>
      </c>
      <c r="E235" t="s">
        <v>27</v>
      </c>
      <c r="F235" t="s">
        <v>46</v>
      </c>
      <c r="G235" t="s">
        <v>47</v>
      </c>
      <c r="H235" t="s">
        <v>30</v>
      </c>
      <c r="I235" t="s">
        <v>31</v>
      </c>
      <c r="J235" t="s">
        <v>32</v>
      </c>
      <c r="K235" t="s">
        <v>33</v>
      </c>
      <c r="L235" t="s">
        <v>34</v>
      </c>
      <c r="M235" t="s">
        <v>72</v>
      </c>
      <c r="N235" t="s">
        <v>73</v>
      </c>
      <c r="O235" t="s">
        <v>91</v>
      </c>
      <c r="P235" t="s">
        <v>92</v>
      </c>
      <c r="Q235" t="s">
        <v>39</v>
      </c>
      <c r="R235" t="s">
        <v>40</v>
      </c>
      <c r="S235" s="1">
        <v>292.10000000000002</v>
      </c>
      <c r="T235" s="1">
        <v>292.09859999999998</v>
      </c>
      <c r="U235" s="1">
        <v>287.59859999999998</v>
      </c>
      <c r="V235" s="1">
        <v>1.4E-3</v>
      </c>
      <c r="W235">
        <v>100</v>
      </c>
    </row>
    <row r="236" spans="1:23" hidden="1" x14ac:dyDescent="0.35">
      <c r="A236" t="s">
        <v>443</v>
      </c>
      <c r="B236" t="s">
        <v>444</v>
      </c>
      <c r="C236" t="s">
        <v>93</v>
      </c>
      <c r="D236" t="s">
        <v>45</v>
      </c>
      <c r="E236" t="s">
        <v>27</v>
      </c>
      <c r="F236" t="s">
        <v>46</v>
      </c>
      <c r="G236" t="s">
        <v>47</v>
      </c>
      <c r="H236" t="s">
        <v>30</v>
      </c>
      <c r="I236" t="s">
        <v>31</v>
      </c>
      <c r="J236" t="s">
        <v>32</v>
      </c>
      <c r="K236" t="s">
        <v>33</v>
      </c>
      <c r="L236" t="s">
        <v>34</v>
      </c>
      <c r="M236" t="s">
        <v>94</v>
      </c>
      <c r="N236" t="s">
        <v>95</v>
      </c>
      <c r="O236" t="s">
        <v>96</v>
      </c>
      <c r="P236" t="s">
        <v>97</v>
      </c>
      <c r="Q236" t="s">
        <v>39</v>
      </c>
      <c r="R236" t="s">
        <v>40</v>
      </c>
      <c r="S236" s="1">
        <v>216958.1</v>
      </c>
      <c r="T236" s="1">
        <v>49072.653100000003</v>
      </c>
      <c r="U236" s="1">
        <v>16268.4984</v>
      </c>
      <c r="V236" s="1">
        <v>167885.44690000001</v>
      </c>
      <c r="W236">
        <v>23</v>
      </c>
    </row>
    <row r="237" spans="1:23" hidden="1" x14ac:dyDescent="0.35">
      <c r="A237" t="s">
        <v>443</v>
      </c>
      <c r="B237" t="s">
        <v>444</v>
      </c>
      <c r="C237" t="s">
        <v>98</v>
      </c>
      <c r="D237" t="s">
        <v>45</v>
      </c>
      <c r="E237" t="s">
        <v>27</v>
      </c>
      <c r="F237" t="s">
        <v>46</v>
      </c>
      <c r="G237" t="s">
        <v>47</v>
      </c>
      <c r="H237" t="s">
        <v>30</v>
      </c>
      <c r="I237" t="s">
        <v>31</v>
      </c>
      <c r="J237" t="s">
        <v>32</v>
      </c>
      <c r="K237" t="s">
        <v>33</v>
      </c>
      <c r="L237" t="s">
        <v>34</v>
      </c>
      <c r="M237" t="s">
        <v>94</v>
      </c>
      <c r="N237" t="s">
        <v>95</v>
      </c>
      <c r="O237" t="s">
        <v>99</v>
      </c>
      <c r="P237" t="s">
        <v>100</v>
      </c>
      <c r="Q237" t="s">
        <v>39</v>
      </c>
      <c r="R237" t="s">
        <v>40</v>
      </c>
      <c r="S237" s="1">
        <v>65400.7</v>
      </c>
      <c r="T237" s="1">
        <v>11953.025299999999</v>
      </c>
      <c r="U237" s="1">
        <v>4729.0631999999996</v>
      </c>
      <c r="V237" s="1">
        <v>53447.674700000003</v>
      </c>
      <c r="W237">
        <v>18</v>
      </c>
    </row>
    <row r="238" spans="1:23" hidden="1" x14ac:dyDescent="0.35">
      <c r="A238" t="s">
        <v>443</v>
      </c>
      <c r="B238" t="s">
        <v>444</v>
      </c>
      <c r="C238" t="s">
        <v>101</v>
      </c>
      <c r="D238" t="s">
        <v>45</v>
      </c>
      <c r="E238" t="s">
        <v>27</v>
      </c>
      <c r="F238" t="s">
        <v>46</v>
      </c>
      <c r="G238" t="s">
        <v>47</v>
      </c>
      <c r="H238" t="s">
        <v>30</v>
      </c>
      <c r="I238" t="s">
        <v>31</v>
      </c>
      <c r="J238" t="s">
        <v>32</v>
      </c>
      <c r="K238" t="s">
        <v>33</v>
      </c>
      <c r="L238" t="s">
        <v>34</v>
      </c>
      <c r="M238" t="s">
        <v>94</v>
      </c>
      <c r="N238" t="s">
        <v>95</v>
      </c>
      <c r="O238" t="s">
        <v>37</v>
      </c>
      <c r="P238" t="s">
        <v>38</v>
      </c>
      <c r="Q238" t="s">
        <v>39</v>
      </c>
      <c r="R238" t="s">
        <v>40</v>
      </c>
      <c r="S238" s="1">
        <v>4394</v>
      </c>
      <c r="T238" s="1">
        <v>1274.9148</v>
      </c>
      <c r="U238" s="1">
        <v>582.85609999999997</v>
      </c>
      <c r="V238" s="1">
        <v>3119.0852</v>
      </c>
      <c r="W238">
        <v>29</v>
      </c>
    </row>
    <row r="239" spans="1:23" hidden="1" x14ac:dyDescent="0.35">
      <c r="A239" t="s">
        <v>443</v>
      </c>
      <c r="B239" t="s">
        <v>444</v>
      </c>
      <c r="C239" t="s">
        <v>102</v>
      </c>
      <c r="D239" t="s">
        <v>45</v>
      </c>
      <c r="E239" t="s">
        <v>27</v>
      </c>
      <c r="F239" t="s">
        <v>46</v>
      </c>
      <c r="G239" t="s">
        <v>47</v>
      </c>
      <c r="H239" t="s">
        <v>30</v>
      </c>
      <c r="I239" t="s">
        <v>31</v>
      </c>
      <c r="J239" t="s">
        <v>32</v>
      </c>
      <c r="K239" t="s">
        <v>33</v>
      </c>
      <c r="L239" t="s">
        <v>34</v>
      </c>
      <c r="M239" t="s">
        <v>94</v>
      </c>
      <c r="N239" t="s">
        <v>95</v>
      </c>
      <c r="O239" t="s">
        <v>103</v>
      </c>
      <c r="P239" t="s">
        <v>104</v>
      </c>
      <c r="Q239" t="s">
        <v>39</v>
      </c>
      <c r="R239" t="s">
        <v>40</v>
      </c>
      <c r="S239" s="1">
        <v>3.7</v>
      </c>
      <c r="T239" s="1">
        <v>0.91700000000000004</v>
      </c>
      <c r="U239" s="1">
        <v>0</v>
      </c>
      <c r="V239" s="1">
        <v>2.7829999999999999</v>
      </c>
      <c r="W239">
        <v>25</v>
      </c>
    </row>
    <row r="240" spans="1:23" hidden="1" x14ac:dyDescent="0.35">
      <c r="A240" t="s">
        <v>443</v>
      </c>
      <c r="B240" t="s">
        <v>444</v>
      </c>
      <c r="C240" t="s">
        <v>105</v>
      </c>
      <c r="D240" t="s">
        <v>45</v>
      </c>
      <c r="E240" t="s">
        <v>27</v>
      </c>
      <c r="F240" t="s">
        <v>46</v>
      </c>
      <c r="G240" t="s">
        <v>47</v>
      </c>
      <c r="H240" t="s">
        <v>30</v>
      </c>
      <c r="I240" t="s">
        <v>31</v>
      </c>
      <c r="J240" t="s">
        <v>32</v>
      </c>
      <c r="K240" t="s">
        <v>33</v>
      </c>
      <c r="L240" t="s">
        <v>34</v>
      </c>
      <c r="M240" t="s">
        <v>106</v>
      </c>
      <c r="N240" t="s">
        <v>107</v>
      </c>
      <c r="O240" t="s">
        <v>108</v>
      </c>
      <c r="P240" t="s">
        <v>109</v>
      </c>
      <c r="Q240" t="s">
        <v>39</v>
      </c>
      <c r="R240" t="s">
        <v>40</v>
      </c>
      <c r="S240" s="1">
        <v>81533.600000000006</v>
      </c>
      <c r="T240" s="1">
        <v>17315.922900000001</v>
      </c>
      <c r="U240" s="1">
        <v>6529.7992000000004</v>
      </c>
      <c r="V240" s="1">
        <v>64217.677100000001</v>
      </c>
      <c r="W240">
        <v>21</v>
      </c>
    </row>
    <row r="241" spans="1:23" hidden="1" x14ac:dyDescent="0.35">
      <c r="A241" t="s">
        <v>443</v>
      </c>
      <c r="B241" t="s">
        <v>444</v>
      </c>
      <c r="C241" t="s">
        <v>110</v>
      </c>
      <c r="D241" t="s">
        <v>45</v>
      </c>
      <c r="E241" t="s">
        <v>27</v>
      </c>
      <c r="F241" t="s">
        <v>46</v>
      </c>
      <c r="G241" t="s">
        <v>47</v>
      </c>
      <c r="H241" t="s">
        <v>30</v>
      </c>
      <c r="I241" t="s">
        <v>31</v>
      </c>
      <c r="J241" t="s">
        <v>32</v>
      </c>
      <c r="K241" t="s">
        <v>33</v>
      </c>
      <c r="L241" t="s">
        <v>34</v>
      </c>
      <c r="M241" t="s">
        <v>111</v>
      </c>
      <c r="N241" t="s">
        <v>112</v>
      </c>
      <c r="O241" t="s">
        <v>37</v>
      </c>
      <c r="P241" t="s">
        <v>38</v>
      </c>
      <c r="Q241" t="s">
        <v>39</v>
      </c>
      <c r="R241" t="s">
        <v>40</v>
      </c>
      <c r="S241" s="1">
        <v>6933</v>
      </c>
      <c r="T241" s="1">
        <v>2186.8789000000002</v>
      </c>
      <c r="U241" s="1">
        <v>1142.1306999999999</v>
      </c>
      <c r="V241" s="1">
        <v>4746.1211000000003</v>
      </c>
      <c r="W241">
        <v>32</v>
      </c>
    </row>
    <row r="242" spans="1:23" hidden="1" x14ac:dyDescent="0.35">
      <c r="A242" t="s">
        <v>443</v>
      </c>
      <c r="B242" t="s">
        <v>444</v>
      </c>
      <c r="C242" t="s">
        <v>113</v>
      </c>
      <c r="D242" t="s">
        <v>114</v>
      </c>
      <c r="E242" t="s">
        <v>115</v>
      </c>
      <c r="F242" t="s">
        <v>116</v>
      </c>
      <c r="G242" t="s">
        <v>117</v>
      </c>
      <c r="H242" t="s">
        <v>48</v>
      </c>
      <c r="I242" t="s">
        <v>49</v>
      </c>
      <c r="J242" t="s">
        <v>50</v>
      </c>
      <c r="K242" t="s">
        <v>33</v>
      </c>
      <c r="L242" t="s">
        <v>51</v>
      </c>
      <c r="M242" t="s">
        <v>118</v>
      </c>
      <c r="N242" t="s">
        <v>119</v>
      </c>
      <c r="O242" t="s">
        <v>37</v>
      </c>
      <c r="P242" t="s">
        <v>38</v>
      </c>
      <c r="Q242" t="s">
        <v>39</v>
      </c>
      <c r="R242" t="s">
        <v>40</v>
      </c>
      <c r="S242" s="1">
        <v>7193.2</v>
      </c>
      <c r="T242" s="1">
        <v>2421.1071999999999</v>
      </c>
      <c r="U242" s="1">
        <v>895.80600000000004</v>
      </c>
      <c r="V242" s="1">
        <v>4772.0928000000004</v>
      </c>
      <c r="W242">
        <v>34</v>
      </c>
    </row>
    <row r="243" spans="1:23" hidden="1" x14ac:dyDescent="0.35">
      <c r="A243" t="s">
        <v>443</v>
      </c>
      <c r="B243" t="s">
        <v>444</v>
      </c>
      <c r="C243" t="s">
        <v>120</v>
      </c>
      <c r="D243" t="s">
        <v>114</v>
      </c>
      <c r="E243" t="s">
        <v>115</v>
      </c>
      <c r="F243" t="s">
        <v>116</v>
      </c>
      <c r="G243" t="s">
        <v>117</v>
      </c>
      <c r="H243" t="s">
        <v>48</v>
      </c>
      <c r="I243" t="s">
        <v>49</v>
      </c>
      <c r="J243" t="s">
        <v>50</v>
      </c>
      <c r="K243" t="s">
        <v>33</v>
      </c>
      <c r="L243" t="s">
        <v>51</v>
      </c>
      <c r="M243" t="s">
        <v>118</v>
      </c>
      <c r="N243" t="s">
        <v>119</v>
      </c>
      <c r="O243" t="s">
        <v>42</v>
      </c>
      <c r="P243" t="s">
        <v>43</v>
      </c>
      <c r="Q243" t="s">
        <v>39</v>
      </c>
      <c r="R243" t="s">
        <v>40</v>
      </c>
      <c r="S243" s="1">
        <v>9131.9</v>
      </c>
      <c r="T243" s="1">
        <v>0</v>
      </c>
      <c r="U243" s="1">
        <v>0</v>
      </c>
      <c r="V243" s="1">
        <v>9131.9</v>
      </c>
      <c r="W243">
        <v>0</v>
      </c>
    </row>
    <row r="244" spans="1:23" hidden="1" x14ac:dyDescent="0.35">
      <c r="A244" t="s">
        <v>443</v>
      </c>
      <c r="B244" t="s">
        <v>444</v>
      </c>
      <c r="C244" t="s">
        <v>121</v>
      </c>
      <c r="D244" t="s">
        <v>114</v>
      </c>
      <c r="E244" t="s">
        <v>115</v>
      </c>
      <c r="F244" t="s">
        <v>116</v>
      </c>
      <c r="G244" t="s">
        <v>117</v>
      </c>
      <c r="H244" t="s">
        <v>48</v>
      </c>
      <c r="I244" t="s">
        <v>49</v>
      </c>
      <c r="J244" t="s">
        <v>50</v>
      </c>
      <c r="K244" t="s">
        <v>33</v>
      </c>
      <c r="L244" t="s">
        <v>51</v>
      </c>
      <c r="M244" t="s">
        <v>118</v>
      </c>
      <c r="N244" t="s">
        <v>119</v>
      </c>
      <c r="O244" t="s">
        <v>122</v>
      </c>
      <c r="P244" t="s">
        <v>123</v>
      </c>
      <c r="Q244" t="s">
        <v>39</v>
      </c>
      <c r="R244" t="s">
        <v>40</v>
      </c>
      <c r="S244" s="1">
        <v>7025.2</v>
      </c>
      <c r="T244" s="1">
        <v>655.77149999999995</v>
      </c>
      <c r="U244" s="1">
        <v>0</v>
      </c>
      <c r="V244" s="1">
        <v>6369.4285</v>
      </c>
      <c r="W244">
        <v>9</v>
      </c>
    </row>
    <row r="245" spans="1:23" hidden="1" x14ac:dyDescent="0.35">
      <c r="A245" t="s">
        <v>443</v>
      </c>
      <c r="B245" t="s">
        <v>444</v>
      </c>
      <c r="C245" t="s">
        <v>124</v>
      </c>
      <c r="D245" t="s">
        <v>114</v>
      </c>
      <c r="E245" t="s">
        <v>115</v>
      </c>
      <c r="F245" t="s">
        <v>116</v>
      </c>
      <c r="G245" t="s">
        <v>117</v>
      </c>
      <c r="H245" t="s">
        <v>48</v>
      </c>
      <c r="I245" t="s">
        <v>49</v>
      </c>
      <c r="J245" t="s">
        <v>50</v>
      </c>
      <c r="K245" t="s">
        <v>33</v>
      </c>
      <c r="L245" t="s">
        <v>51</v>
      </c>
      <c r="M245" t="s">
        <v>118</v>
      </c>
      <c r="N245" t="s">
        <v>119</v>
      </c>
      <c r="O245" t="s">
        <v>125</v>
      </c>
      <c r="P245" t="s">
        <v>126</v>
      </c>
      <c r="Q245" t="s">
        <v>39</v>
      </c>
      <c r="R245" t="s">
        <v>40</v>
      </c>
      <c r="S245" s="1">
        <v>3050</v>
      </c>
      <c r="T245" s="1">
        <v>1276.2552000000001</v>
      </c>
      <c r="U245" s="1">
        <v>957.66759999999999</v>
      </c>
      <c r="V245" s="1">
        <v>1773.7447999999999</v>
      </c>
      <c r="W245">
        <v>42</v>
      </c>
    </row>
    <row r="246" spans="1:23" hidden="1" x14ac:dyDescent="0.35">
      <c r="A246" t="s">
        <v>443</v>
      </c>
      <c r="B246" t="s">
        <v>444</v>
      </c>
      <c r="C246" t="s">
        <v>127</v>
      </c>
      <c r="D246" t="s">
        <v>114</v>
      </c>
      <c r="E246" t="s">
        <v>115</v>
      </c>
      <c r="F246" t="s">
        <v>116</v>
      </c>
      <c r="G246" t="s">
        <v>117</v>
      </c>
      <c r="H246" t="s">
        <v>48</v>
      </c>
      <c r="I246" t="s">
        <v>49</v>
      </c>
      <c r="J246" t="s">
        <v>50</v>
      </c>
      <c r="K246" t="s">
        <v>33</v>
      </c>
      <c r="L246" t="s">
        <v>51</v>
      </c>
      <c r="M246" t="s">
        <v>128</v>
      </c>
      <c r="N246" t="s">
        <v>129</v>
      </c>
      <c r="O246" t="s">
        <v>86</v>
      </c>
      <c r="P246" t="s">
        <v>87</v>
      </c>
      <c r="Q246" t="s">
        <v>39</v>
      </c>
      <c r="R246" t="s">
        <v>40</v>
      </c>
      <c r="S246" s="1">
        <v>33821.9</v>
      </c>
      <c r="T246" s="1">
        <v>0</v>
      </c>
      <c r="U246" s="1">
        <v>0</v>
      </c>
      <c r="V246" s="1">
        <v>33821.9</v>
      </c>
      <c r="W246">
        <v>0</v>
      </c>
    </row>
    <row r="247" spans="1:23" hidden="1" x14ac:dyDescent="0.35">
      <c r="A247" t="s">
        <v>443</v>
      </c>
      <c r="B247" t="s">
        <v>444</v>
      </c>
      <c r="C247" t="s">
        <v>130</v>
      </c>
      <c r="D247" t="s">
        <v>131</v>
      </c>
      <c r="E247" t="s">
        <v>115</v>
      </c>
      <c r="F247" t="s">
        <v>132</v>
      </c>
      <c r="G247" t="s">
        <v>133</v>
      </c>
      <c r="H247" t="s">
        <v>48</v>
      </c>
      <c r="I247" t="s">
        <v>49</v>
      </c>
      <c r="J247" t="s">
        <v>50</v>
      </c>
      <c r="K247" t="s">
        <v>33</v>
      </c>
      <c r="L247" t="s">
        <v>51</v>
      </c>
      <c r="M247" t="s">
        <v>134</v>
      </c>
      <c r="N247" t="s">
        <v>135</v>
      </c>
      <c r="O247" t="s">
        <v>37</v>
      </c>
      <c r="P247" t="s">
        <v>38</v>
      </c>
      <c r="Q247" t="s">
        <v>39</v>
      </c>
      <c r="R247" t="s">
        <v>40</v>
      </c>
      <c r="S247" s="1">
        <v>23.1</v>
      </c>
      <c r="T247" s="1">
        <v>0</v>
      </c>
      <c r="U247" s="1">
        <v>0</v>
      </c>
      <c r="V247" s="1">
        <v>23.1</v>
      </c>
      <c r="W247">
        <v>0</v>
      </c>
    </row>
    <row r="248" spans="1:23" hidden="1" x14ac:dyDescent="0.35">
      <c r="A248" t="s">
        <v>443</v>
      </c>
      <c r="B248" t="s">
        <v>444</v>
      </c>
      <c r="C248" t="s">
        <v>445</v>
      </c>
      <c r="D248" t="s">
        <v>137</v>
      </c>
      <c r="E248" t="s">
        <v>138</v>
      </c>
      <c r="F248" t="s">
        <v>139</v>
      </c>
      <c r="G248" t="s">
        <v>140</v>
      </c>
      <c r="H248" t="s">
        <v>48</v>
      </c>
      <c r="I248" t="s">
        <v>49</v>
      </c>
      <c r="J248" t="s">
        <v>50</v>
      </c>
      <c r="K248" t="s">
        <v>33</v>
      </c>
      <c r="L248" t="s">
        <v>51</v>
      </c>
      <c r="M248" t="s">
        <v>446</v>
      </c>
      <c r="N248" t="s">
        <v>447</v>
      </c>
      <c r="O248" t="s">
        <v>37</v>
      </c>
      <c r="P248" t="s">
        <v>38</v>
      </c>
      <c r="Q248" t="s">
        <v>39</v>
      </c>
      <c r="R248" t="s">
        <v>40</v>
      </c>
      <c r="S248" s="1">
        <v>455.4</v>
      </c>
      <c r="T248" s="1">
        <v>0</v>
      </c>
      <c r="U248" s="1">
        <v>0</v>
      </c>
      <c r="V248" s="1">
        <v>455.4</v>
      </c>
      <c r="W248">
        <v>0</v>
      </c>
    </row>
    <row r="249" spans="1:23" hidden="1" x14ac:dyDescent="0.35">
      <c r="A249" t="s">
        <v>443</v>
      </c>
      <c r="B249" t="s">
        <v>444</v>
      </c>
      <c r="C249" t="s">
        <v>448</v>
      </c>
      <c r="D249" t="s">
        <v>137</v>
      </c>
      <c r="E249" t="s">
        <v>138</v>
      </c>
      <c r="F249" t="s">
        <v>139</v>
      </c>
      <c r="G249" t="s">
        <v>140</v>
      </c>
      <c r="H249" t="s">
        <v>48</v>
      </c>
      <c r="I249" t="s">
        <v>49</v>
      </c>
      <c r="J249" t="s">
        <v>50</v>
      </c>
      <c r="K249" t="s">
        <v>33</v>
      </c>
      <c r="L249" t="s">
        <v>51</v>
      </c>
      <c r="M249" t="s">
        <v>446</v>
      </c>
      <c r="N249" t="s">
        <v>447</v>
      </c>
      <c r="O249" t="s">
        <v>197</v>
      </c>
      <c r="P249" t="s">
        <v>198</v>
      </c>
      <c r="Q249" t="s">
        <v>39</v>
      </c>
      <c r="R249" t="s">
        <v>40</v>
      </c>
      <c r="S249" s="1">
        <v>36425.800000000003</v>
      </c>
      <c r="T249" s="1">
        <v>0</v>
      </c>
      <c r="U249" s="1">
        <v>0</v>
      </c>
      <c r="V249" s="1">
        <v>36425.800000000003</v>
      </c>
      <c r="W249">
        <v>0</v>
      </c>
    </row>
    <row r="250" spans="1:23" hidden="1" x14ac:dyDescent="0.35">
      <c r="A250" t="s">
        <v>443</v>
      </c>
      <c r="B250" t="s">
        <v>444</v>
      </c>
      <c r="C250" t="s">
        <v>136</v>
      </c>
      <c r="D250" t="s">
        <v>137</v>
      </c>
      <c r="E250" t="s">
        <v>138</v>
      </c>
      <c r="F250" t="s">
        <v>139</v>
      </c>
      <c r="G250" t="s">
        <v>140</v>
      </c>
      <c r="H250" t="s">
        <v>30</v>
      </c>
      <c r="I250" t="s">
        <v>31</v>
      </c>
      <c r="J250" t="s">
        <v>32</v>
      </c>
      <c r="K250" t="s">
        <v>33</v>
      </c>
      <c r="L250" t="s">
        <v>34</v>
      </c>
      <c r="M250" t="s">
        <v>141</v>
      </c>
      <c r="N250" t="s">
        <v>142</v>
      </c>
      <c r="O250" t="s">
        <v>83</v>
      </c>
      <c r="P250" t="s">
        <v>84</v>
      </c>
      <c r="Q250" t="s">
        <v>39</v>
      </c>
      <c r="R250" t="s">
        <v>40</v>
      </c>
      <c r="S250" s="1">
        <v>5651.9</v>
      </c>
      <c r="T250" s="1">
        <v>804.9896</v>
      </c>
      <c r="U250" s="1">
        <v>726.08219999999994</v>
      </c>
      <c r="V250" s="1">
        <v>4846.9103999999998</v>
      </c>
      <c r="W250">
        <v>14</v>
      </c>
    </row>
    <row r="251" spans="1:23" hidden="1" x14ac:dyDescent="0.35">
      <c r="A251" t="s">
        <v>443</v>
      </c>
      <c r="B251" t="s">
        <v>444</v>
      </c>
      <c r="C251" t="s">
        <v>143</v>
      </c>
      <c r="D251" t="s">
        <v>144</v>
      </c>
      <c r="E251" t="s">
        <v>145</v>
      </c>
      <c r="F251" t="s">
        <v>146</v>
      </c>
      <c r="G251" t="s">
        <v>147</v>
      </c>
      <c r="H251" t="s">
        <v>116</v>
      </c>
      <c r="I251" t="s">
        <v>148</v>
      </c>
      <c r="J251" t="s">
        <v>149</v>
      </c>
      <c r="K251" t="s">
        <v>33</v>
      </c>
      <c r="L251" t="s">
        <v>34</v>
      </c>
      <c r="M251" t="s">
        <v>150</v>
      </c>
      <c r="N251" t="s">
        <v>151</v>
      </c>
      <c r="O251" t="s">
        <v>37</v>
      </c>
      <c r="P251" t="s">
        <v>38</v>
      </c>
      <c r="Q251" t="s">
        <v>39</v>
      </c>
      <c r="R251" t="s">
        <v>40</v>
      </c>
      <c r="S251" s="1">
        <v>5465.8</v>
      </c>
      <c r="T251" s="1">
        <v>0</v>
      </c>
      <c r="U251" s="1">
        <v>0</v>
      </c>
      <c r="V251" s="1">
        <v>5465.8</v>
      </c>
      <c r="W251">
        <v>0</v>
      </c>
    </row>
    <row r="252" spans="1:23" hidden="1" x14ac:dyDescent="0.35">
      <c r="A252" t="s">
        <v>443</v>
      </c>
      <c r="B252" t="s">
        <v>444</v>
      </c>
      <c r="C252" t="s">
        <v>152</v>
      </c>
      <c r="D252" t="s">
        <v>144</v>
      </c>
      <c r="E252" t="s">
        <v>145</v>
      </c>
      <c r="F252" t="s">
        <v>146</v>
      </c>
      <c r="G252" t="s">
        <v>147</v>
      </c>
      <c r="H252" t="s">
        <v>116</v>
      </c>
      <c r="I252" t="s">
        <v>148</v>
      </c>
      <c r="J252" t="s">
        <v>149</v>
      </c>
      <c r="K252" t="s">
        <v>33</v>
      </c>
      <c r="L252" t="s">
        <v>34</v>
      </c>
      <c r="M252" t="s">
        <v>153</v>
      </c>
      <c r="N252" t="s">
        <v>154</v>
      </c>
      <c r="O252" t="s">
        <v>37</v>
      </c>
      <c r="P252" t="s">
        <v>38</v>
      </c>
      <c r="Q252" t="s">
        <v>39</v>
      </c>
      <c r="R252" t="s">
        <v>40</v>
      </c>
      <c r="S252" s="1">
        <v>35373.199999999997</v>
      </c>
      <c r="T252" s="1">
        <v>0</v>
      </c>
      <c r="U252" s="1">
        <v>0</v>
      </c>
      <c r="V252" s="1">
        <v>35373.199999999997</v>
      </c>
      <c r="W252">
        <v>0</v>
      </c>
    </row>
    <row r="253" spans="1:23" hidden="1" x14ac:dyDescent="0.35">
      <c r="A253" t="s">
        <v>443</v>
      </c>
      <c r="B253" t="s">
        <v>444</v>
      </c>
      <c r="C253" t="s">
        <v>155</v>
      </c>
      <c r="D253" t="s">
        <v>144</v>
      </c>
      <c r="E253" t="s">
        <v>145</v>
      </c>
      <c r="F253" t="s">
        <v>146</v>
      </c>
      <c r="G253" t="s">
        <v>147</v>
      </c>
      <c r="H253" t="s">
        <v>116</v>
      </c>
      <c r="I253" t="s">
        <v>148</v>
      </c>
      <c r="J253" t="s">
        <v>149</v>
      </c>
      <c r="K253" t="s">
        <v>33</v>
      </c>
      <c r="L253" t="s">
        <v>34</v>
      </c>
      <c r="M253" t="s">
        <v>156</v>
      </c>
      <c r="N253" t="s">
        <v>157</v>
      </c>
      <c r="O253" t="s">
        <v>37</v>
      </c>
      <c r="P253" t="s">
        <v>38</v>
      </c>
      <c r="Q253" t="s">
        <v>39</v>
      </c>
      <c r="R253" t="s">
        <v>40</v>
      </c>
      <c r="S253" s="1">
        <v>3442.8</v>
      </c>
      <c r="T253" s="1">
        <v>66.115799999999993</v>
      </c>
      <c r="U253" s="1">
        <v>66.115799999999993</v>
      </c>
      <c r="V253" s="1">
        <v>3376.6842000000001</v>
      </c>
      <c r="W253">
        <v>2</v>
      </c>
    </row>
    <row r="254" spans="1:23" hidden="1" x14ac:dyDescent="0.35">
      <c r="A254" t="s">
        <v>443</v>
      </c>
      <c r="B254" t="s">
        <v>444</v>
      </c>
      <c r="C254" t="s">
        <v>158</v>
      </c>
      <c r="D254" t="s">
        <v>144</v>
      </c>
      <c r="E254" t="s">
        <v>145</v>
      </c>
      <c r="F254" t="s">
        <v>146</v>
      </c>
      <c r="G254" t="s">
        <v>147</v>
      </c>
      <c r="H254" t="s">
        <v>116</v>
      </c>
      <c r="I254" t="s">
        <v>148</v>
      </c>
      <c r="J254" t="s">
        <v>149</v>
      </c>
      <c r="K254" t="s">
        <v>33</v>
      </c>
      <c r="L254" t="s">
        <v>34</v>
      </c>
      <c r="M254" t="s">
        <v>156</v>
      </c>
      <c r="N254" t="s">
        <v>157</v>
      </c>
      <c r="O254" t="s">
        <v>125</v>
      </c>
      <c r="P254" t="s">
        <v>126</v>
      </c>
      <c r="Q254" t="s">
        <v>39</v>
      </c>
      <c r="R254" t="s">
        <v>40</v>
      </c>
      <c r="S254" s="1">
        <v>110377</v>
      </c>
      <c r="T254" s="1">
        <v>23853.0579</v>
      </c>
      <c r="U254" s="1">
        <v>22357.4591</v>
      </c>
      <c r="V254" s="1">
        <v>86523.9421</v>
      </c>
      <c r="W254">
        <v>22</v>
      </c>
    </row>
    <row r="255" spans="1:23" hidden="1" x14ac:dyDescent="0.35">
      <c r="A255" t="s">
        <v>443</v>
      </c>
      <c r="B255" t="s">
        <v>444</v>
      </c>
      <c r="C255" t="s">
        <v>159</v>
      </c>
      <c r="D255" t="s">
        <v>144</v>
      </c>
      <c r="E255" t="s">
        <v>145</v>
      </c>
      <c r="F255" t="s">
        <v>146</v>
      </c>
      <c r="G255" t="s">
        <v>147</v>
      </c>
      <c r="H255" t="s">
        <v>116</v>
      </c>
      <c r="I255" t="s">
        <v>148</v>
      </c>
      <c r="J255" t="s">
        <v>149</v>
      </c>
      <c r="K255" t="s">
        <v>33</v>
      </c>
      <c r="L255" t="s">
        <v>34</v>
      </c>
      <c r="M255" t="s">
        <v>160</v>
      </c>
      <c r="N255" t="s">
        <v>161</v>
      </c>
      <c r="O255" t="s">
        <v>37</v>
      </c>
      <c r="P255" t="s">
        <v>38</v>
      </c>
      <c r="Q255" t="s">
        <v>39</v>
      </c>
      <c r="R255" t="s">
        <v>40</v>
      </c>
      <c r="S255" s="1">
        <v>21046</v>
      </c>
      <c r="T255" s="1">
        <v>1138.7828</v>
      </c>
      <c r="U255" s="1">
        <v>1087.1666</v>
      </c>
      <c r="V255" s="1">
        <v>19907.217199999999</v>
      </c>
      <c r="W255">
        <v>5</v>
      </c>
    </row>
    <row r="256" spans="1:23" hidden="1" x14ac:dyDescent="0.35">
      <c r="A256" t="s">
        <v>443</v>
      </c>
      <c r="B256" t="s">
        <v>444</v>
      </c>
      <c r="C256" t="s">
        <v>162</v>
      </c>
      <c r="D256" t="s">
        <v>144</v>
      </c>
      <c r="E256" t="s">
        <v>145</v>
      </c>
      <c r="F256" t="s">
        <v>146</v>
      </c>
      <c r="G256" t="s">
        <v>147</v>
      </c>
      <c r="H256" t="s">
        <v>116</v>
      </c>
      <c r="I256" t="s">
        <v>148</v>
      </c>
      <c r="J256" t="s">
        <v>149</v>
      </c>
      <c r="K256" t="s">
        <v>33</v>
      </c>
      <c r="L256" t="s">
        <v>34</v>
      </c>
      <c r="M256" t="s">
        <v>160</v>
      </c>
      <c r="N256" t="s">
        <v>161</v>
      </c>
      <c r="O256" t="s">
        <v>42</v>
      </c>
      <c r="P256" t="s">
        <v>43</v>
      </c>
      <c r="Q256" t="s">
        <v>39</v>
      </c>
      <c r="R256" t="s">
        <v>40</v>
      </c>
      <c r="S256" s="1">
        <v>10536.1</v>
      </c>
      <c r="T256" s="1">
        <v>908.7722</v>
      </c>
      <c r="U256" s="1">
        <v>0</v>
      </c>
      <c r="V256" s="1">
        <v>9627.3277999999991</v>
      </c>
      <c r="W256">
        <v>9</v>
      </c>
    </row>
    <row r="257" spans="1:23" hidden="1" x14ac:dyDescent="0.35">
      <c r="A257" t="s">
        <v>443</v>
      </c>
      <c r="B257" t="s">
        <v>444</v>
      </c>
      <c r="C257" t="s">
        <v>163</v>
      </c>
      <c r="D257" t="s">
        <v>144</v>
      </c>
      <c r="E257" t="s">
        <v>145</v>
      </c>
      <c r="F257" t="s">
        <v>146</v>
      </c>
      <c r="G257" t="s">
        <v>147</v>
      </c>
      <c r="H257" t="s">
        <v>116</v>
      </c>
      <c r="I257" t="s">
        <v>148</v>
      </c>
      <c r="J257" t="s">
        <v>149</v>
      </c>
      <c r="K257" t="s">
        <v>33</v>
      </c>
      <c r="L257" t="s">
        <v>34</v>
      </c>
      <c r="M257" t="s">
        <v>160</v>
      </c>
      <c r="N257" t="s">
        <v>161</v>
      </c>
      <c r="O257" t="s">
        <v>125</v>
      </c>
      <c r="P257" t="s">
        <v>126</v>
      </c>
      <c r="Q257" t="s">
        <v>39</v>
      </c>
      <c r="R257" t="s">
        <v>40</v>
      </c>
      <c r="S257" s="1">
        <v>4782.6000000000004</v>
      </c>
      <c r="T257" s="1">
        <v>1388.6953000000001</v>
      </c>
      <c r="U257" s="1">
        <v>895.18399999999997</v>
      </c>
      <c r="V257" s="1">
        <v>3393.9047</v>
      </c>
      <c r="W257">
        <v>29</v>
      </c>
    </row>
    <row r="258" spans="1:23" hidden="1" x14ac:dyDescent="0.35">
      <c r="A258" t="s">
        <v>443</v>
      </c>
      <c r="B258" t="s">
        <v>444</v>
      </c>
      <c r="C258" t="s">
        <v>423</v>
      </c>
      <c r="D258" t="s">
        <v>165</v>
      </c>
      <c r="E258" t="s">
        <v>145</v>
      </c>
      <c r="F258" t="s">
        <v>28</v>
      </c>
      <c r="G258" t="s">
        <v>166</v>
      </c>
      <c r="H258" t="s">
        <v>139</v>
      </c>
      <c r="I258" t="s">
        <v>167</v>
      </c>
      <c r="J258" t="s">
        <v>168</v>
      </c>
      <c r="K258" t="s">
        <v>33</v>
      </c>
      <c r="L258" t="s">
        <v>51</v>
      </c>
      <c r="M258" t="s">
        <v>424</v>
      </c>
      <c r="N258" t="s">
        <v>425</v>
      </c>
      <c r="O258" t="s">
        <v>37</v>
      </c>
      <c r="P258" t="s">
        <v>38</v>
      </c>
      <c r="Q258" t="s">
        <v>39</v>
      </c>
      <c r="R258" t="s">
        <v>40</v>
      </c>
      <c r="S258" s="1">
        <v>521.20000000000005</v>
      </c>
      <c r="T258" s="1">
        <v>0</v>
      </c>
      <c r="U258" s="1">
        <v>0</v>
      </c>
      <c r="V258" s="1">
        <v>521.20000000000005</v>
      </c>
      <c r="W258">
        <v>0</v>
      </c>
    </row>
    <row r="259" spans="1:23" hidden="1" x14ac:dyDescent="0.35">
      <c r="A259" t="s">
        <v>443</v>
      </c>
      <c r="B259" t="s">
        <v>444</v>
      </c>
      <c r="C259" t="s">
        <v>164</v>
      </c>
      <c r="D259" t="s">
        <v>165</v>
      </c>
      <c r="E259" t="s">
        <v>145</v>
      </c>
      <c r="F259" t="s">
        <v>28</v>
      </c>
      <c r="G259" t="s">
        <v>166</v>
      </c>
      <c r="H259" t="s">
        <v>139</v>
      </c>
      <c r="I259" t="s">
        <v>167</v>
      </c>
      <c r="J259" t="s">
        <v>168</v>
      </c>
      <c r="K259" t="s">
        <v>33</v>
      </c>
      <c r="L259" t="s">
        <v>51</v>
      </c>
      <c r="M259" t="s">
        <v>169</v>
      </c>
      <c r="N259" t="s">
        <v>170</v>
      </c>
      <c r="O259" t="s">
        <v>37</v>
      </c>
      <c r="P259" t="s">
        <v>38</v>
      </c>
      <c r="Q259" t="s">
        <v>39</v>
      </c>
      <c r="R259" t="s">
        <v>40</v>
      </c>
      <c r="S259" s="1">
        <v>39330.300000000003</v>
      </c>
      <c r="T259" s="1">
        <v>3144.8901999999998</v>
      </c>
      <c r="U259" s="1">
        <v>2113.9684999999999</v>
      </c>
      <c r="V259" s="1">
        <v>36185.409800000001</v>
      </c>
      <c r="W259">
        <v>8</v>
      </c>
    </row>
    <row r="260" spans="1:23" hidden="1" x14ac:dyDescent="0.35">
      <c r="A260" t="s">
        <v>443</v>
      </c>
      <c r="B260" t="s">
        <v>444</v>
      </c>
      <c r="C260" t="s">
        <v>171</v>
      </c>
      <c r="D260" t="s">
        <v>165</v>
      </c>
      <c r="E260" t="s">
        <v>145</v>
      </c>
      <c r="F260" t="s">
        <v>28</v>
      </c>
      <c r="G260" t="s">
        <v>166</v>
      </c>
      <c r="H260" t="s">
        <v>139</v>
      </c>
      <c r="I260" t="s">
        <v>167</v>
      </c>
      <c r="J260" t="s">
        <v>168</v>
      </c>
      <c r="K260" t="s">
        <v>33</v>
      </c>
      <c r="L260" t="s">
        <v>51</v>
      </c>
      <c r="M260" t="s">
        <v>172</v>
      </c>
      <c r="N260" t="s">
        <v>173</v>
      </c>
      <c r="O260" t="s">
        <v>37</v>
      </c>
      <c r="P260" t="s">
        <v>38</v>
      </c>
      <c r="Q260" t="s">
        <v>39</v>
      </c>
      <c r="R260" t="s">
        <v>40</v>
      </c>
      <c r="S260" s="1">
        <v>1577.6</v>
      </c>
      <c r="T260" s="1">
        <v>0</v>
      </c>
      <c r="U260" s="1">
        <v>0</v>
      </c>
      <c r="V260" s="1">
        <v>1577.6</v>
      </c>
      <c r="W260">
        <v>0</v>
      </c>
    </row>
    <row r="261" spans="1:23" hidden="1" x14ac:dyDescent="0.35">
      <c r="A261" t="s">
        <v>443</v>
      </c>
      <c r="B261" t="s">
        <v>444</v>
      </c>
      <c r="C261" t="s">
        <v>174</v>
      </c>
      <c r="D261" t="s">
        <v>175</v>
      </c>
      <c r="E261" t="s">
        <v>145</v>
      </c>
      <c r="F261" t="s">
        <v>176</v>
      </c>
      <c r="G261" t="s">
        <v>177</v>
      </c>
      <c r="H261" t="s">
        <v>116</v>
      </c>
      <c r="I261" t="s">
        <v>148</v>
      </c>
      <c r="J261" t="s">
        <v>149</v>
      </c>
      <c r="K261" t="s">
        <v>33</v>
      </c>
      <c r="L261" t="s">
        <v>34</v>
      </c>
      <c r="M261" t="s">
        <v>178</v>
      </c>
      <c r="N261" t="s">
        <v>179</v>
      </c>
      <c r="O261" t="s">
        <v>96</v>
      </c>
      <c r="P261" t="s">
        <v>97</v>
      </c>
      <c r="Q261" t="s">
        <v>39</v>
      </c>
      <c r="R261" t="s">
        <v>40</v>
      </c>
      <c r="S261" s="1">
        <v>648619.1</v>
      </c>
      <c r="T261" s="1">
        <v>147885.6292</v>
      </c>
      <c r="U261" s="1">
        <v>58005.498800000001</v>
      </c>
      <c r="V261" s="1">
        <v>500733.47080000001</v>
      </c>
      <c r="W261">
        <v>23</v>
      </c>
    </row>
    <row r="262" spans="1:23" hidden="1" x14ac:dyDescent="0.35">
      <c r="A262" t="s">
        <v>443</v>
      </c>
      <c r="B262" t="s">
        <v>444</v>
      </c>
      <c r="C262" t="s">
        <v>180</v>
      </c>
      <c r="D262" t="s">
        <v>175</v>
      </c>
      <c r="E262" t="s">
        <v>145</v>
      </c>
      <c r="F262" t="s">
        <v>176</v>
      </c>
      <c r="G262" t="s">
        <v>177</v>
      </c>
      <c r="H262" t="s">
        <v>116</v>
      </c>
      <c r="I262" t="s">
        <v>148</v>
      </c>
      <c r="J262" t="s">
        <v>149</v>
      </c>
      <c r="K262" t="s">
        <v>33</v>
      </c>
      <c r="L262" t="s">
        <v>34</v>
      </c>
      <c r="M262" t="s">
        <v>178</v>
      </c>
      <c r="N262" t="s">
        <v>179</v>
      </c>
      <c r="O262" t="s">
        <v>99</v>
      </c>
      <c r="P262" t="s">
        <v>100</v>
      </c>
      <c r="Q262" t="s">
        <v>39</v>
      </c>
      <c r="R262" t="s">
        <v>40</v>
      </c>
      <c r="S262" s="1">
        <v>195242.9</v>
      </c>
      <c r="T262" s="1">
        <v>43919.904199999997</v>
      </c>
      <c r="U262" s="1">
        <v>11778.9295</v>
      </c>
      <c r="V262" s="1">
        <v>151322.9958</v>
      </c>
      <c r="W262">
        <v>22</v>
      </c>
    </row>
    <row r="263" spans="1:23" hidden="1" x14ac:dyDescent="0.35">
      <c r="A263" t="s">
        <v>443</v>
      </c>
      <c r="B263" t="s">
        <v>444</v>
      </c>
      <c r="C263" t="s">
        <v>181</v>
      </c>
      <c r="D263" t="s">
        <v>175</v>
      </c>
      <c r="E263" t="s">
        <v>145</v>
      </c>
      <c r="F263" t="s">
        <v>176</v>
      </c>
      <c r="G263" t="s">
        <v>177</v>
      </c>
      <c r="H263" t="s">
        <v>116</v>
      </c>
      <c r="I263" t="s">
        <v>148</v>
      </c>
      <c r="J263" t="s">
        <v>149</v>
      </c>
      <c r="K263" t="s">
        <v>33</v>
      </c>
      <c r="L263" t="s">
        <v>34</v>
      </c>
      <c r="M263" t="s">
        <v>178</v>
      </c>
      <c r="N263" t="s">
        <v>179</v>
      </c>
      <c r="O263" t="s">
        <v>37</v>
      </c>
      <c r="P263" t="s">
        <v>38</v>
      </c>
      <c r="Q263" t="s">
        <v>39</v>
      </c>
      <c r="R263" t="s">
        <v>40</v>
      </c>
      <c r="S263" s="1">
        <v>155984.5</v>
      </c>
      <c r="T263" s="1">
        <v>19977.8442</v>
      </c>
      <c r="U263" s="1">
        <v>15135.590700000001</v>
      </c>
      <c r="V263" s="1">
        <v>136006.65580000001</v>
      </c>
      <c r="W263">
        <v>13</v>
      </c>
    </row>
    <row r="264" spans="1:23" hidden="1" x14ac:dyDescent="0.35">
      <c r="A264" t="s">
        <v>443</v>
      </c>
      <c r="B264" t="s">
        <v>444</v>
      </c>
      <c r="C264" t="s">
        <v>182</v>
      </c>
      <c r="D264" t="s">
        <v>175</v>
      </c>
      <c r="E264" t="s">
        <v>145</v>
      </c>
      <c r="F264" t="s">
        <v>176</v>
      </c>
      <c r="G264" t="s">
        <v>177</v>
      </c>
      <c r="H264" t="s">
        <v>116</v>
      </c>
      <c r="I264" t="s">
        <v>148</v>
      </c>
      <c r="J264" t="s">
        <v>149</v>
      </c>
      <c r="K264" t="s">
        <v>33</v>
      </c>
      <c r="L264" t="s">
        <v>34</v>
      </c>
      <c r="M264" t="s">
        <v>178</v>
      </c>
      <c r="N264" t="s">
        <v>179</v>
      </c>
      <c r="O264" t="s">
        <v>42</v>
      </c>
      <c r="P264" t="s">
        <v>43</v>
      </c>
      <c r="Q264" t="s">
        <v>39</v>
      </c>
      <c r="R264" t="s">
        <v>40</v>
      </c>
      <c r="S264" s="1">
        <v>8102</v>
      </c>
      <c r="T264" s="1">
        <v>510.63209999999998</v>
      </c>
      <c r="U264" s="1">
        <v>393.25119999999998</v>
      </c>
      <c r="V264" s="1">
        <v>7591.3679000000002</v>
      </c>
      <c r="W264">
        <v>6</v>
      </c>
    </row>
    <row r="265" spans="1:23" hidden="1" x14ac:dyDescent="0.35">
      <c r="A265" t="s">
        <v>443</v>
      </c>
      <c r="B265" t="s">
        <v>444</v>
      </c>
      <c r="C265" t="s">
        <v>183</v>
      </c>
      <c r="D265" t="s">
        <v>175</v>
      </c>
      <c r="E265" t="s">
        <v>145</v>
      </c>
      <c r="F265" t="s">
        <v>176</v>
      </c>
      <c r="G265" t="s">
        <v>177</v>
      </c>
      <c r="H265" t="s">
        <v>116</v>
      </c>
      <c r="I265" t="s">
        <v>148</v>
      </c>
      <c r="J265" t="s">
        <v>149</v>
      </c>
      <c r="K265" t="s">
        <v>33</v>
      </c>
      <c r="L265" t="s">
        <v>34</v>
      </c>
      <c r="M265" t="s">
        <v>178</v>
      </c>
      <c r="N265" t="s">
        <v>179</v>
      </c>
      <c r="O265" t="s">
        <v>122</v>
      </c>
      <c r="P265" t="s">
        <v>123</v>
      </c>
      <c r="Q265" t="s">
        <v>39</v>
      </c>
      <c r="R265" t="s">
        <v>40</v>
      </c>
      <c r="S265" s="1">
        <v>183.2</v>
      </c>
      <c r="T265" s="1">
        <v>0</v>
      </c>
      <c r="U265" s="1">
        <v>0</v>
      </c>
      <c r="V265" s="1">
        <v>183.2</v>
      </c>
      <c r="W265">
        <v>0</v>
      </c>
    </row>
    <row r="266" spans="1:23" hidden="1" x14ac:dyDescent="0.35">
      <c r="A266" t="s">
        <v>443</v>
      </c>
      <c r="B266" t="s">
        <v>444</v>
      </c>
      <c r="C266" t="s">
        <v>184</v>
      </c>
      <c r="D266" t="s">
        <v>175</v>
      </c>
      <c r="E266" t="s">
        <v>145</v>
      </c>
      <c r="F266" t="s">
        <v>176</v>
      </c>
      <c r="G266" t="s">
        <v>177</v>
      </c>
      <c r="H266" t="s">
        <v>116</v>
      </c>
      <c r="I266" t="s">
        <v>148</v>
      </c>
      <c r="J266" t="s">
        <v>149</v>
      </c>
      <c r="K266" t="s">
        <v>33</v>
      </c>
      <c r="L266" t="s">
        <v>34</v>
      </c>
      <c r="M266" t="s">
        <v>178</v>
      </c>
      <c r="N266" t="s">
        <v>179</v>
      </c>
      <c r="O266" t="s">
        <v>103</v>
      </c>
      <c r="P266" t="s">
        <v>104</v>
      </c>
      <c r="Q266" t="s">
        <v>39</v>
      </c>
      <c r="R266" t="s">
        <v>40</v>
      </c>
      <c r="S266" s="1">
        <v>631.4</v>
      </c>
      <c r="T266" s="1">
        <v>563.85299999999995</v>
      </c>
      <c r="U266" s="1">
        <v>50.3</v>
      </c>
      <c r="V266" s="1">
        <v>67.546999999999997</v>
      </c>
      <c r="W266">
        <v>89</v>
      </c>
    </row>
    <row r="267" spans="1:23" x14ac:dyDescent="0.35">
      <c r="A267" s="3" t="s">
        <v>443</v>
      </c>
      <c r="B267" s="3" t="s">
        <v>444</v>
      </c>
      <c r="C267" s="3" t="s">
        <v>185</v>
      </c>
      <c r="D267" s="3" t="s">
        <v>186</v>
      </c>
      <c r="E267" s="3" t="s">
        <v>187</v>
      </c>
      <c r="F267" s="3" t="s">
        <v>146</v>
      </c>
      <c r="G267" s="3" t="s">
        <v>188</v>
      </c>
      <c r="H267" s="3" t="s">
        <v>189</v>
      </c>
      <c r="I267" s="3" t="s">
        <v>190</v>
      </c>
      <c r="J267" s="3" t="s">
        <v>191</v>
      </c>
      <c r="K267" s="3" t="s">
        <v>33</v>
      </c>
      <c r="L267" s="3" t="s">
        <v>34</v>
      </c>
      <c r="M267" s="3" t="s">
        <v>192</v>
      </c>
      <c r="N267" s="3" t="s">
        <v>193</v>
      </c>
      <c r="O267" s="3" t="s">
        <v>108</v>
      </c>
      <c r="P267" s="3" t="s">
        <v>109</v>
      </c>
      <c r="Q267" s="3" t="s">
        <v>39</v>
      </c>
      <c r="R267" s="3" t="s">
        <v>40</v>
      </c>
      <c r="S267" s="7">
        <v>5665542.5999999996</v>
      </c>
      <c r="T267" s="7">
        <v>1096142.4236000001</v>
      </c>
      <c r="U267" s="7">
        <v>478043.48859999998</v>
      </c>
      <c r="V267" s="7">
        <v>4569400.1764000002</v>
      </c>
      <c r="W267" s="3">
        <v>19</v>
      </c>
    </row>
    <row r="268" spans="1:23" x14ac:dyDescent="0.35">
      <c r="A268" s="3" t="s">
        <v>443</v>
      </c>
      <c r="B268" s="3" t="s">
        <v>444</v>
      </c>
      <c r="C268" s="3" t="s">
        <v>426</v>
      </c>
      <c r="D268" s="3" t="s">
        <v>186</v>
      </c>
      <c r="E268" s="3" t="s">
        <v>187</v>
      </c>
      <c r="F268" s="3" t="s">
        <v>146</v>
      </c>
      <c r="G268" s="3" t="s">
        <v>188</v>
      </c>
      <c r="H268" s="3" t="s">
        <v>189</v>
      </c>
      <c r="I268" s="3" t="s">
        <v>190</v>
      </c>
      <c r="J268" s="3" t="s">
        <v>191</v>
      </c>
      <c r="K268" s="3" t="s">
        <v>33</v>
      </c>
      <c r="L268" s="3" t="s">
        <v>34</v>
      </c>
      <c r="M268" s="3" t="s">
        <v>427</v>
      </c>
      <c r="N268" s="3" t="s">
        <v>428</v>
      </c>
      <c r="O268" s="3" t="s">
        <v>197</v>
      </c>
      <c r="P268" s="3" t="s">
        <v>198</v>
      </c>
      <c r="Q268" s="3" t="s">
        <v>39</v>
      </c>
      <c r="R268" s="3" t="s">
        <v>40</v>
      </c>
      <c r="S268" s="7">
        <v>4200</v>
      </c>
      <c r="T268" s="7">
        <v>0</v>
      </c>
      <c r="U268" s="7">
        <v>0</v>
      </c>
      <c r="V268" s="7">
        <v>4200</v>
      </c>
      <c r="W268" s="3">
        <v>0</v>
      </c>
    </row>
    <row r="269" spans="1:23" x14ac:dyDescent="0.35">
      <c r="A269" s="3" t="s">
        <v>443</v>
      </c>
      <c r="B269" s="3" t="s">
        <v>444</v>
      </c>
      <c r="C269" s="3" t="s">
        <v>194</v>
      </c>
      <c r="D269" s="3" t="s">
        <v>186</v>
      </c>
      <c r="E269" s="3" t="s">
        <v>187</v>
      </c>
      <c r="F269" s="3" t="s">
        <v>146</v>
      </c>
      <c r="G269" s="3" t="s">
        <v>188</v>
      </c>
      <c r="H269" s="3" t="s">
        <v>189</v>
      </c>
      <c r="I269" s="3" t="s">
        <v>190</v>
      </c>
      <c r="J269" s="3" t="s">
        <v>191</v>
      </c>
      <c r="K269" s="3" t="s">
        <v>33</v>
      </c>
      <c r="L269" s="3" t="s">
        <v>34</v>
      </c>
      <c r="M269" s="3" t="s">
        <v>195</v>
      </c>
      <c r="N269" s="3" t="s">
        <v>196</v>
      </c>
      <c r="O269" s="3" t="s">
        <v>197</v>
      </c>
      <c r="P269" s="3" t="s">
        <v>198</v>
      </c>
      <c r="Q269" s="3" t="s">
        <v>39</v>
      </c>
      <c r="R269" s="3" t="s">
        <v>40</v>
      </c>
      <c r="S269" s="7">
        <v>19486.7</v>
      </c>
      <c r="T269" s="7">
        <v>0</v>
      </c>
      <c r="U269" s="7">
        <v>0</v>
      </c>
      <c r="V269" s="7">
        <v>19486.7</v>
      </c>
      <c r="W269" s="3">
        <v>0</v>
      </c>
    </row>
    <row r="270" spans="1:23" x14ac:dyDescent="0.35">
      <c r="A270" s="3" t="s">
        <v>443</v>
      </c>
      <c r="B270" s="3" t="s">
        <v>444</v>
      </c>
      <c r="C270" s="3" t="s">
        <v>449</v>
      </c>
      <c r="D270" s="3" t="s">
        <v>186</v>
      </c>
      <c r="E270" s="3" t="s">
        <v>187</v>
      </c>
      <c r="F270" s="3" t="s">
        <v>146</v>
      </c>
      <c r="G270" s="3" t="s">
        <v>188</v>
      </c>
      <c r="H270" s="3" t="s">
        <v>189</v>
      </c>
      <c r="I270" s="3" t="s">
        <v>190</v>
      </c>
      <c r="J270" s="3" t="s">
        <v>191</v>
      </c>
      <c r="K270" s="3" t="s">
        <v>33</v>
      </c>
      <c r="L270" s="3" t="s">
        <v>34</v>
      </c>
      <c r="M270" s="3" t="s">
        <v>450</v>
      </c>
      <c r="N270" s="3" t="s">
        <v>451</v>
      </c>
      <c r="O270" s="3" t="s">
        <v>197</v>
      </c>
      <c r="P270" s="3" t="s">
        <v>198</v>
      </c>
      <c r="Q270" s="3" t="s">
        <v>39</v>
      </c>
      <c r="R270" s="3" t="s">
        <v>40</v>
      </c>
      <c r="S270" s="7">
        <v>25400</v>
      </c>
      <c r="T270" s="7">
        <v>0</v>
      </c>
      <c r="U270" s="7">
        <v>0</v>
      </c>
      <c r="V270" s="7">
        <v>25400</v>
      </c>
      <c r="W270" s="3">
        <v>0</v>
      </c>
    </row>
    <row r="271" spans="1:23" x14ac:dyDescent="0.35">
      <c r="A271" s="3" t="s">
        <v>443</v>
      </c>
      <c r="B271" s="3" t="s">
        <v>444</v>
      </c>
      <c r="C271" s="3" t="s">
        <v>429</v>
      </c>
      <c r="D271" s="3" t="s">
        <v>200</v>
      </c>
      <c r="E271" s="3" t="s">
        <v>187</v>
      </c>
      <c r="F271" s="3" t="s">
        <v>189</v>
      </c>
      <c r="G271" s="3" t="s">
        <v>201</v>
      </c>
      <c r="H271" s="3" t="s">
        <v>189</v>
      </c>
      <c r="I271" s="3" t="s">
        <v>190</v>
      </c>
      <c r="J271" s="3" t="s">
        <v>202</v>
      </c>
      <c r="K271" s="3" t="s">
        <v>23</v>
      </c>
      <c r="L271" s="3" t="s">
        <v>203</v>
      </c>
      <c r="M271" s="3" t="s">
        <v>430</v>
      </c>
      <c r="N271" s="3" t="s">
        <v>431</v>
      </c>
      <c r="O271" s="3" t="s">
        <v>197</v>
      </c>
      <c r="P271" s="3" t="s">
        <v>198</v>
      </c>
      <c r="Q271" s="3" t="s">
        <v>39</v>
      </c>
      <c r="R271" s="3" t="s">
        <v>40</v>
      </c>
      <c r="S271" s="7">
        <v>6609.5</v>
      </c>
      <c r="T271" s="7">
        <v>6609.2078000000001</v>
      </c>
      <c r="U271" s="7">
        <v>6609.2078000000001</v>
      </c>
      <c r="V271" s="7">
        <v>0.29220000000000002</v>
      </c>
      <c r="W271" s="3">
        <v>100</v>
      </c>
    </row>
    <row r="272" spans="1:23" x14ac:dyDescent="0.35">
      <c r="A272" s="3" t="s">
        <v>443</v>
      </c>
      <c r="B272" s="3" t="s">
        <v>444</v>
      </c>
      <c r="C272" s="3" t="s">
        <v>199</v>
      </c>
      <c r="D272" s="3" t="s">
        <v>200</v>
      </c>
      <c r="E272" s="3" t="s">
        <v>187</v>
      </c>
      <c r="F272" s="3" t="s">
        <v>189</v>
      </c>
      <c r="G272" s="3" t="s">
        <v>201</v>
      </c>
      <c r="H272" s="3" t="s">
        <v>189</v>
      </c>
      <c r="I272" s="3" t="s">
        <v>190</v>
      </c>
      <c r="J272" s="3" t="s">
        <v>202</v>
      </c>
      <c r="K272" s="3" t="s">
        <v>23</v>
      </c>
      <c r="L272" s="3" t="s">
        <v>203</v>
      </c>
      <c r="M272" s="3" t="s">
        <v>204</v>
      </c>
      <c r="N272" s="3" t="s">
        <v>205</v>
      </c>
      <c r="O272" s="3" t="s">
        <v>197</v>
      </c>
      <c r="P272" s="3" t="s">
        <v>198</v>
      </c>
      <c r="Q272" s="3" t="s">
        <v>39</v>
      </c>
      <c r="R272" s="3" t="s">
        <v>40</v>
      </c>
      <c r="S272" s="7">
        <v>19701.3</v>
      </c>
      <c r="T272" s="7">
        <v>4924.8942999999999</v>
      </c>
      <c r="U272" s="7">
        <v>1641.7022999999999</v>
      </c>
      <c r="V272" s="7">
        <v>14776.405699999999</v>
      </c>
      <c r="W272" s="3">
        <v>25</v>
      </c>
    </row>
    <row r="273" spans="1:23" x14ac:dyDescent="0.35">
      <c r="A273" s="3" t="s">
        <v>443</v>
      </c>
      <c r="B273" s="3" t="s">
        <v>444</v>
      </c>
      <c r="C273" s="3" t="s">
        <v>206</v>
      </c>
      <c r="D273" s="3" t="s">
        <v>200</v>
      </c>
      <c r="E273" s="3" t="s">
        <v>187</v>
      </c>
      <c r="F273" s="3" t="s">
        <v>189</v>
      </c>
      <c r="G273" s="3" t="s">
        <v>201</v>
      </c>
      <c r="H273" s="3" t="s">
        <v>189</v>
      </c>
      <c r="I273" s="3" t="s">
        <v>190</v>
      </c>
      <c r="J273" s="3" t="s">
        <v>202</v>
      </c>
      <c r="K273" s="3" t="s">
        <v>23</v>
      </c>
      <c r="L273" s="3" t="s">
        <v>203</v>
      </c>
      <c r="M273" s="3" t="s">
        <v>207</v>
      </c>
      <c r="N273" s="3" t="s">
        <v>208</v>
      </c>
      <c r="O273" s="3" t="s">
        <v>197</v>
      </c>
      <c r="P273" s="3" t="s">
        <v>198</v>
      </c>
      <c r="Q273" s="3" t="s">
        <v>39</v>
      </c>
      <c r="R273" s="3" t="s">
        <v>40</v>
      </c>
      <c r="S273" s="7">
        <v>98275</v>
      </c>
      <c r="T273" s="7">
        <v>32789.599999999999</v>
      </c>
      <c r="U273" s="7">
        <v>24600</v>
      </c>
      <c r="V273" s="7">
        <v>65485.4</v>
      </c>
      <c r="W273" s="3">
        <v>33</v>
      </c>
    </row>
    <row r="274" spans="1:23" x14ac:dyDescent="0.35">
      <c r="A274" s="3" t="s">
        <v>443</v>
      </c>
      <c r="B274" s="3" t="s">
        <v>444</v>
      </c>
      <c r="C274" s="3" t="s">
        <v>209</v>
      </c>
      <c r="D274" s="3" t="s">
        <v>200</v>
      </c>
      <c r="E274" s="3" t="s">
        <v>187</v>
      </c>
      <c r="F274" s="3" t="s">
        <v>189</v>
      </c>
      <c r="G274" s="3" t="s">
        <v>201</v>
      </c>
      <c r="H274" s="3" t="s">
        <v>189</v>
      </c>
      <c r="I274" s="3" t="s">
        <v>190</v>
      </c>
      <c r="J274" s="3" t="s">
        <v>191</v>
      </c>
      <c r="K274" s="3" t="s">
        <v>33</v>
      </c>
      <c r="L274" s="3" t="s">
        <v>34</v>
      </c>
      <c r="M274" s="3" t="s">
        <v>210</v>
      </c>
      <c r="N274" s="3" t="s">
        <v>211</v>
      </c>
      <c r="O274" s="3" t="s">
        <v>108</v>
      </c>
      <c r="P274" s="3" t="s">
        <v>109</v>
      </c>
      <c r="Q274" s="3" t="s">
        <v>39</v>
      </c>
      <c r="R274" s="3" t="s">
        <v>40</v>
      </c>
      <c r="S274" s="7">
        <v>5474469.7000000002</v>
      </c>
      <c r="T274" s="7">
        <v>1216022.5549000001</v>
      </c>
      <c r="U274" s="7">
        <v>445420.1508</v>
      </c>
      <c r="V274" s="7">
        <v>4258447.1451000003</v>
      </c>
      <c r="W274" s="3">
        <v>22</v>
      </c>
    </row>
    <row r="275" spans="1:23" x14ac:dyDescent="0.35">
      <c r="A275" s="3" t="s">
        <v>443</v>
      </c>
      <c r="B275" s="3" t="s">
        <v>444</v>
      </c>
      <c r="C275" s="3" t="s">
        <v>212</v>
      </c>
      <c r="D275" s="3" t="s">
        <v>200</v>
      </c>
      <c r="E275" s="3" t="s">
        <v>187</v>
      </c>
      <c r="F275" s="3" t="s">
        <v>189</v>
      </c>
      <c r="G275" s="3" t="s">
        <v>201</v>
      </c>
      <c r="H275" s="3" t="s">
        <v>189</v>
      </c>
      <c r="I275" s="3" t="s">
        <v>190</v>
      </c>
      <c r="J275" s="3" t="s">
        <v>191</v>
      </c>
      <c r="K275" s="3" t="s">
        <v>33</v>
      </c>
      <c r="L275" s="3" t="s">
        <v>34</v>
      </c>
      <c r="M275" s="3" t="s">
        <v>213</v>
      </c>
      <c r="N275" s="3" t="s">
        <v>214</v>
      </c>
      <c r="O275" s="3" t="s">
        <v>108</v>
      </c>
      <c r="P275" s="3" t="s">
        <v>109</v>
      </c>
      <c r="Q275" s="3" t="s">
        <v>39</v>
      </c>
      <c r="R275" s="3" t="s">
        <v>40</v>
      </c>
      <c r="S275" s="7">
        <v>183013.6</v>
      </c>
      <c r="T275" s="7">
        <v>35480.6659</v>
      </c>
      <c r="U275" s="7">
        <v>15747.1747</v>
      </c>
      <c r="V275" s="7">
        <v>147532.93410000001</v>
      </c>
      <c r="W275" s="3">
        <v>19</v>
      </c>
    </row>
    <row r="276" spans="1:23" x14ac:dyDescent="0.35">
      <c r="A276" s="3" t="s">
        <v>443</v>
      </c>
      <c r="B276" s="3" t="s">
        <v>444</v>
      </c>
      <c r="C276" s="3" t="s">
        <v>215</v>
      </c>
      <c r="D276" s="3" t="s">
        <v>200</v>
      </c>
      <c r="E276" s="3" t="s">
        <v>187</v>
      </c>
      <c r="F276" s="3" t="s">
        <v>189</v>
      </c>
      <c r="G276" s="3" t="s">
        <v>201</v>
      </c>
      <c r="H276" s="3" t="s">
        <v>189</v>
      </c>
      <c r="I276" s="3" t="s">
        <v>190</v>
      </c>
      <c r="J276" s="3" t="s">
        <v>191</v>
      </c>
      <c r="K276" s="3" t="s">
        <v>33</v>
      </c>
      <c r="L276" s="3" t="s">
        <v>34</v>
      </c>
      <c r="M276" s="3" t="s">
        <v>216</v>
      </c>
      <c r="N276" s="3" t="s">
        <v>217</v>
      </c>
      <c r="O276" s="3" t="s">
        <v>108</v>
      </c>
      <c r="P276" s="3" t="s">
        <v>109</v>
      </c>
      <c r="Q276" s="3" t="s">
        <v>39</v>
      </c>
      <c r="R276" s="3" t="s">
        <v>40</v>
      </c>
      <c r="S276" s="7">
        <v>88494.399999999994</v>
      </c>
      <c r="T276" s="7">
        <v>21160.498800000001</v>
      </c>
      <c r="U276" s="7">
        <v>6574.2809999999999</v>
      </c>
      <c r="V276" s="7">
        <v>67333.901199999993</v>
      </c>
      <c r="W276" s="3">
        <v>24</v>
      </c>
    </row>
    <row r="277" spans="1:23" x14ac:dyDescent="0.35">
      <c r="A277" s="3" t="s">
        <v>443</v>
      </c>
      <c r="B277" s="3" t="s">
        <v>444</v>
      </c>
      <c r="C277" s="3" t="s">
        <v>218</v>
      </c>
      <c r="D277" s="3" t="s">
        <v>200</v>
      </c>
      <c r="E277" s="3" t="s">
        <v>187</v>
      </c>
      <c r="F277" s="3" t="s">
        <v>189</v>
      </c>
      <c r="G277" s="3" t="s">
        <v>201</v>
      </c>
      <c r="H277" s="3" t="s">
        <v>189</v>
      </c>
      <c r="I277" s="3" t="s">
        <v>190</v>
      </c>
      <c r="J277" s="3" t="s">
        <v>191</v>
      </c>
      <c r="K277" s="3" t="s">
        <v>33</v>
      </c>
      <c r="L277" s="3" t="s">
        <v>34</v>
      </c>
      <c r="M277" s="3" t="s">
        <v>219</v>
      </c>
      <c r="N277" s="3" t="s">
        <v>220</v>
      </c>
      <c r="O277" s="3" t="s">
        <v>221</v>
      </c>
      <c r="P277" s="3" t="s">
        <v>222</v>
      </c>
      <c r="Q277" s="3" t="s">
        <v>39</v>
      </c>
      <c r="R277" s="3" t="s">
        <v>40</v>
      </c>
      <c r="S277" s="7">
        <v>1102.9000000000001</v>
      </c>
      <c r="T277" s="7">
        <v>0</v>
      </c>
      <c r="U277" s="7">
        <v>0</v>
      </c>
      <c r="V277" s="7">
        <v>1102.9000000000001</v>
      </c>
      <c r="W277" s="3">
        <v>0</v>
      </c>
    </row>
    <row r="278" spans="1:23" x14ac:dyDescent="0.35">
      <c r="A278" s="3" t="s">
        <v>443</v>
      </c>
      <c r="B278" s="3" t="s">
        <v>444</v>
      </c>
      <c r="C278" s="3" t="s">
        <v>223</v>
      </c>
      <c r="D278" s="3" t="s">
        <v>200</v>
      </c>
      <c r="E278" s="3" t="s">
        <v>187</v>
      </c>
      <c r="F278" s="3" t="s">
        <v>189</v>
      </c>
      <c r="G278" s="3" t="s">
        <v>201</v>
      </c>
      <c r="H278" s="3" t="s">
        <v>189</v>
      </c>
      <c r="I278" s="3" t="s">
        <v>190</v>
      </c>
      <c r="J278" s="3" t="s">
        <v>191</v>
      </c>
      <c r="K278" s="3" t="s">
        <v>33</v>
      </c>
      <c r="L278" s="3" t="s">
        <v>34</v>
      </c>
      <c r="M278" s="3" t="s">
        <v>224</v>
      </c>
      <c r="N278" s="3" t="s">
        <v>225</v>
      </c>
      <c r="O278" s="3" t="s">
        <v>197</v>
      </c>
      <c r="P278" s="3" t="s">
        <v>198</v>
      </c>
      <c r="Q278" s="3" t="s">
        <v>39</v>
      </c>
      <c r="R278" s="3" t="s">
        <v>40</v>
      </c>
      <c r="S278" s="7">
        <v>123977.4</v>
      </c>
      <c r="T278" s="7">
        <v>0</v>
      </c>
      <c r="U278" s="7">
        <v>0</v>
      </c>
      <c r="V278" s="7">
        <v>123977.4</v>
      </c>
      <c r="W278" s="3">
        <v>0</v>
      </c>
    </row>
    <row r="279" spans="1:23" x14ac:dyDescent="0.35">
      <c r="A279" s="3" t="s">
        <v>443</v>
      </c>
      <c r="B279" s="3" t="s">
        <v>444</v>
      </c>
      <c r="C279" s="3" t="s">
        <v>432</v>
      </c>
      <c r="D279" s="3" t="s">
        <v>200</v>
      </c>
      <c r="E279" s="3" t="s">
        <v>187</v>
      </c>
      <c r="F279" s="3" t="s">
        <v>189</v>
      </c>
      <c r="G279" s="3" t="s">
        <v>201</v>
      </c>
      <c r="H279" s="3" t="s">
        <v>189</v>
      </c>
      <c r="I279" s="3" t="s">
        <v>190</v>
      </c>
      <c r="J279" s="3" t="s">
        <v>191</v>
      </c>
      <c r="K279" s="3" t="s">
        <v>33</v>
      </c>
      <c r="L279" s="3" t="s">
        <v>34</v>
      </c>
      <c r="M279" s="3" t="s">
        <v>427</v>
      </c>
      <c r="N279" s="3" t="s">
        <v>428</v>
      </c>
      <c r="O279" s="3" t="s">
        <v>197</v>
      </c>
      <c r="P279" s="3" t="s">
        <v>198</v>
      </c>
      <c r="Q279" s="3" t="s">
        <v>39</v>
      </c>
      <c r="R279" s="3" t="s">
        <v>40</v>
      </c>
      <c r="S279" s="7">
        <v>23605.9</v>
      </c>
      <c r="T279" s="7">
        <v>44.14</v>
      </c>
      <c r="U279" s="7">
        <v>44.14</v>
      </c>
      <c r="V279" s="7">
        <v>23561.759999999998</v>
      </c>
      <c r="W279" s="3">
        <v>0</v>
      </c>
    </row>
    <row r="280" spans="1:23" x14ac:dyDescent="0.35">
      <c r="A280" s="3" t="s">
        <v>443</v>
      </c>
      <c r="B280" s="3" t="s">
        <v>444</v>
      </c>
      <c r="C280" s="3" t="s">
        <v>226</v>
      </c>
      <c r="D280" s="3" t="s">
        <v>200</v>
      </c>
      <c r="E280" s="3" t="s">
        <v>187</v>
      </c>
      <c r="F280" s="3" t="s">
        <v>189</v>
      </c>
      <c r="G280" s="3" t="s">
        <v>201</v>
      </c>
      <c r="H280" s="3" t="s">
        <v>189</v>
      </c>
      <c r="I280" s="3" t="s">
        <v>190</v>
      </c>
      <c r="J280" s="3" t="s">
        <v>191</v>
      </c>
      <c r="K280" s="3" t="s">
        <v>33</v>
      </c>
      <c r="L280" s="3" t="s">
        <v>34</v>
      </c>
      <c r="M280" s="3" t="s">
        <v>227</v>
      </c>
      <c r="N280" s="3" t="s">
        <v>228</v>
      </c>
      <c r="O280" s="3" t="s">
        <v>197</v>
      </c>
      <c r="P280" s="3" t="s">
        <v>198</v>
      </c>
      <c r="Q280" s="3" t="s">
        <v>39</v>
      </c>
      <c r="R280" s="3" t="s">
        <v>40</v>
      </c>
      <c r="S280" s="7">
        <v>115733.1</v>
      </c>
      <c r="T280" s="7">
        <v>526.04999999999995</v>
      </c>
      <c r="U280" s="7">
        <v>526.04999999999995</v>
      </c>
      <c r="V280" s="7">
        <v>115207.05</v>
      </c>
      <c r="W280" s="3">
        <v>0</v>
      </c>
    </row>
    <row r="281" spans="1:23" x14ac:dyDescent="0.35">
      <c r="A281" s="3" t="s">
        <v>443</v>
      </c>
      <c r="B281" s="3" t="s">
        <v>444</v>
      </c>
      <c r="C281" s="3" t="s">
        <v>229</v>
      </c>
      <c r="D281" s="3" t="s">
        <v>200</v>
      </c>
      <c r="E281" s="3" t="s">
        <v>187</v>
      </c>
      <c r="F281" s="3" t="s">
        <v>189</v>
      </c>
      <c r="G281" s="3" t="s">
        <v>201</v>
      </c>
      <c r="H281" s="3" t="s">
        <v>189</v>
      </c>
      <c r="I281" s="3" t="s">
        <v>190</v>
      </c>
      <c r="J281" s="3" t="s">
        <v>191</v>
      </c>
      <c r="K281" s="3" t="s">
        <v>33</v>
      </c>
      <c r="L281" s="3" t="s">
        <v>34</v>
      </c>
      <c r="M281" s="3" t="s">
        <v>195</v>
      </c>
      <c r="N281" s="3" t="s">
        <v>196</v>
      </c>
      <c r="O281" s="3" t="s">
        <v>197</v>
      </c>
      <c r="P281" s="3" t="s">
        <v>198</v>
      </c>
      <c r="Q281" s="3" t="s">
        <v>39</v>
      </c>
      <c r="R281" s="3" t="s">
        <v>40</v>
      </c>
      <c r="S281" s="7">
        <v>29599.599999999999</v>
      </c>
      <c r="T281" s="7">
        <v>0</v>
      </c>
      <c r="U281" s="7">
        <v>0</v>
      </c>
      <c r="V281" s="7">
        <v>29599.599999999999</v>
      </c>
      <c r="W281" s="3">
        <v>0</v>
      </c>
    </row>
    <row r="282" spans="1:23" x14ac:dyDescent="0.35">
      <c r="A282" s="3" t="s">
        <v>443</v>
      </c>
      <c r="B282" s="3" t="s">
        <v>444</v>
      </c>
      <c r="C282" s="3" t="s">
        <v>433</v>
      </c>
      <c r="D282" s="3" t="s">
        <v>200</v>
      </c>
      <c r="E282" s="3" t="s">
        <v>187</v>
      </c>
      <c r="F282" s="3" t="s">
        <v>189</v>
      </c>
      <c r="G282" s="3" t="s">
        <v>201</v>
      </c>
      <c r="H282" s="3" t="s">
        <v>189</v>
      </c>
      <c r="I282" s="3" t="s">
        <v>190</v>
      </c>
      <c r="J282" s="3" t="s">
        <v>191</v>
      </c>
      <c r="K282" s="3" t="s">
        <v>33</v>
      </c>
      <c r="L282" s="3" t="s">
        <v>34</v>
      </c>
      <c r="M282" s="3" t="s">
        <v>434</v>
      </c>
      <c r="N282" s="3" t="s">
        <v>435</v>
      </c>
      <c r="O282" s="3" t="s">
        <v>197</v>
      </c>
      <c r="P282" s="3" t="s">
        <v>198</v>
      </c>
      <c r="Q282" s="3" t="s">
        <v>39</v>
      </c>
      <c r="R282" s="3" t="s">
        <v>40</v>
      </c>
      <c r="S282" s="7">
        <v>14900</v>
      </c>
      <c r="T282" s="7">
        <v>0</v>
      </c>
      <c r="U282" s="7">
        <v>0</v>
      </c>
      <c r="V282" s="7">
        <v>14900</v>
      </c>
      <c r="W282" s="3">
        <v>0</v>
      </c>
    </row>
    <row r="283" spans="1:23" x14ac:dyDescent="0.35">
      <c r="A283" s="3" t="s">
        <v>443</v>
      </c>
      <c r="B283" s="3" t="s">
        <v>444</v>
      </c>
      <c r="C283" s="3" t="s">
        <v>230</v>
      </c>
      <c r="D283" s="3" t="s">
        <v>200</v>
      </c>
      <c r="E283" s="3" t="s">
        <v>187</v>
      </c>
      <c r="F283" s="3" t="s">
        <v>189</v>
      </c>
      <c r="G283" s="3" t="s">
        <v>201</v>
      </c>
      <c r="H283" s="3" t="s">
        <v>28</v>
      </c>
      <c r="I283" s="3" t="s">
        <v>231</v>
      </c>
      <c r="J283" s="3" t="s">
        <v>232</v>
      </c>
      <c r="K283" s="3" t="s">
        <v>33</v>
      </c>
      <c r="L283" s="3" t="s">
        <v>51</v>
      </c>
      <c r="M283" s="3" t="s">
        <v>233</v>
      </c>
      <c r="N283" s="3" t="s">
        <v>234</v>
      </c>
      <c r="O283" s="3" t="s">
        <v>197</v>
      </c>
      <c r="P283" s="3" t="s">
        <v>198</v>
      </c>
      <c r="Q283" s="3" t="s">
        <v>39</v>
      </c>
      <c r="R283" s="3" t="s">
        <v>40</v>
      </c>
      <c r="S283" s="7">
        <v>340444.3</v>
      </c>
      <c r="T283" s="7">
        <v>79178.498699999996</v>
      </c>
      <c r="U283" s="7">
        <v>33512.953000000001</v>
      </c>
      <c r="V283" s="7">
        <v>261265.80129999999</v>
      </c>
      <c r="W283" s="3">
        <v>23</v>
      </c>
    </row>
    <row r="284" spans="1:23" x14ac:dyDescent="0.35">
      <c r="A284" s="3" t="s">
        <v>443</v>
      </c>
      <c r="B284" s="3" t="s">
        <v>444</v>
      </c>
      <c r="C284" s="3" t="s">
        <v>235</v>
      </c>
      <c r="D284" s="3" t="s">
        <v>200</v>
      </c>
      <c r="E284" s="3" t="s">
        <v>187</v>
      </c>
      <c r="F284" s="3" t="s">
        <v>189</v>
      </c>
      <c r="G284" s="3" t="s">
        <v>201</v>
      </c>
      <c r="H284" s="3" t="s">
        <v>28</v>
      </c>
      <c r="I284" s="3" t="s">
        <v>231</v>
      </c>
      <c r="J284" s="3" t="s">
        <v>232</v>
      </c>
      <c r="K284" s="3" t="s">
        <v>33</v>
      </c>
      <c r="L284" s="3" t="s">
        <v>51</v>
      </c>
      <c r="M284" s="3" t="s">
        <v>236</v>
      </c>
      <c r="N284" s="3" t="s">
        <v>237</v>
      </c>
      <c r="O284" s="3" t="s">
        <v>197</v>
      </c>
      <c r="P284" s="3" t="s">
        <v>198</v>
      </c>
      <c r="Q284" s="3" t="s">
        <v>39</v>
      </c>
      <c r="R284" s="3" t="s">
        <v>40</v>
      </c>
      <c r="S284" s="7">
        <v>188979.20000000001</v>
      </c>
      <c r="T284" s="7">
        <v>74513.410900000003</v>
      </c>
      <c r="U284" s="7">
        <v>41694.103000000003</v>
      </c>
      <c r="V284" s="7">
        <v>114465.78909999999</v>
      </c>
      <c r="W284" s="3">
        <v>39</v>
      </c>
    </row>
    <row r="285" spans="1:23" x14ac:dyDescent="0.35">
      <c r="A285" s="3" t="s">
        <v>443</v>
      </c>
      <c r="B285" s="3" t="s">
        <v>444</v>
      </c>
      <c r="C285" s="3" t="s">
        <v>238</v>
      </c>
      <c r="D285" s="3" t="s">
        <v>239</v>
      </c>
      <c r="E285" s="3" t="s">
        <v>187</v>
      </c>
      <c r="F285" s="3" t="s">
        <v>28</v>
      </c>
      <c r="G285" s="3" t="s">
        <v>240</v>
      </c>
      <c r="H285" s="3" t="s">
        <v>189</v>
      </c>
      <c r="I285" s="3" t="s">
        <v>190</v>
      </c>
      <c r="J285" s="3" t="s">
        <v>191</v>
      </c>
      <c r="K285" s="3" t="s">
        <v>33</v>
      </c>
      <c r="L285" s="3" t="s">
        <v>34</v>
      </c>
      <c r="M285" s="3" t="s">
        <v>241</v>
      </c>
      <c r="N285" s="3" t="s">
        <v>242</v>
      </c>
      <c r="O285" s="3" t="s">
        <v>108</v>
      </c>
      <c r="P285" s="3" t="s">
        <v>109</v>
      </c>
      <c r="Q285" s="3" t="s">
        <v>39</v>
      </c>
      <c r="R285" s="3" t="s">
        <v>40</v>
      </c>
      <c r="S285" s="7">
        <v>300340.90000000002</v>
      </c>
      <c r="T285" s="7">
        <v>55950.7402</v>
      </c>
      <c r="U285" s="7">
        <v>24189.7595</v>
      </c>
      <c r="V285" s="7">
        <v>244390.15979999999</v>
      </c>
      <c r="W285" s="3">
        <v>19</v>
      </c>
    </row>
    <row r="286" spans="1:23" x14ac:dyDescent="0.35">
      <c r="A286" s="3" t="s">
        <v>443</v>
      </c>
      <c r="B286" s="3" t="s">
        <v>444</v>
      </c>
      <c r="C286" s="3" t="s">
        <v>243</v>
      </c>
      <c r="D286" s="3" t="s">
        <v>244</v>
      </c>
      <c r="E286" s="3" t="s">
        <v>187</v>
      </c>
      <c r="F286" s="3" t="s">
        <v>245</v>
      </c>
      <c r="G286" s="3" t="s">
        <v>246</v>
      </c>
      <c r="H286" s="3" t="s">
        <v>66</v>
      </c>
      <c r="I286" s="3" t="s">
        <v>67</v>
      </c>
      <c r="J286" s="3" t="s">
        <v>68</v>
      </c>
      <c r="K286" s="3" t="s">
        <v>33</v>
      </c>
      <c r="L286" s="3" t="s">
        <v>51</v>
      </c>
      <c r="M286" s="3" t="s">
        <v>247</v>
      </c>
      <c r="N286" s="3" t="s">
        <v>248</v>
      </c>
      <c r="O286" s="3" t="s">
        <v>108</v>
      </c>
      <c r="P286" s="3" t="s">
        <v>109</v>
      </c>
      <c r="Q286" s="3" t="s">
        <v>39</v>
      </c>
      <c r="R286" s="3" t="s">
        <v>40</v>
      </c>
      <c r="S286" s="7">
        <v>241260.4</v>
      </c>
      <c r="T286" s="7">
        <v>26687.333600000002</v>
      </c>
      <c r="U286" s="7">
        <v>13273.4602</v>
      </c>
      <c r="V286" s="7">
        <v>214573.06640000001</v>
      </c>
      <c r="W286" s="3">
        <v>11</v>
      </c>
    </row>
    <row r="287" spans="1:23" x14ac:dyDescent="0.35">
      <c r="A287" s="3" t="s">
        <v>443</v>
      </c>
      <c r="B287" s="3" t="s">
        <v>444</v>
      </c>
      <c r="C287" s="3" t="s">
        <v>249</v>
      </c>
      <c r="D287" s="3" t="s">
        <v>244</v>
      </c>
      <c r="E287" s="3" t="s">
        <v>187</v>
      </c>
      <c r="F287" s="3" t="s">
        <v>245</v>
      </c>
      <c r="G287" s="3" t="s">
        <v>246</v>
      </c>
      <c r="H287" s="3" t="s">
        <v>66</v>
      </c>
      <c r="I287" s="3" t="s">
        <v>67</v>
      </c>
      <c r="J287" s="3" t="s">
        <v>68</v>
      </c>
      <c r="K287" s="3" t="s">
        <v>33</v>
      </c>
      <c r="L287" s="3" t="s">
        <v>51</v>
      </c>
      <c r="M287" s="3" t="s">
        <v>250</v>
      </c>
      <c r="N287" s="3" t="s">
        <v>251</v>
      </c>
      <c r="O287" s="3" t="s">
        <v>197</v>
      </c>
      <c r="P287" s="3" t="s">
        <v>198</v>
      </c>
      <c r="Q287" s="3" t="s">
        <v>39</v>
      </c>
      <c r="R287" s="3" t="s">
        <v>40</v>
      </c>
      <c r="S287" s="7">
        <v>82757.8</v>
      </c>
      <c r="T287" s="7">
        <v>0</v>
      </c>
      <c r="U287" s="7">
        <v>0</v>
      </c>
      <c r="V287" s="7">
        <v>82757.8</v>
      </c>
      <c r="W287" s="3">
        <v>0</v>
      </c>
    </row>
    <row r="288" spans="1:23" x14ac:dyDescent="0.35">
      <c r="A288" s="3" t="s">
        <v>443</v>
      </c>
      <c r="B288" s="3" t="s">
        <v>444</v>
      </c>
      <c r="C288" s="3" t="s">
        <v>252</v>
      </c>
      <c r="D288" s="3" t="s">
        <v>244</v>
      </c>
      <c r="E288" s="3" t="s">
        <v>187</v>
      </c>
      <c r="F288" s="3" t="s">
        <v>245</v>
      </c>
      <c r="G288" s="3" t="s">
        <v>246</v>
      </c>
      <c r="H288" s="3" t="s">
        <v>66</v>
      </c>
      <c r="I288" s="3" t="s">
        <v>67</v>
      </c>
      <c r="J288" s="3" t="s">
        <v>68</v>
      </c>
      <c r="K288" s="3" t="s">
        <v>33</v>
      </c>
      <c r="L288" s="3" t="s">
        <v>51</v>
      </c>
      <c r="M288" s="3" t="s">
        <v>253</v>
      </c>
      <c r="N288" s="3" t="s">
        <v>254</v>
      </c>
      <c r="O288" s="3" t="s">
        <v>197</v>
      </c>
      <c r="P288" s="3" t="s">
        <v>198</v>
      </c>
      <c r="Q288" s="3" t="s">
        <v>39</v>
      </c>
      <c r="R288" s="3" t="s">
        <v>40</v>
      </c>
      <c r="S288" s="7">
        <v>1724.3</v>
      </c>
      <c r="T288" s="7">
        <v>0</v>
      </c>
      <c r="U288" s="7">
        <v>0</v>
      </c>
      <c r="V288" s="7">
        <v>1724.3</v>
      </c>
      <c r="W288" s="3">
        <v>0</v>
      </c>
    </row>
    <row r="289" spans="1:23" x14ac:dyDescent="0.35">
      <c r="A289" s="3" t="s">
        <v>443</v>
      </c>
      <c r="B289" s="3" t="s">
        <v>444</v>
      </c>
      <c r="C289" s="3" t="s">
        <v>255</v>
      </c>
      <c r="D289" s="3" t="s">
        <v>244</v>
      </c>
      <c r="E289" s="3" t="s">
        <v>187</v>
      </c>
      <c r="F289" s="3" t="s">
        <v>245</v>
      </c>
      <c r="G289" s="3" t="s">
        <v>246</v>
      </c>
      <c r="H289" s="3" t="s">
        <v>66</v>
      </c>
      <c r="I289" s="3" t="s">
        <v>67</v>
      </c>
      <c r="J289" s="3" t="s">
        <v>68</v>
      </c>
      <c r="K289" s="3" t="s">
        <v>33</v>
      </c>
      <c r="L289" s="3" t="s">
        <v>51</v>
      </c>
      <c r="M289" s="3" t="s">
        <v>256</v>
      </c>
      <c r="N289" s="3" t="s">
        <v>257</v>
      </c>
      <c r="O289" s="3" t="s">
        <v>197</v>
      </c>
      <c r="P289" s="3" t="s">
        <v>198</v>
      </c>
      <c r="Q289" s="3" t="s">
        <v>39</v>
      </c>
      <c r="R289" s="3" t="s">
        <v>40</v>
      </c>
      <c r="S289" s="7">
        <v>23957.3</v>
      </c>
      <c r="T289" s="7">
        <v>0</v>
      </c>
      <c r="U289" s="7">
        <v>0</v>
      </c>
      <c r="V289" s="7">
        <v>23957.3</v>
      </c>
      <c r="W289" s="3">
        <v>0</v>
      </c>
    </row>
    <row r="290" spans="1:23" x14ac:dyDescent="0.35">
      <c r="A290" s="3" t="s">
        <v>443</v>
      </c>
      <c r="B290" s="3" t="s">
        <v>444</v>
      </c>
      <c r="C290" s="3" t="s">
        <v>258</v>
      </c>
      <c r="D290" s="3" t="s">
        <v>259</v>
      </c>
      <c r="E290" s="3" t="s">
        <v>187</v>
      </c>
      <c r="F290" s="3" t="s">
        <v>116</v>
      </c>
      <c r="G290" s="3" t="s">
        <v>260</v>
      </c>
      <c r="H290" s="3" t="s">
        <v>189</v>
      </c>
      <c r="I290" s="3" t="s">
        <v>190</v>
      </c>
      <c r="J290" s="3" t="s">
        <v>202</v>
      </c>
      <c r="K290" s="3" t="s">
        <v>23</v>
      </c>
      <c r="L290" s="3" t="s">
        <v>203</v>
      </c>
      <c r="M290" s="3" t="s">
        <v>261</v>
      </c>
      <c r="N290" s="3" t="s">
        <v>262</v>
      </c>
      <c r="O290" s="3" t="s">
        <v>197</v>
      </c>
      <c r="P290" s="3" t="s">
        <v>198</v>
      </c>
      <c r="Q290" s="3" t="s">
        <v>39</v>
      </c>
      <c r="R290" s="3" t="s">
        <v>40</v>
      </c>
      <c r="S290" s="7">
        <v>3437.3</v>
      </c>
      <c r="T290" s="7">
        <v>859.28</v>
      </c>
      <c r="U290" s="7">
        <v>286.39999999999998</v>
      </c>
      <c r="V290" s="7">
        <v>2578.02</v>
      </c>
      <c r="W290" s="3">
        <v>25</v>
      </c>
    </row>
    <row r="291" spans="1:23" x14ac:dyDescent="0.35">
      <c r="A291" s="3" t="s">
        <v>443</v>
      </c>
      <c r="B291" s="3" t="s">
        <v>444</v>
      </c>
      <c r="C291" s="3" t="s">
        <v>263</v>
      </c>
      <c r="D291" s="3" t="s">
        <v>259</v>
      </c>
      <c r="E291" s="3" t="s">
        <v>187</v>
      </c>
      <c r="F291" s="3" t="s">
        <v>116</v>
      </c>
      <c r="G291" s="3" t="s">
        <v>260</v>
      </c>
      <c r="H291" s="3" t="s">
        <v>189</v>
      </c>
      <c r="I291" s="3" t="s">
        <v>190</v>
      </c>
      <c r="J291" s="3" t="s">
        <v>191</v>
      </c>
      <c r="K291" s="3" t="s">
        <v>33</v>
      </c>
      <c r="L291" s="3" t="s">
        <v>34</v>
      </c>
      <c r="M291" s="3" t="s">
        <v>264</v>
      </c>
      <c r="N291" s="3" t="s">
        <v>265</v>
      </c>
      <c r="O291" s="3" t="s">
        <v>197</v>
      </c>
      <c r="P291" s="3" t="s">
        <v>198</v>
      </c>
      <c r="Q291" s="3" t="s">
        <v>39</v>
      </c>
      <c r="R291" s="3" t="s">
        <v>40</v>
      </c>
      <c r="S291" s="7">
        <v>1718.3</v>
      </c>
      <c r="T291" s="7">
        <v>0</v>
      </c>
      <c r="U291" s="7">
        <v>0</v>
      </c>
      <c r="V291" s="7">
        <v>1718.3</v>
      </c>
      <c r="W291" s="3">
        <v>0</v>
      </c>
    </row>
    <row r="292" spans="1:23" x14ac:dyDescent="0.35">
      <c r="A292" s="3" t="s">
        <v>443</v>
      </c>
      <c r="B292" s="3" t="s">
        <v>444</v>
      </c>
      <c r="C292" s="3" t="s">
        <v>266</v>
      </c>
      <c r="D292" s="3" t="s">
        <v>259</v>
      </c>
      <c r="E292" s="3" t="s">
        <v>187</v>
      </c>
      <c r="F292" s="3" t="s">
        <v>116</v>
      </c>
      <c r="G292" s="3" t="s">
        <v>260</v>
      </c>
      <c r="H292" s="3" t="s">
        <v>189</v>
      </c>
      <c r="I292" s="3" t="s">
        <v>190</v>
      </c>
      <c r="J292" s="3" t="s">
        <v>191</v>
      </c>
      <c r="K292" s="3" t="s">
        <v>33</v>
      </c>
      <c r="L292" s="3" t="s">
        <v>34</v>
      </c>
      <c r="M292" s="3" t="s">
        <v>267</v>
      </c>
      <c r="N292" s="3" t="s">
        <v>268</v>
      </c>
      <c r="O292" s="3" t="s">
        <v>37</v>
      </c>
      <c r="P292" s="3" t="s">
        <v>38</v>
      </c>
      <c r="Q292" s="3" t="s">
        <v>39</v>
      </c>
      <c r="R292" s="3" t="s">
        <v>40</v>
      </c>
      <c r="S292" s="7">
        <v>95084.9</v>
      </c>
      <c r="T292" s="7">
        <v>0</v>
      </c>
      <c r="U292" s="7">
        <v>0</v>
      </c>
      <c r="V292" s="7">
        <v>95084.9</v>
      </c>
      <c r="W292" s="3">
        <v>0</v>
      </c>
    </row>
    <row r="293" spans="1:23" x14ac:dyDescent="0.35">
      <c r="A293" s="3" t="s">
        <v>443</v>
      </c>
      <c r="B293" s="3" t="s">
        <v>444</v>
      </c>
      <c r="C293" s="3" t="s">
        <v>269</v>
      </c>
      <c r="D293" s="3" t="s">
        <v>259</v>
      </c>
      <c r="E293" s="3" t="s">
        <v>187</v>
      </c>
      <c r="F293" s="3" t="s">
        <v>116</v>
      </c>
      <c r="G293" s="3" t="s">
        <v>260</v>
      </c>
      <c r="H293" s="3" t="s">
        <v>189</v>
      </c>
      <c r="I293" s="3" t="s">
        <v>190</v>
      </c>
      <c r="J293" s="3" t="s">
        <v>191</v>
      </c>
      <c r="K293" s="3" t="s">
        <v>33</v>
      </c>
      <c r="L293" s="3" t="s">
        <v>34</v>
      </c>
      <c r="M293" s="3" t="s">
        <v>267</v>
      </c>
      <c r="N293" s="3" t="s">
        <v>268</v>
      </c>
      <c r="O293" s="3" t="s">
        <v>197</v>
      </c>
      <c r="P293" s="3" t="s">
        <v>198</v>
      </c>
      <c r="Q293" s="3" t="s">
        <v>39</v>
      </c>
      <c r="R293" s="3" t="s">
        <v>40</v>
      </c>
      <c r="S293" s="7">
        <v>14782.4</v>
      </c>
      <c r="T293" s="7">
        <v>0</v>
      </c>
      <c r="U293" s="7">
        <v>0</v>
      </c>
      <c r="V293" s="7">
        <v>14782.4</v>
      </c>
      <c r="W293" s="3">
        <v>0</v>
      </c>
    </row>
    <row r="294" spans="1:23" x14ac:dyDescent="0.35">
      <c r="A294" s="3" t="s">
        <v>443</v>
      </c>
      <c r="B294" s="3" t="s">
        <v>444</v>
      </c>
      <c r="C294" s="3" t="s">
        <v>270</v>
      </c>
      <c r="D294" s="3" t="s">
        <v>259</v>
      </c>
      <c r="E294" s="3" t="s">
        <v>187</v>
      </c>
      <c r="F294" s="3" t="s">
        <v>116</v>
      </c>
      <c r="G294" s="3" t="s">
        <v>260</v>
      </c>
      <c r="H294" s="3" t="s">
        <v>189</v>
      </c>
      <c r="I294" s="3" t="s">
        <v>190</v>
      </c>
      <c r="J294" s="3" t="s">
        <v>191</v>
      </c>
      <c r="K294" s="3" t="s">
        <v>33</v>
      </c>
      <c r="L294" s="3" t="s">
        <v>34</v>
      </c>
      <c r="M294" s="3" t="s">
        <v>271</v>
      </c>
      <c r="N294" s="3" t="s">
        <v>272</v>
      </c>
      <c r="O294" s="3" t="s">
        <v>108</v>
      </c>
      <c r="P294" s="3" t="s">
        <v>109</v>
      </c>
      <c r="Q294" s="3" t="s">
        <v>39</v>
      </c>
      <c r="R294" s="3" t="s">
        <v>40</v>
      </c>
      <c r="S294" s="7">
        <v>46883.7</v>
      </c>
      <c r="T294" s="7">
        <v>12512.3997</v>
      </c>
      <c r="U294" s="7">
        <v>4003.9429</v>
      </c>
      <c r="V294" s="7">
        <v>34371.300300000003</v>
      </c>
      <c r="W294" s="3">
        <v>27</v>
      </c>
    </row>
    <row r="295" spans="1:23" x14ac:dyDescent="0.35">
      <c r="A295" s="3" t="s">
        <v>443</v>
      </c>
      <c r="B295" s="3" t="s">
        <v>444</v>
      </c>
      <c r="C295" s="3" t="s">
        <v>273</v>
      </c>
      <c r="D295" s="3" t="s">
        <v>259</v>
      </c>
      <c r="E295" s="3" t="s">
        <v>187</v>
      </c>
      <c r="F295" s="3" t="s">
        <v>116</v>
      </c>
      <c r="G295" s="3" t="s">
        <v>260</v>
      </c>
      <c r="H295" s="3" t="s">
        <v>189</v>
      </c>
      <c r="I295" s="3" t="s">
        <v>190</v>
      </c>
      <c r="J295" s="3" t="s">
        <v>191</v>
      </c>
      <c r="K295" s="3" t="s">
        <v>33</v>
      </c>
      <c r="L295" s="3" t="s">
        <v>34</v>
      </c>
      <c r="M295" s="3" t="s">
        <v>274</v>
      </c>
      <c r="N295" s="3" t="s">
        <v>275</v>
      </c>
      <c r="O295" s="3" t="s">
        <v>108</v>
      </c>
      <c r="P295" s="3" t="s">
        <v>109</v>
      </c>
      <c r="Q295" s="3" t="s">
        <v>39</v>
      </c>
      <c r="R295" s="3" t="s">
        <v>40</v>
      </c>
      <c r="S295" s="7">
        <v>66303.8</v>
      </c>
      <c r="T295" s="7">
        <v>14689.3632</v>
      </c>
      <c r="U295" s="7">
        <v>5520.0024000000003</v>
      </c>
      <c r="V295" s="7">
        <v>51614.436800000003</v>
      </c>
      <c r="W295" s="3">
        <v>22</v>
      </c>
    </row>
    <row r="296" spans="1:23" x14ac:dyDescent="0.35">
      <c r="A296" s="3" t="s">
        <v>443</v>
      </c>
      <c r="B296" s="3" t="s">
        <v>444</v>
      </c>
      <c r="C296" s="3" t="s">
        <v>276</v>
      </c>
      <c r="D296" s="3" t="s">
        <v>259</v>
      </c>
      <c r="E296" s="3" t="s">
        <v>187</v>
      </c>
      <c r="F296" s="3" t="s">
        <v>116</v>
      </c>
      <c r="G296" s="3" t="s">
        <v>260</v>
      </c>
      <c r="H296" s="3" t="s">
        <v>189</v>
      </c>
      <c r="I296" s="3" t="s">
        <v>190</v>
      </c>
      <c r="J296" s="3" t="s">
        <v>191</v>
      </c>
      <c r="K296" s="3" t="s">
        <v>33</v>
      </c>
      <c r="L296" s="3" t="s">
        <v>34</v>
      </c>
      <c r="M296" s="3" t="s">
        <v>277</v>
      </c>
      <c r="N296" s="3" t="s">
        <v>278</v>
      </c>
      <c r="O296" s="3" t="s">
        <v>197</v>
      </c>
      <c r="P296" s="3" t="s">
        <v>198</v>
      </c>
      <c r="Q296" s="3" t="s">
        <v>39</v>
      </c>
      <c r="R296" s="3" t="s">
        <v>40</v>
      </c>
      <c r="S296" s="7">
        <v>5928.5</v>
      </c>
      <c r="T296" s="7">
        <v>0</v>
      </c>
      <c r="U296" s="7">
        <v>0</v>
      </c>
      <c r="V296" s="7">
        <v>5928.5</v>
      </c>
      <c r="W296" s="3">
        <v>0</v>
      </c>
    </row>
    <row r="297" spans="1:23" x14ac:dyDescent="0.35">
      <c r="A297" s="3" t="s">
        <v>443</v>
      </c>
      <c r="B297" s="3" t="s">
        <v>444</v>
      </c>
      <c r="C297" s="3" t="s">
        <v>279</v>
      </c>
      <c r="D297" s="3" t="s">
        <v>259</v>
      </c>
      <c r="E297" s="3" t="s">
        <v>187</v>
      </c>
      <c r="F297" s="3" t="s">
        <v>116</v>
      </c>
      <c r="G297" s="3" t="s">
        <v>260</v>
      </c>
      <c r="H297" s="3" t="s">
        <v>189</v>
      </c>
      <c r="I297" s="3" t="s">
        <v>190</v>
      </c>
      <c r="J297" s="3" t="s">
        <v>191</v>
      </c>
      <c r="K297" s="3" t="s">
        <v>33</v>
      </c>
      <c r="L297" s="3" t="s">
        <v>34</v>
      </c>
      <c r="M297" s="3" t="s">
        <v>280</v>
      </c>
      <c r="N297" s="3" t="s">
        <v>281</v>
      </c>
      <c r="O297" s="3" t="s">
        <v>197</v>
      </c>
      <c r="P297" s="3" t="s">
        <v>198</v>
      </c>
      <c r="Q297" s="3" t="s">
        <v>39</v>
      </c>
      <c r="R297" s="3" t="s">
        <v>40</v>
      </c>
      <c r="S297" s="7">
        <v>7523.1</v>
      </c>
      <c r="T297" s="7">
        <v>0</v>
      </c>
      <c r="U297" s="7">
        <v>0</v>
      </c>
      <c r="V297" s="7">
        <v>7523.1</v>
      </c>
      <c r="W297" s="3">
        <v>0</v>
      </c>
    </row>
    <row r="298" spans="1:23" x14ac:dyDescent="0.35">
      <c r="A298" s="3" t="s">
        <v>443</v>
      </c>
      <c r="B298" s="3" t="s">
        <v>444</v>
      </c>
      <c r="C298" s="3" t="s">
        <v>282</v>
      </c>
      <c r="D298" s="3" t="s">
        <v>259</v>
      </c>
      <c r="E298" s="3" t="s">
        <v>187</v>
      </c>
      <c r="F298" s="3" t="s">
        <v>116</v>
      </c>
      <c r="G298" s="3" t="s">
        <v>260</v>
      </c>
      <c r="H298" s="3" t="s">
        <v>66</v>
      </c>
      <c r="I298" s="3" t="s">
        <v>67</v>
      </c>
      <c r="J298" s="3" t="s">
        <v>68</v>
      </c>
      <c r="K298" s="3" t="s">
        <v>33</v>
      </c>
      <c r="L298" s="3" t="s">
        <v>51</v>
      </c>
      <c r="M298" s="3" t="s">
        <v>283</v>
      </c>
      <c r="N298" s="3" t="s">
        <v>284</v>
      </c>
      <c r="O298" s="3" t="s">
        <v>197</v>
      </c>
      <c r="P298" s="3" t="s">
        <v>198</v>
      </c>
      <c r="Q298" s="3" t="s">
        <v>39</v>
      </c>
      <c r="R298" s="3" t="s">
        <v>40</v>
      </c>
      <c r="S298" s="7">
        <v>500</v>
      </c>
      <c r="T298" s="7">
        <v>8</v>
      </c>
      <c r="U298" s="7">
        <v>8</v>
      </c>
      <c r="V298" s="7">
        <v>492</v>
      </c>
      <c r="W298" s="3">
        <v>2</v>
      </c>
    </row>
    <row r="299" spans="1:23" x14ac:dyDescent="0.35">
      <c r="A299" s="3" t="s">
        <v>443</v>
      </c>
      <c r="B299" s="3" t="s">
        <v>444</v>
      </c>
      <c r="C299" s="3" t="s">
        <v>285</v>
      </c>
      <c r="D299" s="3" t="s">
        <v>259</v>
      </c>
      <c r="E299" s="3" t="s">
        <v>187</v>
      </c>
      <c r="F299" s="3" t="s">
        <v>116</v>
      </c>
      <c r="G299" s="3" t="s">
        <v>260</v>
      </c>
      <c r="H299" s="3" t="s">
        <v>30</v>
      </c>
      <c r="I299" s="3" t="s">
        <v>31</v>
      </c>
      <c r="J299" s="3" t="s">
        <v>32</v>
      </c>
      <c r="K299" s="3" t="s">
        <v>33</v>
      </c>
      <c r="L299" s="3" t="s">
        <v>34</v>
      </c>
      <c r="M299" s="3" t="s">
        <v>286</v>
      </c>
      <c r="N299" s="3" t="s">
        <v>287</v>
      </c>
      <c r="O299" s="3" t="s">
        <v>37</v>
      </c>
      <c r="P299" s="3" t="s">
        <v>38</v>
      </c>
      <c r="Q299" s="3" t="s">
        <v>39</v>
      </c>
      <c r="R299" s="3" t="s">
        <v>40</v>
      </c>
      <c r="S299" s="7">
        <v>900.4</v>
      </c>
      <c r="T299" s="7">
        <v>0</v>
      </c>
      <c r="U299" s="7">
        <v>0</v>
      </c>
      <c r="V299" s="7">
        <v>900.4</v>
      </c>
      <c r="W299" s="3">
        <v>0</v>
      </c>
    </row>
    <row r="300" spans="1:23" x14ac:dyDescent="0.35">
      <c r="A300" s="3" t="s">
        <v>443</v>
      </c>
      <c r="B300" s="3" t="s">
        <v>444</v>
      </c>
      <c r="C300" s="3" t="s">
        <v>288</v>
      </c>
      <c r="D300" s="3" t="s">
        <v>259</v>
      </c>
      <c r="E300" s="3" t="s">
        <v>187</v>
      </c>
      <c r="F300" s="3" t="s">
        <v>116</v>
      </c>
      <c r="G300" s="3" t="s">
        <v>260</v>
      </c>
      <c r="H300" s="3" t="s">
        <v>30</v>
      </c>
      <c r="I300" s="3" t="s">
        <v>31</v>
      </c>
      <c r="J300" s="3" t="s">
        <v>32</v>
      </c>
      <c r="K300" s="3" t="s">
        <v>33</v>
      </c>
      <c r="L300" s="3" t="s">
        <v>34</v>
      </c>
      <c r="M300" s="3" t="s">
        <v>286</v>
      </c>
      <c r="N300" s="3" t="s">
        <v>287</v>
      </c>
      <c r="O300" s="3" t="s">
        <v>42</v>
      </c>
      <c r="P300" s="3" t="s">
        <v>43</v>
      </c>
      <c r="Q300" s="3" t="s">
        <v>39</v>
      </c>
      <c r="R300" s="3" t="s">
        <v>40</v>
      </c>
      <c r="S300" s="7">
        <v>67.400000000000006</v>
      </c>
      <c r="T300" s="7">
        <v>0</v>
      </c>
      <c r="U300" s="7">
        <v>0</v>
      </c>
      <c r="V300" s="7">
        <v>67.400000000000006</v>
      </c>
      <c r="W300" s="3">
        <v>0</v>
      </c>
    </row>
    <row r="301" spans="1:23" hidden="1" x14ac:dyDescent="0.35">
      <c r="A301" t="s">
        <v>443</v>
      </c>
      <c r="B301" t="s">
        <v>444</v>
      </c>
      <c r="C301" t="s">
        <v>289</v>
      </c>
      <c r="D301" t="s">
        <v>290</v>
      </c>
      <c r="E301" t="s">
        <v>291</v>
      </c>
      <c r="F301" t="s">
        <v>146</v>
      </c>
      <c r="G301" t="s">
        <v>292</v>
      </c>
      <c r="H301" t="s">
        <v>293</v>
      </c>
      <c r="I301" t="s">
        <v>294</v>
      </c>
      <c r="J301" t="s">
        <v>295</v>
      </c>
      <c r="K301" t="s">
        <v>33</v>
      </c>
      <c r="L301" t="s">
        <v>51</v>
      </c>
      <c r="M301" t="s">
        <v>296</v>
      </c>
      <c r="N301" t="s">
        <v>297</v>
      </c>
      <c r="O301" t="s">
        <v>108</v>
      </c>
      <c r="P301" t="s">
        <v>109</v>
      </c>
      <c r="Q301" t="s">
        <v>39</v>
      </c>
      <c r="R301" t="s">
        <v>40</v>
      </c>
      <c r="S301" s="1">
        <v>263750</v>
      </c>
      <c r="T301" s="1">
        <v>62069.678099999997</v>
      </c>
      <c r="U301" s="1">
        <v>27038.427199999998</v>
      </c>
      <c r="V301" s="1">
        <v>201680.32190000001</v>
      </c>
      <c r="W301">
        <v>24</v>
      </c>
    </row>
    <row r="302" spans="1:23" hidden="1" x14ac:dyDescent="0.35">
      <c r="A302" t="s">
        <v>443</v>
      </c>
      <c r="B302" t="s">
        <v>444</v>
      </c>
      <c r="C302" t="s">
        <v>298</v>
      </c>
      <c r="D302" t="s">
        <v>290</v>
      </c>
      <c r="E302" t="s">
        <v>291</v>
      </c>
      <c r="F302" t="s">
        <v>146</v>
      </c>
      <c r="G302" t="s">
        <v>292</v>
      </c>
      <c r="H302" t="s">
        <v>293</v>
      </c>
      <c r="I302" t="s">
        <v>294</v>
      </c>
      <c r="J302" t="s">
        <v>295</v>
      </c>
      <c r="K302" t="s">
        <v>33</v>
      </c>
      <c r="L302" t="s">
        <v>51</v>
      </c>
      <c r="M302" t="s">
        <v>299</v>
      </c>
      <c r="N302" t="s">
        <v>300</v>
      </c>
      <c r="O302" t="s">
        <v>108</v>
      </c>
      <c r="P302" t="s">
        <v>109</v>
      </c>
      <c r="Q302" t="s">
        <v>39</v>
      </c>
      <c r="R302" t="s">
        <v>40</v>
      </c>
      <c r="S302" s="1">
        <v>93678.1</v>
      </c>
      <c r="T302" s="1">
        <v>21695.859400000001</v>
      </c>
      <c r="U302" s="1">
        <v>10413.4367</v>
      </c>
      <c r="V302" s="1">
        <v>71982.240600000005</v>
      </c>
      <c r="W302">
        <v>23</v>
      </c>
    </row>
    <row r="303" spans="1:23" hidden="1" x14ac:dyDescent="0.35">
      <c r="A303" t="s">
        <v>443</v>
      </c>
      <c r="B303" t="s">
        <v>444</v>
      </c>
      <c r="C303" t="s">
        <v>301</v>
      </c>
      <c r="D303" t="s">
        <v>290</v>
      </c>
      <c r="E303" t="s">
        <v>291</v>
      </c>
      <c r="F303" t="s">
        <v>146</v>
      </c>
      <c r="G303" t="s">
        <v>292</v>
      </c>
      <c r="H303" t="s">
        <v>293</v>
      </c>
      <c r="I303" t="s">
        <v>294</v>
      </c>
      <c r="J303" t="s">
        <v>295</v>
      </c>
      <c r="K303" t="s">
        <v>33</v>
      </c>
      <c r="L303" t="s">
        <v>51</v>
      </c>
      <c r="M303" t="s">
        <v>302</v>
      </c>
      <c r="N303" t="s">
        <v>303</v>
      </c>
      <c r="O303" t="s">
        <v>108</v>
      </c>
      <c r="P303" t="s">
        <v>109</v>
      </c>
      <c r="Q303" t="s">
        <v>39</v>
      </c>
      <c r="R303" t="s">
        <v>40</v>
      </c>
      <c r="S303" s="1">
        <v>207715.20000000001</v>
      </c>
      <c r="T303" s="1">
        <v>45608.057999999997</v>
      </c>
      <c r="U303" s="1">
        <v>20130.132399999999</v>
      </c>
      <c r="V303" s="1">
        <v>162107.14199999999</v>
      </c>
      <c r="W303">
        <v>22</v>
      </c>
    </row>
    <row r="304" spans="1:23" hidden="1" x14ac:dyDescent="0.35">
      <c r="A304" t="s">
        <v>443</v>
      </c>
      <c r="B304" t="s">
        <v>444</v>
      </c>
      <c r="C304" t="s">
        <v>304</v>
      </c>
      <c r="D304" t="s">
        <v>290</v>
      </c>
      <c r="E304" t="s">
        <v>291</v>
      </c>
      <c r="F304" t="s">
        <v>146</v>
      </c>
      <c r="G304" t="s">
        <v>292</v>
      </c>
      <c r="H304" t="s">
        <v>293</v>
      </c>
      <c r="I304" t="s">
        <v>294</v>
      </c>
      <c r="J304" t="s">
        <v>295</v>
      </c>
      <c r="K304" t="s">
        <v>33</v>
      </c>
      <c r="L304" t="s">
        <v>51</v>
      </c>
      <c r="M304" t="s">
        <v>305</v>
      </c>
      <c r="N304" t="s">
        <v>306</v>
      </c>
      <c r="O304" t="s">
        <v>108</v>
      </c>
      <c r="P304" t="s">
        <v>109</v>
      </c>
      <c r="Q304" t="s">
        <v>39</v>
      </c>
      <c r="R304" t="s">
        <v>40</v>
      </c>
      <c r="S304" s="1">
        <v>87050.7</v>
      </c>
      <c r="T304" s="1">
        <v>20646.161499999998</v>
      </c>
      <c r="U304" s="1">
        <v>9176.4506000000001</v>
      </c>
      <c r="V304" s="1">
        <v>66404.538499999995</v>
      </c>
      <c r="W304">
        <v>24</v>
      </c>
    </row>
    <row r="305" spans="1:23" hidden="1" x14ac:dyDescent="0.35">
      <c r="A305" t="s">
        <v>443</v>
      </c>
      <c r="B305" t="s">
        <v>444</v>
      </c>
      <c r="C305" t="s">
        <v>307</v>
      </c>
      <c r="D305" t="s">
        <v>290</v>
      </c>
      <c r="E305" t="s">
        <v>291</v>
      </c>
      <c r="F305" t="s">
        <v>146</v>
      </c>
      <c r="G305" t="s">
        <v>292</v>
      </c>
      <c r="H305" t="s">
        <v>293</v>
      </c>
      <c r="I305" t="s">
        <v>294</v>
      </c>
      <c r="J305" t="s">
        <v>295</v>
      </c>
      <c r="K305" t="s">
        <v>33</v>
      </c>
      <c r="L305" t="s">
        <v>51</v>
      </c>
      <c r="M305" t="s">
        <v>308</v>
      </c>
      <c r="N305" t="s">
        <v>309</v>
      </c>
      <c r="O305" t="s">
        <v>37</v>
      </c>
      <c r="P305" t="s">
        <v>38</v>
      </c>
      <c r="Q305" t="s">
        <v>39</v>
      </c>
      <c r="R305" t="s">
        <v>40</v>
      </c>
      <c r="S305" s="1">
        <v>9529.5</v>
      </c>
      <c r="T305" s="1">
        <v>1619.0733</v>
      </c>
      <c r="U305" s="1">
        <v>575.86940000000004</v>
      </c>
      <c r="V305" s="1">
        <v>7910.4267</v>
      </c>
      <c r="W305">
        <v>17</v>
      </c>
    </row>
    <row r="306" spans="1:23" hidden="1" x14ac:dyDescent="0.35">
      <c r="A306" t="s">
        <v>443</v>
      </c>
      <c r="B306" t="s">
        <v>444</v>
      </c>
      <c r="C306" t="s">
        <v>436</v>
      </c>
      <c r="D306" t="s">
        <v>290</v>
      </c>
      <c r="E306" t="s">
        <v>291</v>
      </c>
      <c r="F306" t="s">
        <v>146</v>
      </c>
      <c r="G306" t="s">
        <v>292</v>
      </c>
      <c r="H306" t="s">
        <v>293</v>
      </c>
      <c r="I306" t="s">
        <v>294</v>
      </c>
      <c r="J306" t="s">
        <v>295</v>
      </c>
      <c r="K306" t="s">
        <v>33</v>
      </c>
      <c r="L306" t="s">
        <v>51</v>
      </c>
      <c r="M306" t="s">
        <v>308</v>
      </c>
      <c r="N306" t="s">
        <v>309</v>
      </c>
      <c r="O306" t="s">
        <v>197</v>
      </c>
      <c r="P306" t="s">
        <v>198</v>
      </c>
      <c r="Q306" t="s">
        <v>39</v>
      </c>
      <c r="R306" t="s">
        <v>40</v>
      </c>
      <c r="S306" s="1">
        <v>2252</v>
      </c>
      <c r="T306" s="1">
        <v>0</v>
      </c>
      <c r="U306" s="1">
        <v>0</v>
      </c>
      <c r="V306" s="1">
        <v>2252</v>
      </c>
      <c r="W306">
        <v>0</v>
      </c>
    </row>
    <row r="307" spans="1:23" hidden="1" x14ac:dyDescent="0.35">
      <c r="A307" t="s">
        <v>443</v>
      </c>
      <c r="B307" t="s">
        <v>444</v>
      </c>
      <c r="C307" t="s">
        <v>310</v>
      </c>
      <c r="D307" t="s">
        <v>290</v>
      </c>
      <c r="E307" t="s">
        <v>291</v>
      </c>
      <c r="F307" t="s">
        <v>146</v>
      </c>
      <c r="G307" t="s">
        <v>292</v>
      </c>
      <c r="H307" t="s">
        <v>293</v>
      </c>
      <c r="I307" t="s">
        <v>294</v>
      </c>
      <c r="J307" t="s">
        <v>295</v>
      </c>
      <c r="K307" t="s">
        <v>33</v>
      </c>
      <c r="L307" t="s">
        <v>51</v>
      </c>
      <c r="M307" t="s">
        <v>311</v>
      </c>
      <c r="N307" t="s">
        <v>312</v>
      </c>
      <c r="O307" t="s">
        <v>197</v>
      </c>
      <c r="P307" t="s">
        <v>198</v>
      </c>
      <c r="Q307" t="s">
        <v>39</v>
      </c>
      <c r="R307" t="s">
        <v>40</v>
      </c>
      <c r="S307" s="1">
        <v>10264.799999999999</v>
      </c>
      <c r="T307" s="1">
        <v>0</v>
      </c>
      <c r="U307" s="1">
        <v>0</v>
      </c>
      <c r="V307" s="1">
        <v>10264.799999999999</v>
      </c>
      <c r="W307">
        <v>0</v>
      </c>
    </row>
    <row r="308" spans="1:23" hidden="1" x14ac:dyDescent="0.35">
      <c r="A308" t="s">
        <v>443</v>
      </c>
      <c r="B308" t="s">
        <v>444</v>
      </c>
      <c r="C308" t="s">
        <v>313</v>
      </c>
      <c r="D308" t="s">
        <v>290</v>
      </c>
      <c r="E308" t="s">
        <v>291</v>
      </c>
      <c r="F308" t="s">
        <v>146</v>
      </c>
      <c r="G308" t="s">
        <v>292</v>
      </c>
      <c r="H308" t="s">
        <v>293</v>
      </c>
      <c r="I308" t="s">
        <v>294</v>
      </c>
      <c r="J308" t="s">
        <v>295</v>
      </c>
      <c r="K308" t="s">
        <v>33</v>
      </c>
      <c r="L308" t="s">
        <v>51</v>
      </c>
      <c r="M308" t="s">
        <v>314</v>
      </c>
      <c r="N308" t="s">
        <v>315</v>
      </c>
      <c r="O308" t="s">
        <v>197</v>
      </c>
      <c r="P308" t="s">
        <v>198</v>
      </c>
      <c r="Q308" t="s">
        <v>39</v>
      </c>
      <c r="R308" t="s">
        <v>40</v>
      </c>
      <c r="S308" s="1">
        <v>128.69999999999999</v>
      </c>
      <c r="T308" s="1">
        <v>0</v>
      </c>
      <c r="U308" s="1">
        <v>0</v>
      </c>
      <c r="V308" s="1">
        <v>128.69999999999999</v>
      </c>
      <c r="W308">
        <v>0</v>
      </c>
    </row>
    <row r="309" spans="1:23" hidden="1" x14ac:dyDescent="0.35">
      <c r="A309" t="s">
        <v>443</v>
      </c>
      <c r="B309" t="s">
        <v>444</v>
      </c>
      <c r="C309" t="s">
        <v>316</v>
      </c>
      <c r="D309" t="s">
        <v>317</v>
      </c>
      <c r="E309" t="s">
        <v>291</v>
      </c>
      <c r="F309" t="s">
        <v>318</v>
      </c>
      <c r="G309" t="s">
        <v>319</v>
      </c>
      <c r="H309" t="s">
        <v>293</v>
      </c>
      <c r="I309" t="s">
        <v>294</v>
      </c>
      <c r="J309" t="s">
        <v>295</v>
      </c>
      <c r="K309" t="s">
        <v>33</v>
      </c>
      <c r="L309" t="s">
        <v>51</v>
      </c>
      <c r="M309" t="s">
        <v>320</v>
      </c>
      <c r="N309" t="s">
        <v>321</v>
      </c>
      <c r="O309" t="s">
        <v>37</v>
      </c>
      <c r="P309" t="s">
        <v>38</v>
      </c>
      <c r="Q309" t="s">
        <v>39</v>
      </c>
      <c r="R309" t="s">
        <v>40</v>
      </c>
      <c r="S309" s="1">
        <v>16495.3</v>
      </c>
      <c r="T309" s="1">
        <v>0</v>
      </c>
      <c r="U309" s="1">
        <v>0</v>
      </c>
      <c r="V309" s="1">
        <v>16495.3</v>
      </c>
      <c r="W309">
        <v>0</v>
      </c>
    </row>
    <row r="310" spans="1:23" hidden="1" x14ac:dyDescent="0.35">
      <c r="A310" t="s">
        <v>443</v>
      </c>
      <c r="B310" t="s">
        <v>444</v>
      </c>
      <c r="C310" t="s">
        <v>322</v>
      </c>
      <c r="D310" t="s">
        <v>317</v>
      </c>
      <c r="E310" t="s">
        <v>291</v>
      </c>
      <c r="F310" t="s">
        <v>318</v>
      </c>
      <c r="G310" t="s">
        <v>319</v>
      </c>
      <c r="H310" t="s">
        <v>293</v>
      </c>
      <c r="I310" t="s">
        <v>294</v>
      </c>
      <c r="J310" t="s">
        <v>295</v>
      </c>
      <c r="K310" t="s">
        <v>33</v>
      </c>
      <c r="L310" t="s">
        <v>51</v>
      </c>
      <c r="M310" t="s">
        <v>323</v>
      </c>
      <c r="N310" t="s">
        <v>324</v>
      </c>
      <c r="O310" t="s">
        <v>197</v>
      </c>
      <c r="P310" t="s">
        <v>198</v>
      </c>
      <c r="Q310" t="s">
        <v>39</v>
      </c>
      <c r="R310" t="s">
        <v>40</v>
      </c>
      <c r="S310" s="1">
        <v>8766.7000000000007</v>
      </c>
      <c r="T310" s="1">
        <v>0</v>
      </c>
      <c r="U310" s="1">
        <v>0</v>
      </c>
      <c r="V310" s="1">
        <v>8766.7000000000007</v>
      </c>
      <c r="W310">
        <v>0</v>
      </c>
    </row>
    <row r="311" spans="1:23" hidden="1" x14ac:dyDescent="0.35">
      <c r="A311" t="s">
        <v>443</v>
      </c>
      <c r="B311" t="s">
        <v>444</v>
      </c>
      <c r="C311" t="s">
        <v>325</v>
      </c>
      <c r="D311" t="s">
        <v>326</v>
      </c>
      <c r="E311" t="s">
        <v>327</v>
      </c>
      <c r="F311" t="s">
        <v>189</v>
      </c>
      <c r="G311" t="s">
        <v>328</v>
      </c>
      <c r="H311" t="s">
        <v>146</v>
      </c>
      <c r="I311" t="s">
        <v>329</v>
      </c>
      <c r="J311" t="s">
        <v>330</v>
      </c>
      <c r="K311" t="s">
        <v>33</v>
      </c>
      <c r="L311" t="s">
        <v>34</v>
      </c>
      <c r="M311" t="s">
        <v>331</v>
      </c>
      <c r="N311" t="s">
        <v>332</v>
      </c>
      <c r="O311" t="s">
        <v>108</v>
      </c>
      <c r="P311" t="s">
        <v>109</v>
      </c>
      <c r="Q311" t="s">
        <v>39</v>
      </c>
      <c r="R311" t="s">
        <v>40</v>
      </c>
      <c r="S311" s="1">
        <v>662520.5</v>
      </c>
      <c r="T311" s="1">
        <v>142332.68090000001</v>
      </c>
      <c r="U311" s="1">
        <v>63927.569100000001</v>
      </c>
      <c r="V311" s="1">
        <v>520187.81910000002</v>
      </c>
      <c r="W311">
        <v>21</v>
      </c>
    </row>
    <row r="312" spans="1:23" hidden="1" x14ac:dyDescent="0.35">
      <c r="A312" t="s">
        <v>443</v>
      </c>
      <c r="B312" t="s">
        <v>444</v>
      </c>
      <c r="C312" t="s">
        <v>333</v>
      </c>
      <c r="D312" t="s">
        <v>326</v>
      </c>
      <c r="E312" t="s">
        <v>327</v>
      </c>
      <c r="F312" t="s">
        <v>189</v>
      </c>
      <c r="G312" t="s">
        <v>328</v>
      </c>
      <c r="H312" t="s">
        <v>146</v>
      </c>
      <c r="I312" t="s">
        <v>329</v>
      </c>
      <c r="J312" t="s">
        <v>330</v>
      </c>
      <c r="K312" t="s">
        <v>33</v>
      </c>
      <c r="L312" t="s">
        <v>34</v>
      </c>
      <c r="M312" t="s">
        <v>331</v>
      </c>
      <c r="N312" t="s">
        <v>332</v>
      </c>
      <c r="O312" t="s">
        <v>334</v>
      </c>
      <c r="P312" t="s">
        <v>335</v>
      </c>
      <c r="Q312" t="s">
        <v>39</v>
      </c>
      <c r="R312" t="s">
        <v>40</v>
      </c>
      <c r="S312" s="1">
        <v>5379.7</v>
      </c>
      <c r="T312" s="1">
        <v>569.38300000000004</v>
      </c>
      <c r="U312" s="1">
        <v>334.31029999999998</v>
      </c>
      <c r="V312" s="1">
        <v>4810.317</v>
      </c>
      <c r="W312">
        <v>11</v>
      </c>
    </row>
    <row r="313" spans="1:23" hidden="1" x14ac:dyDescent="0.35">
      <c r="A313" t="s">
        <v>443</v>
      </c>
      <c r="B313" t="s">
        <v>444</v>
      </c>
      <c r="C313" t="s">
        <v>336</v>
      </c>
      <c r="D313" t="s">
        <v>337</v>
      </c>
      <c r="E313" t="s">
        <v>327</v>
      </c>
      <c r="F313" t="s">
        <v>116</v>
      </c>
      <c r="G313" t="s">
        <v>338</v>
      </c>
      <c r="H313" t="s">
        <v>146</v>
      </c>
      <c r="I313" t="s">
        <v>329</v>
      </c>
      <c r="J313" t="s">
        <v>339</v>
      </c>
      <c r="K313" t="s">
        <v>23</v>
      </c>
      <c r="L313" t="s">
        <v>203</v>
      </c>
      <c r="M313" t="s">
        <v>340</v>
      </c>
      <c r="N313" t="s">
        <v>341</v>
      </c>
      <c r="O313" t="s">
        <v>197</v>
      </c>
      <c r="P313" t="s">
        <v>198</v>
      </c>
      <c r="Q313" t="s">
        <v>39</v>
      </c>
      <c r="R313" t="s">
        <v>40</v>
      </c>
      <c r="S313" s="1">
        <v>104471.3</v>
      </c>
      <c r="T313" s="1">
        <v>75795.346600000004</v>
      </c>
      <c r="U313" s="1">
        <v>35544.224600000001</v>
      </c>
      <c r="V313" s="1">
        <v>28675.953399999999</v>
      </c>
      <c r="W313">
        <v>73</v>
      </c>
    </row>
    <row r="314" spans="1:23" hidden="1" x14ac:dyDescent="0.35">
      <c r="A314" t="s">
        <v>443</v>
      </c>
      <c r="B314" t="s">
        <v>444</v>
      </c>
      <c r="C314" t="s">
        <v>452</v>
      </c>
      <c r="D314" t="s">
        <v>337</v>
      </c>
      <c r="E314" t="s">
        <v>327</v>
      </c>
      <c r="F314" t="s">
        <v>116</v>
      </c>
      <c r="G314" t="s">
        <v>338</v>
      </c>
      <c r="H314" t="s">
        <v>146</v>
      </c>
      <c r="I314" t="s">
        <v>329</v>
      </c>
      <c r="J314" t="s">
        <v>339</v>
      </c>
      <c r="K314" t="s">
        <v>23</v>
      </c>
      <c r="L314" t="s">
        <v>203</v>
      </c>
      <c r="M314" t="s">
        <v>453</v>
      </c>
      <c r="N314" t="s">
        <v>454</v>
      </c>
      <c r="O314" t="s">
        <v>197</v>
      </c>
      <c r="P314" t="s">
        <v>198</v>
      </c>
      <c r="Q314" t="s">
        <v>39</v>
      </c>
      <c r="R314" t="s">
        <v>40</v>
      </c>
      <c r="S314" s="1">
        <v>12819.6</v>
      </c>
      <c r="T314" s="1">
        <v>0</v>
      </c>
      <c r="U314" s="1">
        <v>0</v>
      </c>
      <c r="V314" s="1">
        <v>12819.6</v>
      </c>
      <c r="W314">
        <v>0</v>
      </c>
    </row>
    <row r="315" spans="1:23" hidden="1" x14ac:dyDescent="0.35">
      <c r="A315" t="s">
        <v>443</v>
      </c>
      <c r="B315" t="s">
        <v>444</v>
      </c>
      <c r="C315" t="s">
        <v>437</v>
      </c>
      <c r="D315" t="s">
        <v>337</v>
      </c>
      <c r="E315" t="s">
        <v>327</v>
      </c>
      <c r="F315" t="s">
        <v>116</v>
      </c>
      <c r="G315" t="s">
        <v>338</v>
      </c>
      <c r="H315" t="s">
        <v>146</v>
      </c>
      <c r="I315" t="s">
        <v>329</v>
      </c>
      <c r="J315" t="s">
        <v>330</v>
      </c>
      <c r="K315" t="s">
        <v>33</v>
      </c>
      <c r="L315" t="s">
        <v>34</v>
      </c>
      <c r="M315" t="s">
        <v>438</v>
      </c>
      <c r="N315" t="s">
        <v>439</v>
      </c>
      <c r="O315" t="s">
        <v>197</v>
      </c>
      <c r="P315" t="s">
        <v>198</v>
      </c>
      <c r="Q315" t="s">
        <v>39</v>
      </c>
      <c r="R315" t="s">
        <v>40</v>
      </c>
      <c r="S315" s="1">
        <v>34518.6</v>
      </c>
      <c r="T315" s="1">
        <v>0</v>
      </c>
      <c r="U315" s="1">
        <v>0</v>
      </c>
      <c r="V315" s="1">
        <v>34518.6</v>
      </c>
      <c r="W315">
        <v>0</v>
      </c>
    </row>
    <row r="316" spans="1:23" hidden="1" x14ac:dyDescent="0.35">
      <c r="A316" t="s">
        <v>443</v>
      </c>
      <c r="B316" t="s">
        <v>444</v>
      </c>
      <c r="C316" t="s">
        <v>342</v>
      </c>
      <c r="D316" t="s">
        <v>337</v>
      </c>
      <c r="E316" t="s">
        <v>327</v>
      </c>
      <c r="F316" t="s">
        <v>116</v>
      </c>
      <c r="G316" t="s">
        <v>338</v>
      </c>
      <c r="H316" t="s">
        <v>146</v>
      </c>
      <c r="I316" t="s">
        <v>329</v>
      </c>
      <c r="J316" t="s">
        <v>330</v>
      </c>
      <c r="K316" t="s">
        <v>33</v>
      </c>
      <c r="L316" t="s">
        <v>34</v>
      </c>
      <c r="M316" t="s">
        <v>343</v>
      </c>
      <c r="N316" t="s">
        <v>344</v>
      </c>
      <c r="O316" t="s">
        <v>37</v>
      </c>
      <c r="P316" t="s">
        <v>38</v>
      </c>
      <c r="Q316" t="s">
        <v>39</v>
      </c>
      <c r="R316" t="s">
        <v>40</v>
      </c>
      <c r="S316" s="1">
        <v>48.2</v>
      </c>
      <c r="T316" s="1">
        <v>0</v>
      </c>
      <c r="U316" s="1">
        <v>0</v>
      </c>
      <c r="V316" s="1">
        <v>48.2</v>
      </c>
      <c r="W316">
        <v>0</v>
      </c>
    </row>
    <row r="317" spans="1:23" hidden="1" x14ac:dyDescent="0.35">
      <c r="A317" t="s">
        <v>443</v>
      </c>
      <c r="B317" t="s">
        <v>444</v>
      </c>
      <c r="C317" t="s">
        <v>345</v>
      </c>
      <c r="D317" t="s">
        <v>337</v>
      </c>
      <c r="E317" t="s">
        <v>327</v>
      </c>
      <c r="F317" t="s">
        <v>116</v>
      </c>
      <c r="G317" t="s">
        <v>338</v>
      </c>
      <c r="H317" t="s">
        <v>146</v>
      </c>
      <c r="I317" t="s">
        <v>329</v>
      </c>
      <c r="J317" t="s">
        <v>330</v>
      </c>
      <c r="K317" t="s">
        <v>33</v>
      </c>
      <c r="L317" t="s">
        <v>34</v>
      </c>
      <c r="M317" t="s">
        <v>346</v>
      </c>
      <c r="N317" t="s">
        <v>347</v>
      </c>
      <c r="O317" t="s">
        <v>197</v>
      </c>
      <c r="P317" t="s">
        <v>198</v>
      </c>
      <c r="Q317" t="s">
        <v>39</v>
      </c>
      <c r="R317" t="s">
        <v>40</v>
      </c>
      <c r="S317" s="1">
        <v>223871.4</v>
      </c>
      <c r="T317" s="1">
        <v>10773.652099999999</v>
      </c>
      <c r="U317" s="1">
        <v>10773.652099999999</v>
      </c>
      <c r="V317" s="1">
        <v>213097.74789999999</v>
      </c>
      <c r="W317">
        <v>5</v>
      </c>
    </row>
    <row r="318" spans="1:23" hidden="1" x14ac:dyDescent="0.35">
      <c r="A318" t="s">
        <v>443</v>
      </c>
      <c r="B318" t="s">
        <v>444</v>
      </c>
      <c r="C318" t="s">
        <v>348</v>
      </c>
      <c r="D318" t="s">
        <v>337</v>
      </c>
      <c r="E318" t="s">
        <v>327</v>
      </c>
      <c r="F318" t="s">
        <v>116</v>
      </c>
      <c r="G318" t="s">
        <v>338</v>
      </c>
      <c r="H318" t="s">
        <v>146</v>
      </c>
      <c r="I318" t="s">
        <v>329</v>
      </c>
      <c r="J318" t="s">
        <v>330</v>
      </c>
      <c r="K318" t="s">
        <v>33</v>
      </c>
      <c r="L318" t="s">
        <v>34</v>
      </c>
      <c r="M318" t="s">
        <v>349</v>
      </c>
      <c r="N318" t="s">
        <v>350</v>
      </c>
      <c r="O318" t="s">
        <v>197</v>
      </c>
      <c r="P318" t="s">
        <v>198</v>
      </c>
      <c r="Q318" t="s">
        <v>39</v>
      </c>
      <c r="R318" t="s">
        <v>40</v>
      </c>
      <c r="S318" s="1">
        <v>29779.9</v>
      </c>
      <c r="T318" s="1">
        <v>0</v>
      </c>
      <c r="U318" s="1">
        <v>0</v>
      </c>
      <c r="V318" s="1">
        <v>29779.9</v>
      </c>
      <c r="W318">
        <v>0</v>
      </c>
    </row>
    <row r="319" spans="1:23" hidden="1" x14ac:dyDescent="0.35">
      <c r="A319" t="s">
        <v>443</v>
      </c>
      <c r="B319" t="s">
        <v>444</v>
      </c>
      <c r="C319" t="s">
        <v>351</v>
      </c>
      <c r="D319" t="s">
        <v>337</v>
      </c>
      <c r="E319" t="s">
        <v>327</v>
      </c>
      <c r="F319" t="s">
        <v>116</v>
      </c>
      <c r="G319" t="s">
        <v>338</v>
      </c>
      <c r="H319" t="s">
        <v>146</v>
      </c>
      <c r="I319" t="s">
        <v>329</v>
      </c>
      <c r="J319" t="s">
        <v>330</v>
      </c>
      <c r="K319" t="s">
        <v>33</v>
      </c>
      <c r="L319" t="s">
        <v>34</v>
      </c>
      <c r="M319" t="s">
        <v>352</v>
      </c>
      <c r="N319" t="s">
        <v>353</v>
      </c>
      <c r="O319" t="s">
        <v>197</v>
      </c>
      <c r="P319" t="s">
        <v>198</v>
      </c>
      <c r="Q319" t="s">
        <v>39</v>
      </c>
      <c r="R319" t="s">
        <v>40</v>
      </c>
      <c r="S319" s="1">
        <v>7460.5</v>
      </c>
      <c r="T319" s="1">
        <v>0</v>
      </c>
      <c r="U319" s="1">
        <v>0</v>
      </c>
      <c r="V319" s="1">
        <v>7460.5</v>
      </c>
      <c r="W319">
        <v>0</v>
      </c>
    </row>
    <row r="320" spans="1:23" hidden="1" x14ac:dyDescent="0.35">
      <c r="A320" t="s">
        <v>443</v>
      </c>
      <c r="B320" t="s">
        <v>444</v>
      </c>
      <c r="C320" t="s">
        <v>455</v>
      </c>
      <c r="D320" t="s">
        <v>337</v>
      </c>
      <c r="E320" t="s">
        <v>327</v>
      </c>
      <c r="F320" t="s">
        <v>116</v>
      </c>
      <c r="G320" t="s">
        <v>338</v>
      </c>
      <c r="H320" t="s">
        <v>146</v>
      </c>
      <c r="I320" t="s">
        <v>329</v>
      </c>
      <c r="J320" t="s">
        <v>330</v>
      </c>
      <c r="K320" t="s">
        <v>33</v>
      </c>
      <c r="L320" t="s">
        <v>34</v>
      </c>
      <c r="M320" t="s">
        <v>456</v>
      </c>
      <c r="N320" t="s">
        <v>457</v>
      </c>
      <c r="O320" t="s">
        <v>197</v>
      </c>
      <c r="P320" t="s">
        <v>198</v>
      </c>
      <c r="Q320" t="s">
        <v>39</v>
      </c>
      <c r="R320" t="s">
        <v>40</v>
      </c>
      <c r="S320" s="1">
        <v>1889.2</v>
      </c>
      <c r="T320" s="1">
        <v>0</v>
      </c>
      <c r="U320" s="1">
        <v>0</v>
      </c>
      <c r="V320" s="1">
        <v>1889.2</v>
      </c>
      <c r="W320">
        <v>0</v>
      </c>
    </row>
    <row r="321" spans="1:23" hidden="1" x14ac:dyDescent="0.35">
      <c r="A321" t="s">
        <v>443</v>
      </c>
      <c r="B321" t="s">
        <v>444</v>
      </c>
      <c r="C321" t="s">
        <v>354</v>
      </c>
      <c r="D321" t="s">
        <v>337</v>
      </c>
      <c r="E321" t="s">
        <v>327</v>
      </c>
      <c r="F321" t="s">
        <v>116</v>
      </c>
      <c r="G321" t="s">
        <v>338</v>
      </c>
      <c r="H321" t="s">
        <v>146</v>
      </c>
      <c r="I321" t="s">
        <v>329</v>
      </c>
      <c r="J321" t="s">
        <v>330</v>
      </c>
      <c r="K321" t="s">
        <v>33</v>
      </c>
      <c r="L321" t="s">
        <v>34</v>
      </c>
      <c r="M321" t="s">
        <v>355</v>
      </c>
      <c r="N321" t="s">
        <v>356</v>
      </c>
      <c r="O321" t="s">
        <v>197</v>
      </c>
      <c r="P321" t="s">
        <v>198</v>
      </c>
      <c r="Q321" t="s">
        <v>39</v>
      </c>
      <c r="R321" t="s">
        <v>40</v>
      </c>
      <c r="S321" s="1">
        <v>45132.3</v>
      </c>
      <c r="T321" s="1">
        <v>5776.1815999999999</v>
      </c>
      <c r="U321" s="1">
        <v>3448.7755999999999</v>
      </c>
      <c r="V321" s="1">
        <v>39356.118399999999</v>
      </c>
      <c r="W321">
        <v>13</v>
      </c>
    </row>
    <row r="322" spans="1:23" hidden="1" x14ac:dyDescent="0.35">
      <c r="A322" t="s">
        <v>443</v>
      </c>
      <c r="B322" t="s">
        <v>444</v>
      </c>
      <c r="C322" t="s">
        <v>357</v>
      </c>
      <c r="D322" t="s">
        <v>337</v>
      </c>
      <c r="E322" t="s">
        <v>327</v>
      </c>
      <c r="F322" t="s">
        <v>116</v>
      </c>
      <c r="G322" t="s">
        <v>338</v>
      </c>
      <c r="H322" t="s">
        <v>146</v>
      </c>
      <c r="I322" t="s">
        <v>329</v>
      </c>
      <c r="J322" t="s">
        <v>330</v>
      </c>
      <c r="K322" t="s">
        <v>33</v>
      </c>
      <c r="L322" t="s">
        <v>34</v>
      </c>
      <c r="M322" t="s">
        <v>358</v>
      </c>
      <c r="N322" t="s">
        <v>359</v>
      </c>
      <c r="O322" t="s">
        <v>197</v>
      </c>
      <c r="P322" t="s">
        <v>198</v>
      </c>
      <c r="Q322" t="s">
        <v>39</v>
      </c>
      <c r="R322" t="s">
        <v>40</v>
      </c>
      <c r="S322" s="1">
        <v>113.2</v>
      </c>
      <c r="T322" s="1">
        <v>0</v>
      </c>
      <c r="U322" s="1">
        <v>0</v>
      </c>
      <c r="V322" s="1">
        <v>113.2</v>
      </c>
      <c r="W322">
        <v>0</v>
      </c>
    </row>
    <row r="323" spans="1:23" hidden="1" x14ac:dyDescent="0.35">
      <c r="A323" t="s">
        <v>443</v>
      </c>
      <c r="B323" t="s">
        <v>444</v>
      </c>
      <c r="C323" t="s">
        <v>360</v>
      </c>
      <c r="D323" t="s">
        <v>337</v>
      </c>
      <c r="E323" t="s">
        <v>327</v>
      </c>
      <c r="F323" t="s">
        <v>116</v>
      </c>
      <c r="G323" t="s">
        <v>338</v>
      </c>
      <c r="H323" t="s">
        <v>48</v>
      </c>
      <c r="I323" t="s">
        <v>49</v>
      </c>
      <c r="J323" t="s">
        <v>50</v>
      </c>
      <c r="K323" t="s">
        <v>33</v>
      </c>
      <c r="L323" t="s">
        <v>51</v>
      </c>
      <c r="M323" t="s">
        <v>361</v>
      </c>
      <c r="N323" t="s">
        <v>362</v>
      </c>
      <c r="O323" t="s">
        <v>197</v>
      </c>
      <c r="P323" t="s">
        <v>198</v>
      </c>
      <c r="Q323" t="s">
        <v>39</v>
      </c>
      <c r="R323" t="s">
        <v>40</v>
      </c>
      <c r="S323" s="1">
        <v>3155.1</v>
      </c>
      <c r="T323" s="1">
        <v>0</v>
      </c>
      <c r="U323" s="1">
        <v>0</v>
      </c>
      <c r="V323" s="1">
        <v>3155.1</v>
      </c>
      <c r="W323">
        <v>0</v>
      </c>
    </row>
    <row r="324" spans="1:23" hidden="1" x14ac:dyDescent="0.35">
      <c r="A324" t="s">
        <v>443</v>
      </c>
      <c r="B324" t="s">
        <v>444</v>
      </c>
      <c r="C324" t="s">
        <v>363</v>
      </c>
      <c r="D324" t="s">
        <v>364</v>
      </c>
      <c r="E324" t="s">
        <v>365</v>
      </c>
      <c r="F324" t="s">
        <v>189</v>
      </c>
      <c r="G324" t="s">
        <v>366</v>
      </c>
      <c r="H324" t="s">
        <v>28</v>
      </c>
      <c r="I324" t="s">
        <v>231</v>
      </c>
      <c r="J324" t="s">
        <v>232</v>
      </c>
      <c r="K324" t="s">
        <v>33</v>
      </c>
      <c r="L324" t="s">
        <v>51</v>
      </c>
      <c r="M324" t="s">
        <v>367</v>
      </c>
      <c r="N324" t="s">
        <v>368</v>
      </c>
      <c r="O324" t="s">
        <v>108</v>
      </c>
      <c r="P324" t="s">
        <v>109</v>
      </c>
      <c r="Q324" t="s">
        <v>39</v>
      </c>
      <c r="R324" t="s">
        <v>40</v>
      </c>
      <c r="S324" s="1">
        <v>211289.8</v>
      </c>
      <c r="T324" s="1">
        <v>49094.681299999997</v>
      </c>
      <c r="U324" s="1">
        <v>18516.982599999999</v>
      </c>
      <c r="V324" s="1">
        <v>162195.11869999999</v>
      </c>
      <c r="W324">
        <v>23</v>
      </c>
    </row>
    <row r="325" spans="1:23" hidden="1" x14ac:dyDescent="0.35">
      <c r="A325" t="s">
        <v>443</v>
      </c>
      <c r="B325" t="s">
        <v>444</v>
      </c>
      <c r="C325" t="s">
        <v>369</v>
      </c>
      <c r="D325" t="s">
        <v>364</v>
      </c>
      <c r="E325" t="s">
        <v>365</v>
      </c>
      <c r="F325" t="s">
        <v>189</v>
      </c>
      <c r="G325" t="s">
        <v>366</v>
      </c>
      <c r="H325" t="s">
        <v>28</v>
      </c>
      <c r="I325" t="s">
        <v>231</v>
      </c>
      <c r="J325" t="s">
        <v>232</v>
      </c>
      <c r="K325" t="s">
        <v>33</v>
      </c>
      <c r="L325" t="s">
        <v>51</v>
      </c>
      <c r="M325" t="s">
        <v>367</v>
      </c>
      <c r="N325" t="s">
        <v>368</v>
      </c>
      <c r="O325" t="s">
        <v>334</v>
      </c>
      <c r="P325" t="s">
        <v>335</v>
      </c>
      <c r="Q325" t="s">
        <v>39</v>
      </c>
      <c r="R325" t="s">
        <v>40</v>
      </c>
      <c r="S325" s="1">
        <v>21225</v>
      </c>
      <c r="T325" s="1">
        <v>3352.4490000000001</v>
      </c>
      <c r="U325" s="1">
        <v>1117.4829999999999</v>
      </c>
      <c r="V325" s="1">
        <v>17872.550999999999</v>
      </c>
      <c r="W325">
        <v>16</v>
      </c>
    </row>
    <row r="326" spans="1:23" hidden="1" x14ac:dyDescent="0.35">
      <c r="A326" t="s">
        <v>443</v>
      </c>
      <c r="B326" t="s">
        <v>444</v>
      </c>
      <c r="C326" t="s">
        <v>370</v>
      </c>
      <c r="D326" t="s">
        <v>364</v>
      </c>
      <c r="E326" t="s">
        <v>365</v>
      </c>
      <c r="F326" t="s">
        <v>189</v>
      </c>
      <c r="G326" t="s">
        <v>366</v>
      </c>
      <c r="H326" t="s">
        <v>28</v>
      </c>
      <c r="I326" t="s">
        <v>231</v>
      </c>
      <c r="J326" t="s">
        <v>232</v>
      </c>
      <c r="K326" t="s">
        <v>33</v>
      </c>
      <c r="L326" t="s">
        <v>51</v>
      </c>
      <c r="M326" t="s">
        <v>371</v>
      </c>
      <c r="N326" t="s">
        <v>372</v>
      </c>
      <c r="O326" t="s">
        <v>108</v>
      </c>
      <c r="P326" t="s">
        <v>109</v>
      </c>
      <c r="Q326" t="s">
        <v>39</v>
      </c>
      <c r="R326" t="s">
        <v>40</v>
      </c>
      <c r="S326" s="1">
        <v>3994.2</v>
      </c>
      <c r="T326" s="1">
        <v>941.89679999999998</v>
      </c>
      <c r="U326" s="1">
        <v>316.57639999999998</v>
      </c>
      <c r="V326" s="1">
        <v>3052.3031999999998</v>
      </c>
      <c r="W326">
        <v>24</v>
      </c>
    </row>
    <row r="327" spans="1:23" hidden="1" x14ac:dyDescent="0.35">
      <c r="A327" t="s">
        <v>443</v>
      </c>
      <c r="B327" t="s">
        <v>444</v>
      </c>
      <c r="C327" t="s">
        <v>373</v>
      </c>
      <c r="D327" t="s">
        <v>364</v>
      </c>
      <c r="E327" t="s">
        <v>365</v>
      </c>
      <c r="F327" t="s">
        <v>189</v>
      </c>
      <c r="G327" t="s">
        <v>366</v>
      </c>
      <c r="H327" t="s">
        <v>28</v>
      </c>
      <c r="I327" t="s">
        <v>231</v>
      </c>
      <c r="J327" t="s">
        <v>232</v>
      </c>
      <c r="K327" t="s">
        <v>33</v>
      </c>
      <c r="L327" t="s">
        <v>51</v>
      </c>
      <c r="M327" t="s">
        <v>371</v>
      </c>
      <c r="N327" t="s">
        <v>372</v>
      </c>
      <c r="O327" t="s">
        <v>334</v>
      </c>
      <c r="P327" t="s">
        <v>335</v>
      </c>
      <c r="Q327" t="s">
        <v>39</v>
      </c>
      <c r="R327" t="s">
        <v>40</v>
      </c>
      <c r="S327" s="1">
        <v>128356.9</v>
      </c>
      <c r="T327" s="1">
        <v>31691.429700000001</v>
      </c>
      <c r="U327" s="1">
        <v>9586.2988999999998</v>
      </c>
      <c r="V327" s="1">
        <v>96665.470300000001</v>
      </c>
      <c r="W327">
        <v>25</v>
      </c>
    </row>
    <row r="328" spans="1:23" hidden="1" x14ac:dyDescent="0.35">
      <c r="A328" t="s">
        <v>443</v>
      </c>
      <c r="B328" t="s">
        <v>444</v>
      </c>
      <c r="C328" t="s">
        <v>374</v>
      </c>
      <c r="D328" t="s">
        <v>364</v>
      </c>
      <c r="E328" t="s">
        <v>365</v>
      </c>
      <c r="F328" t="s">
        <v>189</v>
      </c>
      <c r="G328" t="s">
        <v>366</v>
      </c>
      <c r="H328" t="s">
        <v>28</v>
      </c>
      <c r="I328" t="s">
        <v>231</v>
      </c>
      <c r="J328" t="s">
        <v>232</v>
      </c>
      <c r="K328" t="s">
        <v>33</v>
      </c>
      <c r="L328" t="s">
        <v>51</v>
      </c>
      <c r="M328" t="s">
        <v>375</v>
      </c>
      <c r="N328" t="s">
        <v>376</v>
      </c>
      <c r="O328" t="s">
        <v>197</v>
      </c>
      <c r="P328" t="s">
        <v>198</v>
      </c>
      <c r="Q328" t="s">
        <v>39</v>
      </c>
      <c r="R328" t="s">
        <v>40</v>
      </c>
      <c r="S328" s="1">
        <v>21376.1</v>
      </c>
      <c r="T328" s="1">
        <v>0</v>
      </c>
      <c r="U328" s="1">
        <v>0</v>
      </c>
      <c r="V328" s="1">
        <v>21376.1</v>
      </c>
      <c r="W328">
        <v>0</v>
      </c>
    </row>
    <row r="329" spans="1:23" hidden="1" x14ac:dyDescent="0.35">
      <c r="A329" t="s">
        <v>443</v>
      </c>
      <c r="B329" t="s">
        <v>444</v>
      </c>
      <c r="C329" t="s">
        <v>377</v>
      </c>
      <c r="D329" t="s">
        <v>364</v>
      </c>
      <c r="E329" t="s">
        <v>365</v>
      </c>
      <c r="F329" t="s">
        <v>189</v>
      </c>
      <c r="G329" t="s">
        <v>366</v>
      </c>
      <c r="H329" t="s">
        <v>28</v>
      </c>
      <c r="I329" t="s">
        <v>231</v>
      </c>
      <c r="J329" t="s">
        <v>232</v>
      </c>
      <c r="K329" t="s">
        <v>33</v>
      </c>
      <c r="L329" t="s">
        <v>51</v>
      </c>
      <c r="M329" t="s">
        <v>378</v>
      </c>
      <c r="N329" t="s">
        <v>379</v>
      </c>
      <c r="O329" t="s">
        <v>108</v>
      </c>
      <c r="P329" t="s">
        <v>109</v>
      </c>
      <c r="Q329" t="s">
        <v>39</v>
      </c>
      <c r="R329" t="s">
        <v>40</v>
      </c>
      <c r="S329" s="1">
        <v>10959</v>
      </c>
      <c r="T329" s="1">
        <v>1608.7141999999999</v>
      </c>
      <c r="U329" s="1">
        <v>1112.2781</v>
      </c>
      <c r="V329" s="1">
        <v>9350.2857999999997</v>
      </c>
      <c r="W329">
        <v>15</v>
      </c>
    </row>
    <row r="330" spans="1:23" hidden="1" x14ac:dyDescent="0.35">
      <c r="A330" t="s">
        <v>443</v>
      </c>
      <c r="B330" t="s">
        <v>444</v>
      </c>
      <c r="C330" t="s">
        <v>380</v>
      </c>
      <c r="D330" t="s">
        <v>364</v>
      </c>
      <c r="E330" t="s">
        <v>365</v>
      </c>
      <c r="F330" t="s">
        <v>189</v>
      </c>
      <c r="G330" t="s">
        <v>366</v>
      </c>
      <c r="H330" t="s">
        <v>28</v>
      </c>
      <c r="I330" t="s">
        <v>231</v>
      </c>
      <c r="J330" t="s">
        <v>232</v>
      </c>
      <c r="K330" t="s">
        <v>33</v>
      </c>
      <c r="L330" t="s">
        <v>51</v>
      </c>
      <c r="M330" t="s">
        <v>378</v>
      </c>
      <c r="N330" t="s">
        <v>379</v>
      </c>
      <c r="O330" t="s">
        <v>334</v>
      </c>
      <c r="P330" t="s">
        <v>335</v>
      </c>
      <c r="Q330" t="s">
        <v>39</v>
      </c>
      <c r="R330" t="s">
        <v>40</v>
      </c>
      <c r="S330" s="1">
        <v>513202</v>
      </c>
      <c r="T330" s="1">
        <v>129431.7577</v>
      </c>
      <c r="U330" s="1">
        <v>44784.993900000001</v>
      </c>
      <c r="V330" s="1">
        <v>383770.24229999998</v>
      </c>
      <c r="W330">
        <v>25</v>
      </c>
    </row>
    <row r="331" spans="1:23" hidden="1" x14ac:dyDescent="0.35">
      <c r="A331" t="s">
        <v>443</v>
      </c>
      <c r="B331" t="s">
        <v>444</v>
      </c>
      <c r="C331" t="s">
        <v>381</v>
      </c>
      <c r="D331" t="s">
        <v>364</v>
      </c>
      <c r="E331" t="s">
        <v>365</v>
      </c>
      <c r="F331" t="s">
        <v>189</v>
      </c>
      <c r="G331" t="s">
        <v>366</v>
      </c>
      <c r="H331" t="s">
        <v>28</v>
      </c>
      <c r="I331" t="s">
        <v>231</v>
      </c>
      <c r="J331" t="s">
        <v>232</v>
      </c>
      <c r="K331" t="s">
        <v>33</v>
      </c>
      <c r="L331" t="s">
        <v>51</v>
      </c>
      <c r="M331" t="s">
        <v>382</v>
      </c>
      <c r="N331" t="s">
        <v>383</v>
      </c>
      <c r="O331" t="s">
        <v>108</v>
      </c>
      <c r="P331" t="s">
        <v>109</v>
      </c>
      <c r="Q331" t="s">
        <v>39</v>
      </c>
      <c r="R331" t="s">
        <v>40</v>
      </c>
      <c r="S331" s="1">
        <v>4541.7</v>
      </c>
      <c r="T331" s="1">
        <v>796.38750000000005</v>
      </c>
      <c r="U331" s="1">
        <v>290.31689999999998</v>
      </c>
      <c r="V331" s="1">
        <v>3745.3125</v>
      </c>
      <c r="W331">
        <v>18</v>
      </c>
    </row>
    <row r="332" spans="1:23" hidden="1" x14ac:dyDescent="0.35">
      <c r="A332" t="s">
        <v>443</v>
      </c>
      <c r="B332" t="s">
        <v>444</v>
      </c>
      <c r="C332" t="s">
        <v>384</v>
      </c>
      <c r="D332" t="s">
        <v>364</v>
      </c>
      <c r="E332" t="s">
        <v>365</v>
      </c>
      <c r="F332" t="s">
        <v>189</v>
      </c>
      <c r="G332" t="s">
        <v>366</v>
      </c>
      <c r="H332" t="s">
        <v>28</v>
      </c>
      <c r="I332" t="s">
        <v>231</v>
      </c>
      <c r="J332" t="s">
        <v>232</v>
      </c>
      <c r="K332" t="s">
        <v>33</v>
      </c>
      <c r="L332" t="s">
        <v>51</v>
      </c>
      <c r="M332" t="s">
        <v>382</v>
      </c>
      <c r="N332" t="s">
        <v>383</v>
      </c>
      <c r="O332" t="s">
        <v>334</v>
      </c>
      <c r="P332" t="s">
        <v>335</v>
      </c>
      <c r="Q332" t="s">
        <v>39</v>
      </c>
      <c r="R332" t="s">
        <v>40</v>
      </c>
      <c r="S332" s="1">
        <v>59802</v>
      </c>
      <c r="T332" s="1">
        <v>13876.019899999999</v>
      </c>
      <c r="U332" s="1">
        <v>4629.5343999999996</v>
      </c>
      <c r="V332" s="1">
        <v>45925.980100000001</v>
      </c>
      <c r="W332">
        <v>23</v>
      </c>
    </row>
    <row r="333" spans="1:23" hidden="1" x14ac:dyDescent="0.35">
      <c r="A333" t="s">
        <v>443</v>
      </c>
      <c r="B333" t="s">
        <v>444</v>
      </c>
      <c r="C333" t="s">
        <v>385</v>
      </c>
      <c r="D333" t="s">
        <v>364</v>
      </c>
      <c r="E333" t="s">
        <v>365</v>
      </c>
      <c r="F333" t="s">
        <v>189</v>
      </c>
      <c r="G333" t="s">
        <v>366</v>
      </c>
      <c r="H333" t="s">
        <v>28</v>
      </c>
      <c r="I333" t="s">
        <v>231</v>
      </c>
      <c r="J333" t="s">
        <v>232</v>
      </c>
      <c r="K333" t="s">
        <v>33</v>
      </c>
      <c r="L333" t="s">
        <v>51</v>
      </c>
      <c r="M333" t="s">
        <v>386</v>
      </c>
      <c r="N333" t="s">
        <v>387</v>
      </c>
      <c r="O333" t="s">
        <v>197</v>
      </c>
      <c r="P333" t="s">
        <v>198</v>
      </c>
      <c r="Q333" t="s">
        <v>39</v>
      </c>
      <c r="R333" t="s">
        <v>40</v>
      </c>
      <c r="S333" s="1">
        <v>3856.7</v>
      </c>
      <c r="T333" s="1">
        <v>0</v>
      </c>
      <c r="U333" s="1">
        <v>0</v>
      </c>
      <c r="V333" s="1">
        <v>3856.7</v>
      </c>
      <c r="W333">
        <v>0</v>
      </c>
    </row>
    <row r="334" spans="1:23" hidden="1" x14ac:dyDescent="0.35">
      <c r="A334" t="s">
        <v>443</v>
      </c>
      <c r="B334" t="s">
        <v>444</v>
      </c>
      <c r="C334" t="s">
        <v>388</v>
      </c>
      <c r="D334" t="s">
        <v>364</v>
      </c>
      <c r="E334" t="s">
        <v>365</v>
      </c>
      <c r="F334" t="s">
        <v>189</v>
      </c>
      <c r="G334" t="s">
        <v>366</v>
      </c>
      <c r="H334" t="s">
        <v>28</v>
      </c>
      <c r="I334" t="s">
        <v>231</v>
      </c>
      <c r="J334" t="s">
        <v>232</v>
      </c>
      <c r="K334" t="s">
        <v>33</v>
      </c>
      <c r="L334" t="s">
        <v>51</v>
      </c>
      <c r="M334" t="s">
        <v>389</v>
      </c>
      <c r="N334" t="s">
        <v>390</v>
      </c>
      <c r="O334" t="s">
        <v>197</v>
      </c>
      <c r="P334" t="s">
        <v>198</v>
      </c>
      <c r="Q334" t="s">
        <v>39</v>
      </c>
      <c r="R334" t="s">
        <v>40</v>
      </c>
      <c r="S334" s="1">
        <v>2500</v>
      </c>
      <c r="T334" s="1">
        <v>0</v>
      </c>
      <c r="U334" s="1">
        <v>0</v>
      </c>
      <c r="V334" s="1">
        <v>2500</v>
      </c>
      <c r="W334">
        <v>0</v>
      </c>
    </row>
    <row r="335" spans="1:23" hidden="1" x14ac:dyDescent="0.35">
      <c r="A335" t="s">
        <v>443</v>
      </c>
      <c r="B335" t="s">
        <v>444</v>
      </c>
      <c r="C335" t="s">
        <v>391</v>
      </c>
      <c r="D335" t="s">
        <v>392</v>
      </c>
      <c r="E335" t="s">
        <v>365</v>
      </c>
      <c r="F335" t="s">
        <v>28</v>
      </c>
      <c r="G335" t="s">
        <v>393</v>
      </c>
      <c r="H335" t="s">
        <v>28</v>
      </c>
      <c r="I335" t="s">
        <v>231</v>
      </c>
      <c r="J335" t="s">
        <v>232</v>
      </c>
      <c r="K335" t="s">
        <v>33</v>
      </c>
      <c r="L335" t="s">
        <v>51</v>
      </c>
      <c r="M335" t="s">
        <v>394</v>
      </c>
      <c r="N335" t="s">
        <v>395</v>
      </c>
      <c r="O335" t="s">
        <v>197</v>
      </c>
      <c r="P335" t="s">
        <v>198</v>
      </c>
      <c r="Q335" t="s">
        <v>39</v>
      </c>
      <c r="R335" t="s">
        <v>40</v>
      </c>
      <c r="S335" s="1">
        <v>51205.3</v>
      </c>
      <c r="T335" s="1">
        <v>3338.1469999999999</v>
      </c>
      <c r="U335" s="1">
        <v>1970.558</v>
      </c>
      <c r="V335" s="1">
        <v>47867.152999999998</v>
      </c>
      <c r="W335">
        <v>7</v>
      </c>
    </row>
    <row r="336" spans="1:23" hidden="1" x14ac:dyDescent="0.35">
      <c r="A336" t="s">
        <v>443</v>
      </c>
      <c r="B336" t="s">
        <v>444</v>
      </c>
      <c r="C336" t="s">
        <v>396</v>
      </c>
      <c r="D336" t="s">
        <v>397</v>
      </c>
      <c r="E336" t="s">
        <v>365</v>
      </c>
      <c r="F336" t="s">
        <v>318</v>
      </c>
      <c r="G336" t="s">
        <v>398</v>
      </c>
      <c r="H336" t="s">
        <v>116</v>
      </c>
      <c r="I336" t="s">
        <v>148</v>
      </c>
      <c r="J336" t="s">
        <v>149</v>
      </c>
      <c r="K336" t="s">
        <v>33</v>
      </c>
      <c r="L336" t="s">
        <v>34</v>
      </c>
      <c r="M336" t="s">
        <v>399</v>
      </c>
      <c r="N336" t="s">
        <v>400</v>
      </c>
      <c r="O336" t="s">
        <v>401</v>
      </c>
      <c r="P336" t="s">
        <v>402</v>
      </c>
      <c r="Q336" t="s">
        <v>39</v>
      </c>
      <c r="R336" t="s">
        <v>40</v>
      </c>
      <c r="S336" s="1">
        <v>1328.7</v>
      </c>
      <c r="T336" s="1">
        <v>0</v>
      </c>
      <c r="U336" s="1">
        <v>0</v>
      </c>
      <c r="V336" s="1">
        <v>1328.7</v>
      </c>
      <c r="W336">
        <v>0</v>
      </c>
    </row>
    <row r="337" spans="1:23" hidden="1" x14ac:dyDescent="0.35">
      <c r="A337" t="s">
        <v>443</v>
      </c>
      <c r="B337" t="s">
        <v>444</v>
      </c>
      <c r="C337" t="s">
        <v>403</v>
      </c>
      <c r="D337" t="s">
        <v>404</v>
      </c>
      <c r="E337" t="s">
        <v>405</v>
      </c>
      <c r="F337" t="s">
        <v>146</v>
      </c>
      <c r="G337" t="s">
        <v>406</v>
      </c>
      <c r="H337" t="s">
        <v>318</v>
      </c>
      <c r="I337" t="s">
        <v>407</v>
      </c>
      <c r="J337" t="s">
        <v>408</v>
      </c>
      <c r="K337" t="s">
        <v>33</v>
      </c>
      <c r="L337" t="s">
        <v>51</v>
      </c>
      <c r="M337" t="s">
        <v>409</v>
      </c>
      <c r="N337" t="s">
        <v>410</v>
      </c>
      <c r="O337" t="s">
        <v>108</v>
      </c>
      <c r="P337" t="s">
        <v>109</v>
      </c>
      <c r="Q337" t="s">
        <v>39</v>
      </c>
      <c r="R337" t="s">
        <v>40</v>
      </c>
      <c r="S337" s="1">
        <v>191160.4</v>
      </c>
      <c r="T337" s="1">
        <v>44685.174899999998</v>
      </c>
      <c r="U337" s="1">
        <v>18116.5</v>
      </c>
      <c r="V337" s="1">
        <v>146475.22510000001</v>
      </c>
      <c r="W337">
        <v>23</v>
      </c>
    </row>
    <row r="338" spans="1:23" hidden="1" x14ac:dyDescent="0.35">
      <c r="A338" t="s">
        <v>443</v>
      </c>
      <c r="B338" t="s">
        <v>444</v>
      </c>
      <c r="C338" t="s">
        <v>440</v>
      </c>
      <c r="D338" t="s">
        <v>404</v>
      </c>
      <c r="E338" t="s">
        <v>405</v>
      </c>
      <c r="F338" t="s">
        <v>146</v>
      </c>
      <c r="G338" t="s">
        <v>406</v>
      </c>
      <c r="H338" t="s">
        <v>318</v>
      </c>
      <c r="I338" t="s">
        <v>407</v>
      </c>
      <c r="J338" t="s">
        <v>408</v>
      </c>
      <c r="K338" t="s">
        <v>33</v>
      </c>
      <c r="L338" t="s">
        <v>51</v>
      </c>
      <c r="M338" t="s">
        <v>441</v>
      </c>
      <c r="N338" t="s">
        <v>442</v>
      </c>
      <c r="O338" t="s">
        <v>197</v>
      </c>
      <c r="P338" t="s">
        <v>198</v>
      </c>
      <c r="Q338" t="s">
        <v>39</v>
      </c>
      <c r="R338" t="s">
        <v>40</v>
      </c>
      <c r="S338" s="1">
        <v>35508.9</v>
      </c>
      <c r="T338" s="1">
        <v>0</v>
      </c>
      <c r="U338" s="1">
        <v>0</v>
      </c>
      <c r="V338" s="1">
        <v>35508.9</v>
      </c>
      <c r="W338">
        <v>0</v>
      </c>
    </row>
    <row r="339" spans="1:23" hidden="1" x14ac:dyDescent="0.35">
      <c r="A339" t="s">
        <v>443</v>
      </c>
      <c r="B339" t="s">
        <v>444</v>
      </c>
      <c r="C339" t="s">
        <v>411</v>
      </c>
      <c r="D339" t="s">
        <v>412</v>
      </c>
      <c r="E339" t="s">
        <v>405</v>
      </c>
      <c r="F339" t="s">
        <v>189</v>
      </c>
      <c r="G339" t="s">
        <v>413</v>
      </c>
      <c r="H339" t="s">
        <v>318</v>
      </c>
      <c r="I339" t="s">
        <v>407</v>
      </c>
      <c r="J339" t="s">
        <v>408</v>
      </c>
      <c r="K339" t="s">
        <v>33</v>
      </c>
      <c r="L339" t="s">
        <v>51</v>
      </c>
      <c r="M339" t="s">
        <v>414</v>
      </c>
      <c r="N339" t="s">
        <v>415</v>
      </c>
      <c r="O339" t="s">
        <v>197</v>
      </c>
      <c r="P339" t="s">
        <v>198</v>
      </c>
      <c r="Q339" t="s">
        <v>39</v>
      </c>
      <c r="R339" t="s">
        <v>40</v>
      </c>
      <c r="S339" s="1">
        <v>3693.1</v>
      </c>
      <c r="T339" s="1">
        <v>0</v>
      </c>
      <c r="U339" s="1">
        <v>0</v>
      </c>
      <c r="V339" s="1">
        <v>3693.1</v>
      </c>
      <c r="W339">
        <v>0</v>
      </c>
    </row>
    <row r="340" spans="1:23" hidden="1" x14ac:dyDescent="0.35">
      <c r="A340" t="s">
        <v>443</v>
      </c>
      <c r="B340" t="s">
        <v>444</v>
      </c>
      <c r="C340" t="s">
        <v>416</v>
      </c>
      <c r="D340" t="s">
        <v>417</v>
      </c>
      <c r="E340" t="s">
        <v>405</v>
      </c>
      <c r="F340" t="s">
        <v>28</v>
      </c>
      <c r="G340" t="s">
        <v>418</v>
      </c>
      <c r="H340" t="s">
        <v>318</v>
      </c>
      <c r="I340" t="s">
        <v>407</v>
      </c>
      <c r="J340" t="s">
        <v>408</v>
      </c>
      <c r="K340" t="s">
        <v>33</v>
      </c>
      <c r="L340" t="s">
        <v>51</v>
      </c>
      <c r="M340" t="s">
        <v>419</v>
      </c>
      <c r="N340" t="s">
        <v>420</v>
      </c>
      <c r="O340" t="s">
        <v>108</v>
      </c>
      <c r="P340" t="s">
        <v>109</v>
      </c>
      <c r="Q340" t="s">
        <v>39</v>
      </c>
      <c r="R340" t="s">
        <v>40</v>
      </c>
      <c r="S340" s="1">
        <v>356415.3</v>
      </c>
      <c r="T340" s="1">
        <v>65854.411800000002</v>
      </c>
      <c r="U340" s="1">
        <v>21389.680700000001</v>
      </c>
      <c r="V340" s="1">
        <v>290560.88819999999</v>
      </c>
      <c r="W340">
        <v>18</v>
      </c>
    </row>
    <row r="341" spans="1:23" hidden="1" x14ac:dyDescent="0.35">
      <c r="A341" t="s">
        <v>458</v>
      </c>
      <c r="B341" t="s">
        <v>459</v>
      </c>
      <c r="C341" t="s">
        <v>25</v>
      </c>
      <c r="D341" t="s">
        <v>26</v>
      </c>
      <c r="E341" t="s">
        <v>27</v>
      </c>
      <c r="F341" t="s">
        <v>28</v>
      </c>
      <c r="G341" t="s">
        <v>29</v>
      </c>
      <c r="H341" t="s">
        <v>30</v>
      </c>
      <c r="I341" t="s">
        <v>31</v>
      </c>
      <c r="J341" t="s">
        <v>32</v>
      </c>
      <c r="K341" t="s">
        <v>33</v>
      </c>
      <c r="L341" t="s">
        <v>34</v>
      </c>
      <c r="M341" t="s">
        <v>35</v>
      </c>
      <c r="N341" t="s">
        <v>36</v>
      </c>
      <c r="O341" t="s">
        <v>37</v>
      </c>
      <c r="P341" t="s">
        <v>38</v>
      </c>
      <c r="Q341" t="s">
        <v>39</v>
      </c>
      <c r="R341" t="s">
        <v>40</v>
      </c>
      <c r="S341" s="1">
        <v>730.5</v>
      </c>
      <c r="T341" s="1">
        <v>66.945300000000003</v>
      </c>
      <c r="U341" s="1">
        <v>29.917200000000001</v>
      </c>
      <c r="V341" s="1">
        <v>663.55470000000003</v>
      </c>
      <c r="W341">
        <v>9</v>
      </c>
    </row>
    <row r="342" spans="1:23" hidden="1" x14ac:dyDescent="0.35">
      <c r="A342" t="s">
        <v>458</v>
      </c>
      <c r="B342" t="s">
        <v>459</v>
      </c>
      <c r="C342" t="s">
        <v>41</v>
      </c>
      <c r="D342" t="s">
        <v>26</v>
      </c>
      <c r="E342" t="s">
        <v>27</v>
      </c>
      <c r="F342" t="s">
        <v>28</v>
      </c>
      <c r="G342" t="s">
        <v>29</v>
      </c>
      <c r="H342" t="s">
        <v>30</v>
      </c>
      <c r="I342" t="s">
        <v>31</v>
      </c>
      <c r="J342" t="s">
        <v>32</v>
      </c>
      <c r="K342" t="s">
        <v>33</v>
      </c>
      <c r="L342" t="s">
        <v>34</v>
      </c>
      <c r="M342" t="s">
        <v>35</v>
      </c>
      <c r="N342" t="s">
        <v>36</v>
      </c>
      <c r="O342" t="s">
        <v>42</v>
      </c>
      <c r="P342" t="s">
        <v>43</v>
      </c>
      <c r="Q342" t="s">
        <v>39</v>
      </c>
      <c r="R342" t="s">
        <v>40</v>
      </c>
      <c r="S342" s="1">
        <v>32.5</v>
      </c>
      <c r="T342" s="1">
        <v>10.576499999999999</v>
      </c>
      <c r="U342" s="1">
        <v>10.373100000000001</v>
      </c>
      <c r="V342" s="1">
        <v>21.923500000000001</v>
      </c>
      <c r="W342">
        <v>33</v>
      </c>
    </row>
    <row r="343" spans="1:23" hidden="1" x14ac:dyDescent="0.35">
      <c r="A343" t="s">
        <v>458</v>
      </c>
      <c r="B343" t="s">
        <v>459</v>
      </c>
      <c r="C343" t="s">
        <v>44</v>
      </c>
      <c r="D343" t="s">
        <v>45</v>
      </c>
      <c r="E343" t="s">
        <v>27</v>
      </c>
      <c r="F343" t="s">
        <v>46</v>
      </c>
      <c r="G343" t="s">
        <v>47</v>
      </c>
      <c r="H343" t="s">
        <v>48</v>
      </c>
      <c r="I343" t="s">
        <v>49</v>
      </c>
      <c r="J343" t="s">
        <v>50</v>
      </c>
      <c r="K343" t="s">
        <v>33</v>
      </c>
      <c r="L343" t="s">
        <v>51</v>
      </c>
      <c r="M343" t="s">
        <v>52</v>
      </c>
      <c r="N343" t="s">
        <v>53</v>
      </c>
      <c r="O343" t="s">
        <v>54</v>
      </c>
      <c r="P343" t="s">
        <v>55</v>
      </c>
      <c r="Q343" t="s">
        <v>39</v>
      </c>
      <c r="R343" t="s">
        <v>40</v>
      </c>
      <c r="S343" s="1">
        <v>67.2</v>
      </c>
      <c r="T343" s="1">
        <v>0</v>
      </c>
      <c r="U343" s="1">
        <v>0</v>
      </c>
      <c r="V343" s="1">
        <v>67.2</v>
      </c>
      <c r="W343">
        <v>0</v>
      </c>
    </row>
    <row r="344" spans="1:23" hidden="1" x14ac:dyDescent="0.35">
      <c r="A344" t="s">
        <v>458</v>
      </c>
      <c r="B344" t="s">
        <v>459</v>
      </c>
      <c r="C344" t="s">
        <v>56</v>
      </c>
      <c r="D344" t="s">
        <v>45</v>
      </c>
      <c r="E344" t="s">
        <v>27</v>
      </c>
      <c r="F344" t="s">
        <v>46</v>
      </c>
      <c r="G344" t="s">
        <v>47</v>
      </c>
      <c r="H344" t="s">
        <v>48</v>
      </c>
      <c r="I344" t="s">
        <v>49</v>
      </c>
      <c r="J344" t="s">
        <v>50</v>
      </c>
      <c r="K344" t="s">
        <v>33</v>
      </c>
      <c r="L344" t="s">
        <v>51</v>
      </c>
      <c r="M344" t="s">
        <v>57</v>
      </c>
      <c r="N344" t="s">
        <v>58</v>
      </c>
      <c r="O344" t="s">
        <v>37</v>
      </c>
      <c r="P344" t="s">
        <v>38</v>
      </c>
      <c r="Q344" t="s">
        <v>39</v>
      </c>
      <c r="R344" t="s">
        <v>40</v>
      </c>
      <c r="S344" s="1">
        <v>61.9</v>
      </c>
      <c r="T344" s="1">
        <v>0</v>
      </c>
      <c r="U344" s="1">
        <v>0</v>
      </c>
      <c r="V344" s="1">
        <v>61.9</v>
      </c>
      <c r="W344">
        <v>0</v>
      </c>
    </row>
    <row r="345" spans="1:23" hidden="1" x14ac:dyDescent="0.35">
      <c r="A345" t="s">
        <v>458</v>
      </c>
      <c r="B345" t="s">
        <v>459</v>
      </c>
      <c r="C345" t="s">
        <v>59</v>
      </c>
      <c r="D345" t="s">
        <v>45</v>
      </c>
      <c r="E345" t="s">
        <v>27</v>
      </c>
      <c r="F345" t="s">
        <v>46</v>
      </c>
      <c r="G345" t="s">
        <v>47</v>
      </c>
      <c r="H345" t="s">
        <v>60</v>
      </c>
      <c r="I345" t="s">
        <v>61</v>
      </c>
      <c r="J345" t="s">
        <v>62</v>
      </c>
      <c r="K345" t="s">
        <v>33</v>
      </c>
      <c r="L345" t="s">
        <v>51</v>
      </c>
      <c r="M345" t="s">
        <v>63</v>
      </c>
      <c r="N345" t="s">
        <v>64</v>
      </c>
      <c r="O345" t="s">
        <v>37</v>
      </c>
      <c r="P345" t="s">
        <v>38</v>
      </c>
      <c r="Q345" t="s">
        <v>39</v>
      </c>
      <c r="R345" t="s">
        <v>40</v>
      </c>
      <c r="S345" s="1">
        <v>216.9</v>
      </c>
      <c r="T345" s="1">
        <v>70</v>
      </c>
      <c r="U345" s="1">
        <v>0</v>
      </c>
      <c r="V345" s="1">
        <v>146.9</v>
      </c>
      <c r="W345">
        <v>32</v>
      </c>
    </row>
    <row r="346" spans="1:23" hidden="1" x14ac:dyDescent="0.35">
      <c r="A346" t="s">
        <v>458</v>
      </c>
      <c r="B346" t="s">
        <v>459</v>
      </c>
      <c r="C346" t="s">
        <v>65</v>
      </c>
      <c r="D346" t="s">
        <v>45</v>
      </c>
      <c r="E346" t="s">
        <v>27</v>
      </c>
      <c r="F346" t="s">
        <v>46</v>
      </c>
      <c r="G346" t="s">
        <v>47</v>
      </c>
      <c r="H346" t="s">
        <v>66</v>
      </c>
      <c r="I346" t="s">
        <v>67</v>
      </c>
      <c r="J346" t="s">
        <v>68</v>
      </c>
      <c r="K346" t="s">
        <v>33</v>
      </c>
      <c r="L346" t="s">
        <v>51</v>
      </c>
      <c r="M346" t="s">
        <v>69</v>
      </c>
      <c r="N346" t="s">
        <v>70</v>
      </c>
      <c r="O346" t="s">
        <v>37</v>
      </c>
      <c r="P346" t="s">
        <v>38</v>
      </c>
      <c r="Q346" t="s">
        <v>39</v>
      </c>
      <c r="R346" t="s">
        <v>40</v>
      </c>
      <c r="S346" s="1">
        <v>557.5</v>
      </c>
      <c r="T346" s="1">
        <v>125.4349</v>
      </c>
      <c r="U346" s="1">
        <v>125.4349</v>
      </c>
      <c r="V346" s="1">
        <v>432.06509999999997</v>
      </c>
      <c r="W346">
        <v>22</v>
      </c>
    </row>
    <row r="347" spans="1:23" hidden="1" x14ac:dyDescent="0.35">
      <c r="A347" t="s">
        <v>458</v>
      </c>
      <c r="B347" t="s">
        <v>459</v>
      </c>
      <c r="C347" t="s">
        <v>71</v>
      </c>
      <c r="D347" t="s">
        <v>45</v>
      </c>
      <c r="E347" t="s">
        <v>27</v>
      </c>
      <c r="F347" t="s">
        <v>46</v>
      </c>
      <c r="G347" t="s">
        <v>47</v>
      </c>
      <c r="H347" t="s">
        <v>30</v>
      </c>
      <c r="I347" t="s">
        <v>31</v>
      </c>
      <c r="J347" t="s">
        <v>32</v>
      </c>
      <c r="K347" t="s">
        <v>33</v>
      </c>
      <c r="L347" t="s">
        <v>34</v>
      </c>
      <c r="M347" t="s">
        <v>72</v>
      </c>
      <c r="N347" t="s">
        <v>73</v>
      </c>
      <c r="O347" t="s">
        <v>74</v>
      </c>
      <c r="P347" t="s">
        <v>75</v>
      </c>
      <c r="Q347" t="s">
        <v>39</v>
      </c>
      <c r="R347" t="s">
        <v>40</v>
      </c>
      <c r="S347" s="1">
        <v>349800.7</v>
      </c>
      <c r="T347" s="1">
        <v>97485.423699999999</v>
      </c>
      <c r="U347" s="1">
        <v>24016.340700000001</v>
      </c>
      <c r="V347" s="1">
        <v>252315.2763</v>
      </c>
      <c r="W347">
        <v>28</v>
      </c>
    </row>
    <row r="348" spans="1:23" hidden="1" x14ac:dyDescent="0.35">
      <c r="A348" t="s">
        <v>458</v>
      </c>
      <c r="B348" t="s">
        <v>459</v>
      </c>
      <c r="C348" t="s">
        <v>76</v>
      </c>
      <c r="D348" t="s">
        <v>45</v>
      </c>
      <c r="E348" t="s">
        <v>27</v>
      </c>
      <c r="F348" t="s">
        <v>46</v>
      </c>
      <c r="G348" t="s">
        <v>47</v>
      </c>
      <c r="H348" t="s">
        <v>30</v>
      </c>
      <c r="I348" t="s">
        <v>31</v>
      </c>
      <c r="J348" t="s">
        <v>32</v>
      </c>
      <c r="K348" t="s">
        <v>33</v>
      </c>
      <c r="L348" t="s">
        <v>34</v>
      </c>
      <c r="M348" t="s">
        <v>72</v>
      </c>
      <c r="N348" t="s">
        <v>73</v>
      </c>
      <c r="O348" t="s">
        <v>77</v>
      </c>
      <c r="P348" t="s">
        <v>78</v>
      </c>
      <c r="Q348" t="s">
        <v>39</v>
      </c>
      <c r="R348" t="s">
        <v>40</v>
      </c>
      <c r="S348" s="1">
        <v>140.5</v>
      </c>
      <c r="T348" s="1">
        <v>4.93</v>
      </c>
      <c r="U348" s="1">
        <v>0.95099999999999996</v>
      </c>
      <c r="V348" s="1">
        <v>135.57</v>
      </c>
      <c r="W348">
        <v>4</v>
      </c>
    </row>
    <row r="349" spans="1:23" hidden="1" x14ac:dyDescent="0.35">
      <c r="A349" t="s">
        <v>458</v>
      </c>
      <c r="B349" t="s">
        <v>459</v>
      </c>
      <c r="C349" t="s">
        <v>79</v>
      </c>
      <c r="D349" t="s">
        <v>45</v>
      </c>
      <c r="E349" t="s">
        <v>27</v>
      </c>
      <c r="F349" t="s">
        <v>46</v>
      </c>
      <c r="G349" t="s">
        <v>47</v>
      </c>
      <c r="H349" t="s">
        <v>30</v>
      </c>
      <c r="I349" t="s">
        <v>31</v>
      </c>
      <c r="J349" t="s">
        <v>32</v>
      </c>
      <c r="K349" t="s">
        <v>33</v>
      </c>
      <c r="L349" t="s">
        <v>34</v>
      </c>
      <c r="M349" t="s">
        <v>72</v>
      </c>
      <c r="N349" t="s">
        <v>73</v>
      </c>
      <c r="O349" t="s">
        <v>80</v>
      </c>
      <c r="P349" t="s">
        <v>81</v>
      </c>
      <c r="Q349" t="s">
        <v>39</v>
      </c>
      <c r="R349" t="s">
        <v>40</v>
      </c>
      <c r="S349" s="1">
        <v>105260</v>
      </c>
      <c r="T349" s="1">
        <v>31757.357100000001</v>
      </c>
      <c r="U349" s="1">
        <v>9253.6846000000005</v>
      </c>
      <c r="V349" s="1">
        <v>73502.642900000006</v>
      </c>
      <c r="W349">
        <v>30</v>
      </c>
    </row>
    <row r="350" spans="1:23" hidden="1" x14ac:dyDescent="0.35">
      <c r="A350" t="s">
        <v>458</v>
      </c>
      <c r="B350" t="s">
        <v>459</v>
      </c>
      <c r="C350" t="s">
        <v>82</v>
      </c>
      <c r="D350" t="s">
        <v>45</v>
      </c>
      <c r="E350" t="s">
        <v>27</v>
      </c>
      <c r="F350" t="s">
        <v>46</v>
      </c>
      <c r="G350" t="s">
        <v>47</v>
      </c>
      <c r="H350" t="s">
        <v>30</v>
      </c>
      <c r="I350" t="s">
        <v>31</v>
      </c>
      <c r="J350" t="s">
        <v>32</v>
      </c>
      <c r="K350" t="s">
        <v>33</v>
      </c>
      <c r="L350" t="s">
        <v>34</v>
      </c>
      <c r="M350" t="s">
        <v>72</v>
      </c>
      <c r="N350" t="s">
        <v>73</v>
      </c>
      <c r="O350" t="s">
        <v>83</v>
      </c>
      <c r="P350" t="s">
        <v>84</v>
      </c>
      <c r="Q350" t="s">
        <v>39</v>
      </c>
      <c r="R350" t="s">
        <v>40</v>
      </c>
      <c r="S350" s="1">
        <v>300</v>
      </c>
      <c r="T350" s="1">
        <v>66.191900000000004</v>
      </c>
      <c r="U350" s="1">
        <v>66.191900000000004</v>
      </c>
      <c r="V350" s="1">
        <v>233.8081</v>
      </c>
      <c r="W350">
        <v>22</v>
      </c>
    </row>
    <row r="351" spans="1:23" hidden="1" x14ac:dyDescent="0.35">
      <c r="A351" t="s">
        <v>458</v>
      </c>
      <c r="B351" t="s">
        <v>459</v>
      </c>
      <c r="C351" t="s">
        <v>85</v>
      </c>
      <c r="D351" t="s">
        <v>45</v>
      </c>
      <c r="E351" t="s">
        <v>27</v>
      </c>
      <c r="F351" t="s">
        <v>46</v>
      </c>
      <c r="G351" t="s">
        <v>47</v>
      </c>
      <c r="H351" t="s">
        <v>30</v>
      </c>
      <c r="I351" t="s">
        <v>31</v>
      </c>
      <c r="J351" t="s">
        <v>32</v>
      </c>
      <c r="K351" t="s">
        <v>33</v>
      </c>
      <c r="L351" t="s">
        <v>34</v>
      </c>
      <c r="M351" t="s">
        <v>72</v>
      </c>
      <c r="N351" t="s">
        <v>73</v>
      </c>
      <c r="O351" t="s">
        <v>86</v>
      </c>
      <c r="P351" t="s">
        <v>87</v>
      </c>
      <c r="Q351" t="s">
        <v>39</v>
      </c>
      <c r="R351" t="s">
        <v>40</v>
      </c>
      <c r="S351" s="1">
        <v>30943.599999999999</v>
      </c>
      <c r="T351" s="1">
        <v>0</v>
      </c>
      <c r="U351" s="1">
        <v>0</v>
      </c>
      <c r="V351" s="1">
        <v>30943.599999999999</v>
      </c>
      <c r="W351">
        <v>0</v>
      </c>
    </row>
    <row r="352" spans="1:23" hidden="1" x14ac:dyDescent="0.35">
      <c r="A352" t="s">
        <v>458</v>
      </c>
      <c r="B352" t="s">
        <v>459</v>
      </c>
      <c r="C352" t="s">
        <v>88</v>
      </c>
      <c r="D352" t="s">
        <v>45</v>
      </c>
      <c r="E352" t="s">
        <v>27</v>
      </c>
      <c r="F352" t="s">
        <v>46</v>
      </c>
      <c r="G352" t="s">
        <v>47</v>
      </c>
      <c r="H352" t="s">
        <v>30</v>
      </c>
      <c r="I352" t="s">
        <v>31</v>
      </c>
      <c r="J352" t="s">
        <v>32</v>
      </c>
      <c r="K352" t="s">
        <v>33</v>
      </c>
      <c r="L352" t="s">
        <v>34</v>
      </c>
      <c r="M352" t="s">
        <v>72</v>
      </c>
      <c r="N352" t="s">
        <v>73</v>
      </c>
      <c r="O352" t="s">
        <v>37</v>
      </c>
      <c r="P352" t="s">
        <v>38</v>
      </c>
      <c r="Q352" t="s">
        <v>39</v>
      </c>
      <c r="R352" t="s">
        <v>40</v>
      </c>
      <c r="S352" s="1">
        <v>69229.7</v>
      </c>
      <c r="T352" s="1">
        <v>6850.0493999999999</v>
      </c>
      <c r="U352" s="1">
        <v>3143.1824999999999</v>
      </c>
      <c r="V352" s="1">
        <v>62379.650600000001</v>
      </c>
      <c r="W352">
        <v>10</v>
      </c>
    </row>
    <row r="353" spans="1:23" hidden="1" x14ac:dyDescent="0.35">
      <c r="A353" t="s">
        <v>458</v>
      </c>
      <c r="B353" t="s">
        <v>459</v>
      </c>
      <c r="C353" t="s">
        <v>89</v>
      </c>
      <c r="D353" t="s">
        <v>45</v>
      </c>
      <c r="E353" t="s">
        <v>27</v>
      </c>
      <c r="F353" t="s">
        <v>46</v>
      </c>
      <c r="G353" t="s">
        <v>47</v>
      </c>
      <c r="H353" t="s">
        <v>30</v>
      </c>
      <c r="I353" t="s">
        <v>31</v>
      </c>
      <c r="J353" t="s">
        <v>32</v>
      </c>
      <c r="K353" t="s">
        <v>33</v>
      </c>
      <c r="L353" t="s">
        <v>34</v>
      </c>
      <c r="M353" t="s">
        <v>72</v>
      </c>
      <c r="N353" t="s">
        <v>73</v>
      </c>
      <c r="O353" t="s">
        <v>42</v>
      </c>
      <c r="P353" t="s">
        <v>43</v>
      </c>
      <c r="Q353" t="s">
        <v>39</v>
      </c>
      <c r="R353" t="s">
        <v>40</v>
      </c>
      <c r="S353" s="1">
        <v>16962</v>
      </c>
      <c r="T353" s="1">
        <v>7224.4782999999998</v>
      </c>
      <c r="U353" s="1">
        <v>1637.1483000000001</v>
      </c>
      <c r="V353" s="1">
        <v>9737.5216999999993</v>
      </c>
      <c r="W353">
        <v>43</v>
      </c>
    </row>
    <row r="354" spans="1:23" hidden="1" x14ac:dyDescent="0.35">
      <c r="A354" t="s">
        <v>458</v>
      </c>
      <c r="B354" t="s">
        <v>459</v>
      </c>
      <c r="C354" t="s">
        <v>90</v>
      </c>
      <c r="D354" t="s">
        <v>45</v>
      </c>
      <c r="E354" t="s">
        <v>27</v>
      </c>
      <c r="F354" t="s">
        <v>46</v>
      </c>
      <c r="G354" t="s">
        <v>47</v>
      </c>
      <c r="H354" t="s">
        <v>30</v>
      </c>
      <c r="I354" t="s">
        <v>31</v>
      </c>
      <c r="J354" t="s">
        <v>32</v>
      </c>
      <c r="K354" t="s">
        <v>33</v>
      </c>
      <c r="L354" t="s">
        <v>34</v>
      </c>
      <c r="M354" t="s">
        <v>72</v>
      </c>
      <c r="N354" t="s">
        <v>73</v>
      </c>
      <c r="O354" t="s">
        <v>91</v>
      </c>
      <c r="P354" t="s">
        <v>92</v>
      </c>
      <c r="Q354" t="s">
        <v>39</v>
      </c>
      <c r="R354" t="s">
        <v>40</v>
      </c>
      <c r="S354" s="1">
        <v>292.10000000000002</v>
      </c>
      <c r="T354" s="1">
        <v>292.09859999999998</v>
      </c>
      <c r="U354" s="1">
        <v>0</v>
      </c>
      <c r="V354" s="1">
        <v>1.4E-3</v>
      </c>
      <c r="W354">
        <v>100</v>
      </c>
    </row>
    <row r="355" spans="1:23" hidden="1" x14ac:dyDescent="0.35">
      <c r="A355" t="s">
        <v>458</v>
      </c>
      <c r="B355" t="s">
        <v>459</v>
      </c>
      <c r="C355" t="s">
        <v>93</v>
      </c>
      <c r="D355" t="s">
        <v>45</v>
      </c>
      <c r="E355" t="s">
        <v>27</v>
      </c>
      <c r="F355" t="s">
        <v>46</v>
      </c>
      <c r="G355" t="s">
        <v>47</v>
      </c>
      <c r="H355" t="s">
        <v>30</v>
      </c>
      <c r="I355" t="s">
        <v>31</v>
      </c>
      <c r="J355" t="s">
        <v>32</v>
      </c>
      <c r="K355" t="s">
        <v>33</v>
      </c>
      <c r="L355" t="s">
        <v>34</v>
      </c>
      <c r="M355" t="s">
        <v>94</v>
      </c>
      <c r="N355" t="s">
        <v>95</v>
      </c>
      <c r="O355" t="s">
        <v>96</v>
      </c>
      <c r="P355" t="s">
        <v>97</v>
      </c>
      <c r="Q355" t="s">
        <v>39</v>
      </c>
      <c r="R355" t="s">
        <v>40</v>
      </c>
      <c r="S355" s="1">
        <v>216958.1</v>
      </c>
      <c r="T355" s="1">
        <v>67965.385500000004</v>
      </c>
      <c r="U355" s="1">
        <v>18892.732400000001</v>
      </c>
      <c r="V355" s="1">
        <v>148992.7145</v>
      </c>
      <c r="W355">
        <v>31</v>
      </c>
    </row>
    <row r="356" spans="1:23" hidden="1" x14ac:dyDescent="0.35">
      <c r="A356" t="s">
        <v>458</v>
      </c>
      <c r="B356" t="s">
        <v>459</v>
      </c>
      <c r="C356" t="s">
        <v>98</v>
      </c>
      <c r="D356" t="s">
        <v>45</v>
      </c>
      <c r="E356" t="s">
        <v>27</v>
      </c>
      <c r="F356" t="s">
        <v>46</v>
      </c>
      <c r="G356" t="s">
        <v>47</v>
      </c>
      <c r="H356" t="s">
        <v>30</v>
      </c>
      <c r="I356" t="s">
        <v>31</v>
      </c>
      <c r="J356" t="s">
        <v>32</v>
      </c>
      <c r="K356" t="s">
        <v>33</v>
      </c>
      <c r="L356" t="s">
        <v>34</v>
      </c>
      <c r="M356" t="s">
        <v>94</v>
      </c>
      <c r="N356" t="s">
        <v>95</v>
      </c>
      <c r="O356" t="s">
        <v>99</v>
      </c>
      <c r="P356" t="s">
        <v>100</v>
      </c>
      <c r="Q356" t="s">
        <v>39</v>
      </c>
      <c r="R356" t="s">
        <v>40</v>
      </c>
      <c r="S356" s="1">
        <v>65400.7</v>
      </c>
      <c r="T356" s="1">
        <v>17488.7124</v>
      </c>
      <c r="U356" s="1">
        <v>5535.6871000000001</v>
      </c>
      <c r="V356" s="1">
        <v>47911.9876</v>
      </c>
      <c r="W356">
        <v>27</v>
      </c>
    </row>
    <row r="357" spans="1:23" hidden="1" x14ac:dyDescent="0.35">
      <c r="A357" t="s">
        <v>458</v>
      </c>
      <c r="B357" t="s">
        <v>459</v>
      </c>
      <c r="C357" t="s">
        <v>101</v>
      </c>
      <c r="D357" t="s">
        <v>45</v>
      </c>
      <c r="E357" t="s">
        <v>27</v>
      </c>
      <c r="F357" t="s">
        <v>46</v>
      </c>
      <c r="G357" t="s">
        <v>47</v>
      </c>
      <c r="H357" t="s">
        <v>30</v>
      </c>
      <c r="I357" t="s">
        <v>31</v>
      </c>
      <c r="J357" t="s">
        <v>32</v>
      </c>
      <c r="K357" t="s">
        <v>33</v>
      </c>
      <c r="L357" t="s">
        <v>34</v>
      </c>
      <c r="M357" t="s">
        <v>94</v>
      </c>
      <c r="N357" t="s">
        <v>95</v>
      </c>
      <c r="O357" t="s">
        <v>37</v>
      </c>
      <c r="P357" t="s">
        <v>38</v>
      </c>
      <c r="Q357" t="s">
        <v>39</v>
      </c>
      <c r="R357" t="s">
        <v>40</v>
      </c>
      <c r="S357" s="1">
        <v>4394</v>
      </c>
      <c r="T357" s="1">
        <v>1329.9626000000001</v>
      </c>
      <c r="U357" s="1">
        <v>55.047800000000002</v>
      </c>
      <c r="V357" s="1">
        <v>3064.0374000000002</v>
      </c>
      <c r="W357">
        <v>30</v>
      </c>
    </row>
    <row r="358" spans="1:23" hidden="1" x14ac:dyDescent="0.35">
      <c r="A358" t="s">
        <v>458</v>
      </c>
      <c r="B358" t="s">
        <v>459</v>
      </c>
      <c r="C358" t="s">
        <v>102</v>
      </c>
      <c r="D358" t="s">
        <v>45</v>
      </c>
      <c r="E358" t="s">
        <v>27</v>
      </c>
      <c r="F358" t="s">
        <v>46</v>
      </c>
      <c r="G358" t="s">
        <v>47</v>
      </c>
      <c r="H358" t="s">
        <v>30</v>
      </c>
      <c r="I358" t="s">
        <v>31</v>
      </c>
      <c r="J358" t="s">
        <v>32</v>
      </c>
      <c r="K358" t="s">
        <v>33</v>
      </c>
      <c r="L358" t="s">
        <v>34</v>
      </c>
      <c r="M358" t="s">
        <v>94</v>
      </c>
      <c r="N358" t="s">
        <v>95</v>
      </c>
      <c r="O358" t="s">
        <v>103</v>
      </c>
      <c r="P358" t="s">
        <v>104</v>
      </c>
      <c r="Q358" t="s">
        <v>39</v>
      </c>
      <c r="R358" t="s">
        <v>40</v>
      </c>
      <c r="S358" s="1">
        <v>3.7</v>
      </c>
      <c r="T358" s="1">
        <v>1.8320000000000001</v>
      </c>
      <c r="U358" s="1">
        <v>0.91500000000000004</v>
      </c>
      <c r="V358" s="1">
        <v>1.8680000000000001</v>
      </c>
      <c r="W358">
        <v>50</v>
      </c>
    </row>
    <row r="359" spans="1:23" hidden="1" x14ac:dyDescent="0.35">
      <c r="A359" t="s">
        <v>458</v>
      </c>
      <c r="B359" t="s">
        <v>459</v>
      </c>
      <c r="C359" t="s">
        <v>105</v>
      </c>
      <c r="D359" t="s">
        <v>45</v>
      </c>
      <c r="E359" t="s">
        <v>27</v>
      </c>
      <c r="F359" t="s">
        <v>46</v>
      </c>
      <c r="G359" t="s">
        <v>47</v>
      </c>
      <c r="H359" t="s">
        <v>30</v>
      </c>
      <c r="I359" t="s">
        <v>31</v>
      </c>
      <c r="J359" t="s">
        <v>32</v>
      </c>
      <c r="K359" t="s">
        <v>33</v>
      </c>
      <c r="L359" t="s">
        <v>34</v>
      </c>
      <c r="M359" t="s">
        <v>106</v>
      </c>
      <c r="N359" t="s">
        <v>107</v>
      </c>
      <c r="O359" t="s">
        <v>108</v>
      </c>
      <c r="P359" t="s">
        <v>109</v>
      </c>
      <c r="Q359" t="s">
        <v>39</v>
      </c>
      <c r="R359" t="s">
        <v>40</v>
      </c>
      <c r="S359" s="1">
        <v>81533.600000000006</v>
      </c>
      <c r="T359" s="1">
        <v>24000.6564</v>
      </c>
      <c r="U359" s="1">
        <v>6684.7335000000003</v>
      </c>
      <c r="V359" s="1">
        <v>57532.943599999999</v>
      </c>
      <c r="W359">
        <v>29</v>
      </c>
    </row>
    <row r="360" spans="1:23" hidden="1" x14ac:dyDescent="0.35">
      <c r="A360" t="s">
        <v>458</v>
      </c>
      <c r="B360" t="s">
        <v>459</v>
      </c>
      <c r="C360" t="s">
        <v>110</v>
      </c>
      <c r="D360" t="s">
        <v>45</v>
      </c>
      <c r="E360" t="s">
        <v>27</v>
      </c>
      <c r="F360" t="s">
        <v>46</v>
      </c>
      <c r="G360" t="s">
        <v>47</v>
      </c>
      <c r="H360" t="s">
        <v>30</v>
      </c>
      <c r="I360" t="s">
        <v>31</v>
      </c>
      <c r="J360" t="s">
        <v>32</v>
      </c>
      <c r="K360" t="s">
        <v>33</v>
      </c>
      <c r="L360" t="s">
        <v>34</v>
      </c>
      <c r="M360" t="s">
        <v>111</v>
      </c>
      <c r="N360" t="s">
        <v>112</v>
      </c>
      <c r="O360" t="s">
        <v>37</v>
      </c>
      <c r="P360" t="s">
        <v>38</v>
      </c>
      <c r="Q360" t="s">
        <v>39</v>
      </c>
      <c r="R360" t="s">
        <v>40</v>
      </c>
      <c r="S360" s="1">
        <v>6933</v>
      </c>
      <c r="T360" s="1">
        <v>2624.8877000000002</v>
      </c>
      <c r="U360" s="1">
        <v>438.00880000000001</v>
      </c>
      <c r="V360" s="1">
        <v>4308.1122999999998</v>
      </c>
      <c r="W360">
        <v>38</v>
      </c>
    </row>
    <row r="361" spans="1:23" hidden="1" x14ac:dyDescent="0.35">
      <c r="A361" t="s">
        <v>458</v>
      </c>
      <c r="B361" t="s">
        <v>459</v>
      </c>
      <c r="C361" t="s">
        <v>113</v>
      </c>
      <c r="D361" t="s">
        <v>114</v>
      </c>
      <c r="E361" t="s">
        <v>115</v>
      </c>
      <c r="F361" t="s">
        <v>116</v>
      </c>
      <c r="G361" t="s">
        <v>117</v>
      </c>
      <c r="H361" t="s">
        <v>48</v>
      </c>
      <c r="I361" t="s">
        <v>49</v>
      </c>
      <c r="J361" t="s">
        <v>50</v>
      </c>
      <c r="K361" t="s">
        <v>33</v>
      </c>
      <c r="L361" t="s">
        <v>51</v>
      </c>
      <c r="M361" t="s">
        <v>118</v>
      </c>
      <c r="N361" t="s">
        <v>119</v>
      </c>
      <c r="O361" t="s">
        <v>37</v>
      </c>
      <c r="P361" t="s">
        <v>38</v>
      </c>
      <c r="Q361" t="s">
        <v>39</v>
      </c>
      <c r="R361" t="s">
        <v>40</v>
      </c>
      <c r="S361" s="1">
        <v>7193.2</v>
      </c>
      <c r="T361" s="1">
        <v>4457.1422000000002</v>
      </c>
      <c r="U361" s="1">
        <v>2036.0350000000001</v>
      </c>
      <c r="V361" s="1">
        <v>2736.0578</v>
      </c>
      <c r="W361">
        <v>62</v>
      </c>
    </row>
    <row r="362" spans="1:23" hidden="1" x14ac:dyDescent="0.35">
      <c r="A362" t="s">
        <v>458</v>
      </c>
      <c r="B362" t="s">
        <v>459</v>
      </c>
      <c r="C362" t="s">
        <v>120</v>
      </c>
      <c r="D362" t="s">
        <v>114</v>
      </c>
      <c r="E362" t="s">
        <v>115</v>
      </c>
      <c r="F362" t="s">
        <v>116</v>
      </c>
      <c r="G362" t="s">
        <v>117</v>
      </c>
      <c r="H362" t="s">
        <v>48</v>
      </c>
      <c r="I362" t="s">
        <v>49</v>
      </c>
      <c r="J362" t="s">
        <v>50</v>
      </c>
      <c r="K362" t="s">
        <v>33</v>
      </c>
      <c r="L362" t="s">
        <v>51</v>
      </c>
      <c r="M362" t="s">
        <v>118</v>
      </c>
      <c r="N362" t="s">
        <v>119</v>
      </c>
      <c r="O362" t="s">
        <v>42</v>
      </c>
      <c r="P362" t="s">
        <v>43</v>
      </c>
      <c r="Q362" t="s">
        <v>39</v>
      </c>
      <c r="R362" t="s">
        <v>40</v>
      </c>
      <c r="S362" s="1">
        <v>9131.9</v>
      </c>
      <c r="T362" s="1">
        <v>2242.3825000000002</v>
      </c>
      <c r="U362" s="1">
        <v>2242.3825000000002</v>
      </c>
      <c r="V362" s="1">
        <v>6889.5174999999999</v>
      </c>
      <c r="W362">
        <v>25</v>
      </c>
    </row>
    <row r="363" spans="1:23" hidden="1" x14ac:dyDescent="0.35">
      <c r="A363" t="s">
        <v>458</v>
      </c>
      <c r="B363" t="s">
        <v>459</v>
      </c>
      <c r="C363" t="s">
        <v>121</v>
      </c>
      <c r="D363" t="s">
        <v>114</v>
      </c>
      <c r="E363" t="s">
        <v>115</v>
      </c>
      <c r="F363" t="s">
        <v>116</v>
      </c>
      <c r="G363" t="s">
        <v>117</v>
      </c>
      <c r="H363" t="s">
        <v>48</v>
      </c>
      <c r="I363" t="s">
        <v>49</v>
      </c>
      <c r="J363" t="s">
        <v>50</v>
      </c>
      <c r="K363" t="s">
        <v>33</v>
      </c>
      <c r="L363" t="s">
        <v>51</v>
      </c>
      <c r="M363" t="s">
        <v>118</v>
      </c>
      <c r="N363" t="s">
        <v>119</v>
      </c>
      <c r="O363" t="s">
        <v>122</v>
      </c>
      <c r="P363" t="s">
        <v>123</v>
      </c>
      <c r="Q363" t="s">
        <v>39</v>
      </c>
      <c r="R363" t="s">
        <v>40</v>
      </c>
      <c r="S363" s="1">
        <v>7025.2</v>
      </c>
      <c r="T363" s="1">
        <v>3137.4485</v>
      </c>
      <c r="U363" s="1">
        <v>2481.6770000000001</v>
      </c>
      <c r="V363" s="1">
        <v>3887.7514999999999</v>
      </c>
      <c r="W363">
        <v>45</v>
      </c>
    </row>
    <row r="364" spans="1:23" hidden="1" x14ac:dyDescent="0.35">
      <c r="A364" t="s">
        <v>458</v>
      </c>
      <c r="B364" t="s">
        <v>459</v>
      </c>
      <c r="C364" t="s">
        <v>124</v>
      </c>
      <c r="D364" t="s">
        <v>114</v>
      </c>
      <c r="E364" t="s">
        <v>115</v>
      </c>
      <c r="F364" t="s">
        <v>116</v>
      </c>
      <c r="G364" t="s">
        <v>117</v>
      </c>
      <c r="H364" t="s">
        <v>48</v>
      </c>
      <c r="I364" t="s">
        <v>49</v>
      </c>
      <c r="J364" t="s">
        <v>50</v>
      </c>
      <c r="K364" t="s">
        <v>33</v>
      </c>
      <c r="L364" t="s">
        <v>51</v>
      </c>
      <c r="M364" t="s">
        <v>118</v>
      </c>
      <c r="N364" t="s">
        <v>119</v>
      </c>
      <c r="O364" t="s">
        <v>125</v>
      </c>
      <c r="P364" t="s">
        <v>126</v>
      </c>
      <c r="Q364" t="s">
        <v>39</v>
      </c>
      <c r="R364" t="s">
        <v>40</v>
      </c>
      <c r="S364" s="1">
        <v>3050</v>
      </c>
      <c r="T364" s="1">
        <v>1276.2552000000001</v>
      </c>
      <c r="U364" s="1">
        <v>0</v>
      </c>
      <c r="V364" s="1">
        <v>1773.7447999999999</v>
      </c>
      <c r="W364">
        <v>42</v>
      </c>
    </row>
    <row r="365" spans="1:23" hidden="1" x14ac:dyDescent="0.35">
      <c r="A365" t="s">
        <v>458</v>
      </c>
      <c r="B365" t="s">
        <v>459</v>
      </c>
      <c r="C365" t="s">
        <v>127</v>
      </c>
      <c r="D365" t="s">
        <v>114</v>
      </c>
      <c r="E365" t="s">
        <v>115</v>
      </c>
      <c r="F365" t="s">
        <v>116</v>
      </c>
      <c r="G365" t="s">
        <v>117</v>
      </c>
      <c r="H365" t="s">
        <v>48</v>
      </c>
      <c r="I365" t="s">
        <v>49</v>
      </c>
      <c r="J365" t="s">
        <v>50</v>
      </c>
      <c r="K365" t="s">
        <v>33</v>
      </c>
      <c r="L365" t="s">
        <v>51</v>
      </c>
      <c r="M365" t="s">
        <v>128</v>
      </c>
      <c r="N365" t="s">
        <v>129</v>
      </c>
      <c r="O365" t="s">
        <v>86</v>
      </c>
      <c r="P365" t="s">
        <v>87</v>
      </c>
      <c r="Q365" t="s">
        <v>39</v>
      </c>
      <c r="R365" t="s">
        <v>40</v>
      </c>
      <c r="S365" s="1">
        <v>33821.9</v>
      </c>
      <c r="T365" s="1">
        <v>0</v>
      </c>
      <c r="U365" s="1">
        <v>0</v>
      </c>
      <c r="V365" s="1">
        <v>33821.9</v>
      </c>
      <c r="W365">
        <v>0</v>
      </c>
    </row>
    <row r="366" spans="1:23" hidden="1" x14ac:dyDescent="0.35">
      <c r="A366" t="s">
        <v>458</v>
      </c>
      <c r="B366" t="s">
        <v>459</v>
      </c>
      <c r="C366" t="s">
        <v>130</v>
      </c>
      <c r="D366" t="s">
        <v>131</v>
      </c>
      <c r="E366" t="s">
        <v>115</v>
      </c>
      <c r="F366" t="s">
        <v>132</v>
      </c>
      <c r="G366" t="s">
        <v>133</v>
      </c>
      <c r="H366" t="s">
        <v>48</v>
      </c>
      <c r="I366" t="s">
        <v>49</v>
      </c>
      <c r="J366" t="s">
        <v>50</v>
      </c>
      <c r="K366" t="s">
        <v>33</v>
      </c>
      <c r="L366" t="s">
        <v>51</v>
      </c>
      <c r="M366" t="s">
        <v>134</v>
      </c>
      <c r="N366" t="s">
        <v>135</v>
      </c>
      <c r="O366" t="s">
        <v>37</v>
      </c>
      <c r="P366" t="s">
        <v>38</v>
      </c>
      <c r="Q366" t="s">
        <v>39</v>
      </c>
      <c r="R366" t="s">
        <v>40</v>
      </c>
      <c r="S366" s="1">
        <v>23.1</v>
      </c>
      <c r="T366" s="1">
        <v>0</v>
      </c>
      <c r="U366" s="1">
        <v>0</v>
      </c>
      <c r="V366" s="1">
        <v>23.1</v>
      </c>
      <c r="W366">
        <v>0</v>
      </c>
    </row>
    <row r="367" spans="1:23" hidden="1" x14ac:dyDescent="0.35">
      <c r="A367" t="s">
        <v>458</v>
      </c>
      <c r="B367" t="s">
        <v>459</v>
      </c>
      <c r="C367" t="s">
        <v>445</v>
      </c>
      <c r="D367" t="s">
        <v>137</v>
      </c>
      <c r="E367" t="s">
        <v>138</v>
      </c>
      <c r="F367" t="s">
        <v>139</v>
      </c>
      <c r="G367" t="s">
        <v>140</v>
      </c>
      <c r="H367" t="s">
        <v>48</v>
      </c>
      <c r="I367" t="s">
        <v>49</v>
      </c>
      <c r="J367" t="s">
        <v>50</v>
      </c>
      <c r="K367" t="s">
        <v>33</v>
      </c>
      <c r="L367" t="s">
        <v>51</v>
      </c>
      <c r="M367" t="s">
        <v>446</v>
      </c>
      <c r="N367" t="s">
        <v>447</v>
      </c>
      <c r="O367" t="s">
        <v>37</v>
      </c>
      <c r="P367" t="s">
        <v>38</v>
      </c>
      <c r="Q367" t="s">
        <v>39</v>
      </c>
      <c r="R367" t="s">
        <v>40</v>
      </c>
      <c r="S367" s="1">
        <v>455.4</v>
      </c>
      <c r="T367" s="1">
        <v>0</v>
      </c>
      <c r="U367" s="1">
        <v>0</v>
      </c>
      <c r="V367" s="1">
        <v>455.4</v>
      </c>
      <c r="W367">
        <v>0</v>
      </c>
    </row>
    <row r="368" spans="1:23" hidden="1" x14ac:dyDescent="0.35">
      <c r="A368" t="s">
        <v>458</v>
      </c>
      <c r="B368" t="s">
        <v>459</v>
      </c>
      <c r="C368" t="s">
        <v>448</v>
      </c>
      <c r="D368" t="s">
        <v>137</v>
      </c>
      <c r="E368" t="s">
        <v>138</v>
      </c>
      <c r="F368" t="s">
        <v>139</v>
      </c>
      <c r="G368" t="s">
        <v>140</v>
      </c>
      <c r="H368" t="s">
        <v>48</v>
      </c>
      <c r="I368" t="s">
        <v>49</v>
      </c>
      <c r="J368" t="s">
        <v>50</v>
      </c>
      <c r="K368" t="s">
        <v>33</v>
      </c>
      <c r="L368" t="s">
        <v>51</v>
      </c>
      <c r="M368" t="s">
        <v>446</v>
      </c>
      <c r="N368" t="s">
        <v>447</v>
      </c>
      <c r="O368" t="s">
        <v>197</v>
      </c>
      <c r="P368" t="s">
        <v>198</v>
      </c>
      <c r="Q368" t="s">
        <v>39</v>
      </c>
      <c r="R368" t="s">
        <v>40</v>
      </c>
      <c r="S368" s="1">
        <v>36425.800000000003</v>
      </c>
      <c r="T368" s="1">
        <v>0</v>
      </c>
      <c r="U368" s="1">
        <v>0</v>
      </c>
      <c r="V368" s="1">
        <v>36425.800000000003</v>
      </c>
      <c r="W368">
        <v>0</v>
      </c>
    </row>
    <row r="369" spans="1:23" hidden="1" x14ac:dyDescent="0.35">
      <c r="A369" t="s">
        <v>458</v>
      </c>
      <c r="B369" t="s">
        <v>459</v>
      </c>
      <c r="C369" t="s">
        <v>136</v>
      </c>
      <c r="D369" t="s">
        <v>137</v>
      </c>
      <c r="E369" t="s">
        <v>138</v>
      </c>
      <c r="F369" t="s">
        <v>139</v>
      </c>
      <c r="G369" t="s">
        <v>140</v>
      </c>
      <c r="H369" t="s">
        <v>30</v>
      </c>
      <c r="I369" t="s">
        <v>31</v>
      </c>
      <c r="J369" t="s">
        <v>32</v>
      </c>
      <c r="K369" t="s">
        <v>33</v>
      </c>
      <c r="L369" t="s">
        <v>34</v>
      </c>
      <c r="M369" t="s">
        <v>141</v>
      </c>
      <c r="N369" t="s">
        <v>142</v>
      </c>
      <c r="O369" t="s">
        <v>83</v>
      </c>
      <c r="P369" t="s">
        <v>84</v>
      </c>
      <c r="Q369" t="s">
        <v>39</v>
      </c>
      <c r="R369" t="s">
        <v>40</v>
      </c>
      <c r="S369" s="1">
        <v>5651.9</v>
      </c>
      <c r="T369" s="1">
        <v>930.10730000000001</v>
      </c>
      <c r="U369" s="1">
        <v>125.1177</v>
      </c>
      <c r="V369" s="1">
        <v>4721.7927</v>
      </c>
      <c r="W369">
        <v>16</v>
      </c>
    </row>
    <row r="370" spans="1:23" hidden="1" x14ac:dyDescent="0.35">
      <c r="A370" t="s">
        <v>458</v>
      </c>
      <c r="B370" t="s">
        <v>459</v>
      </c>
      <c r="C370" t="s">
        <v>143</v>
      </c>
      <c r="D370" t="s">
        <v>144</v>
      </c>
      <c r="E370" t="s">
        <v>145</v>
      </c>
      <c r="F370" t="s">
        <v>146</v>
      </c>
      <c r="G370" t="s">
        <v>147</v>
      </c>
      <c r="H370" t="s">
        <v>116</v>
      </c>
      <c r="I370" t="s">
        <v>148</v>
      </c>
      <c r="J370" t="s">
        <v>149</v>
      </c>
      <c r="K370" t="s">
        <v>33</v>
      </c>
      <c r="L370" t="s">
        <v>34</v>
      </c>
      <c r="M370" t="s">
        <v>150</v>
      </c>
      <c r="N370" t="s">
        <v>151</v>
      </c>
      <c r="O370" t="s">
        <v>37</v>
      </c>
      <c r="P370" t="s">
        <v>38</v>
      </c>
      <c r="Q370" t="s">
        <v>39</v>
      </c>
      <c r="R370" t="s">
        <v>40</v>
      </c>
      <c r="S370" s="1">
        <v>5465.8</v>
      </c>
      <c r="T370" s="1">
        <v>0</v>
      </c>
      <c r="U370" s="1">
        <v>0</v>
      </c>
      <c r="V370" s="1">
        <v>5465.8</v>
      </c>
      <c r="W370">
        <v>0</v>
      </c>
    </row>
    <row r="371" spans="1:23" hidden="1" x14ac:dyDescent="0.35">
      <c r="A371" t="s">
        <v>458</v>
      </c>
      <c r="B371" t="s">
        <v>459</v>
      </c>
      <c r="C371" t="s">
        <v>152</v>
      </c>
      <c r="D371" t="s">
        <v>144</v>
      </c>
      <c r="E371" t="s">
        <v>145</v>
      </c>
      <c r="F371" t="s">
        <v>146</v>
      </c>
      <c r="G371" t="s">
        <v>147</v>
      </c>
      <c r="H371" t="s">
        <v>116</v>
      </c>
      <c r="I371" t="s">
        <v>148</v>
      </c>
      <c r="J371" t="s">
        <v>149</v>
      </c>
      <c r="K371" t="s">
        <v>33</v>
      </c>
      <c r="L371" t="s">
        <v>34</v>
      </c>
      <c r="M371" t="s">
        <v>153</v>
      </c>
      <c r="N371" t="s">
        <v>154</v>
      </c>
      <c r="O371" t="s">
        <v>37</v>
      </c>
      <c r="P371" t="s">
        <v>38</v>
      </c>
      <c r="Q371" t="s">
        <v>39</v>
      </c>
      <c r="R371" t="s">
        <v>40</v>
      </c>
      <c r="S371" s="1">
        <v>35373.199999999997</v>
      </c>
      <c r="T371" s="1">
        <v>0</v>
      </c>
      <c r="U371" s="1">
        <v>0</v>
      </c>
      <c r="V371" s="1">
        <v>35373.199999999997</v>
      </c>
      <c r="W371">
        <v>0</v>
      </c>
    </row>
    <row r="372" spans="1:23" hidden="1" x14ac:dyDescent="0.35">
      <c r="A372" t="s">
        <v>458</v>
      </c>
      <c r="B372" t="s">
        <v>459</v>
      </c>
      <c r="C372" t="s">
        <v>155</v>
      </c>
      <c r="D372" t="s">
        <v>144</v>
      </c>
      <c r="E372" t="s">
        <v>145</v>
      </c>
      <c r="F372" t="s">
        <v>146</v>
      </c>
      <c r="G372" t="s">
        <v>147</v>
      </c>
      <c r="H372" t="s">
        <v>116</v>
      </c>
      <c r="I372" t="s">
        <v>148</v>
      </c>
      <c r="J372" t="s">
        <v>149</v>
      </c>
      <c r="K372" t="s">
        <v>33</v>
      </c>
      <c r="L372" t="s">
        <v>34</v>
      </c>
      <c r="M372" t="s">
        <v>156</v>
      </c>
      <c r="N372" t="s">
        <v>157</v>
      </c>
      <c r="O372" t="s">
        <v>37</v>
      </c>
      <c r="P372" t="s">
        <v>38</v>
      </c>
      <c r="Q372" t="s">
        <v>39</v>
      </c>
      <c r="R372" t="s">
        <v>40</v>
      </c>
      <c r="S372" s="1">
        <v>3442.8</v>
      </c>
      <c r="T372" s="1">
        <v>78.325100000000006</v>
      </c>
      <c r="U372" s="1">
        <v>12.209300000000001</v>
      </c>
      <c r="V372" s="1">
        <v>3364.4749000000002</v>
      </c>
      <c r="W372">
        <v>2</v>
      </c>
    </row>
    <row r="373" spans="1:23" hidden="1" x14ac:dyDescent="0.35">
      <c r="A373" t="s">
        <v>458</v>
      </c>
      <c r="B373" t="s">
        <v>459</v>
      </c>
      <c r="C373" t="s">
        <v>158</v>
      </c>
      <c r="D373" t="s">
        <v>144</v>
      </c>
      <c r="E373" t="s">
        <v>145</v>
      </c>
      <c r="F373" t="s">
        <v>146</v>
      </c>
      <c r="G373" t="s">
        <v>147</v>
      </c>
      <c r="H373" t="s">
        <v>116</v>
      </c>
      <c r="I373" t="s">
        <v>148</v>
      </c>
      <c r="J373" t="s">
        <v>149</v>
      </c>
      <c r="K373" t="s">
        <v>33</v>
      </c>
      <c r="L373" t="s">
        <v>34</v>
      </c>
      <c r="M373" t="s">
        <v>156</v>
      </c>
      <c r="N373" t="s">
        <v>157</v>
      </c>
      <c r="O373" t="s">
        <v>125</v>
      </c>
      <c r="P373" t="s">
        <v>126</v>
      </c>
      <c r="Q373" t="s">
        <v>39</v>
      </c>
      <c r="R373" t="s">
        <v>40</v>
      </c>
      <c r="S373" s="1">
        <v>110377</v>
      </c>
      <c r="T373" s="1">
        <v>27880.302500000002</v>
      </c>
      <c r="U373" s="1">
        <v>4027.2446</v>
      </c>
      <c r="V373" s="1">
        <v>82496.697499999995</v>
      </c>
      <c r="W373">
        <v>25</v>
      </c>
    </row>
    <row r="374" spans="1:23" hidden="1" x14ac:dyDescent="0.35">
      <c r="A374" t="s">
        <v>458</v>
      </c>
      <c r="B374" t="s">
        <v>459</v>
      </c>
      <c r="C374" t="s">
        <v>159</v>
      </c>
      <c r="D374" t="s">
        <v>144</v>
      </c>
      <c r="E374" t="s">
        <v>145</v>
      </c>
      <c r="F374" t="s">
        <v>146</v>
      </c>
      <c r="G374" t="s">
        <v>147</v>
      </c>
      <c r="H374" t="s">
        <v>116</v>
      </c>
      <c r="I374" t="s">
        <v>148</v>
      </c>
      <c r="J374" t="s">
        <v>149</v>
      </c>
      <c r="K374" t="s">
        <v>33</v>
      </c>
      <c r="L374" t="s">
        <v>34</v>
      </c>
      <c r="M374" t="s">
        <v>160</v>
      </c>
      <c r="N374" t="s">
        <v>161</v>
      </c>
      <c r="O374" t="s">
        <v>37</v>
      </c>
      <c r="P374" t="s">
        <v>38</v>
      </c>
      <c r="Q374" t="s">
        <v>39</v>
      </c>
      <c r="R374" t="s">
        <v>40</v>
      </c>
      <c r="S374" s="1">
        <v>21046</v>
      </c>
      <c r="T374" s="1">
        <v>2438.4135000000001</v>
      </c>
      <c r="U374" s="1">
        <v>1299.6306999999999</v>
      </c>
      <c r="V374" s="1">
        <v>18607.586500000001</v>
      </c>
      <c r="W374">
        <v>12</v>
      </c>
    </row>
    <row r="375" spans="1:23" hidden="1" x14ac:dyDescent="0.35">
      <c r="A375" t="s">
        <v>458</v>
      </c>
      <c r="B375" t="s">
        <v>459</v>
      </c>
      <c r="C375" t="s">
        <v>162</v>
      </c>
      <c r="D375" t="s">
        <v>144</v>
      </c>
      <c r="E375" t="s">
        <v>145</v>
      </c>
      <c r="F375" t="s">
        <v>146</v>
      </c>
      <c r="G375" t="s">
        <v>147</v>
      </c>
      <c r="H375" t="s">
        <v>116</v>
      </c>
      <c r="I375" t="s">
        <v>148</v>
      </c>
      <c r="J375" t="s">
        <v>149</v>
      </c>
      <c r="K375" t="s">
        <v>33</v>
      </c>
      <c r="L375" t="s">
        <v>34</v>
      </c>
      <c r="M375" t="s">
        <v>160</v>
      </c>
      <c r="N375" t="s">
        <v>161</v>
      </c>
      <c r="O375" t="s">
        <v>42</v>
      </c>
      <c r="P375" t="s">
        <v>43</v>
      </c>
      <c r="Q375" t="s">
        <v>39</v>
      </c>
      <c r="R375" t="s">
        <v>40</v>
      </c>
      <c r="S375" s="1">
        <v>10536.1</v>
      </c>
      <c r="T375" s="1">
        <v>1664.7104999999999</v>
      </c>
      <c r="U375" s="1">
        <v>755.93830000000003</v>
      </c>
      <c r="V375" s="1">
        <v>8871.3894999999993</v>
      </c>
      <c r="W375">
        <v>16</v>
      </c>
    </row>
    <row r="376" spans="1:23" hidden="1" x14ac:dyDescent="0.35">
      <c r="A376" t="s">
        <v>458</v>
      </c>
      <c r="B376" t="s">
        <v>459</v>
      </c>
      <c r="C376" t="s">
        <v>163</v>
      </c>
      <c r="D376" t="s">
        <v>144</v>
      </c>
      <c r="E376" t="s">
        <v>145</v>
      </c>
      <c r="F376" t="s">
        <v>146</v>
      </c>
      <c r="G376" t="s">
        <v>147</v>
      </c>
      <c r="H376" t="s">
        <v>116</v>
      </c>
      <c r="I376" t="s">
        <v>148</v>
      </c>
      <c r="J376" t="s">
        <v>149</v>
      </c>
      <c r="K376" t="s">
        <v>33</v>
      </c>
      <c r="L376" t="s">
        <v>34</v>
      </c>
      <c r="M376" t="s">
        <v>160</v>
      </c>
      <c r="N376" t="s">
        <v>161</v>
      </c>
      <c r="O376" t="s">
        <v>125</v>
      </c>
      <c r="P376" t="s">
        <v>126</v>
      </c>
      <c r="Q376" t="s">
        <v>39</v>
      </c>
      <c r="R376" t="s">
        <v>40</v>
      </c>
      <c r="S376" s="1">
        <v>4782.6000000000004</v>
      </c>
      <c r="T376" s="1">
        <v>1388.6953000000001</v>
      </c>
      <c r="U376" s="1">
        <v>0</v>
      </c>
      <c r="V376" s="1">
        <v>3393.9047</v>
      </c>
      <c r="W376">
        <v>29</v>
      </c>
    </row>
    <row r="377" spans="1:23" hidden="1" x14ac:dyDescent="0.35">
      <c r="A377" t="s">
        <v>458</v>
      </c>
      <c r="B377" t="s">
        <v>459</v>
      </c>
      <c r="C377" t="s">
        <v>423</v>
      </c>
      <c r="D377" t="s">
        <v>165</v>
      </c>
      <c r="E377" t="s">
        <v>145</v>
      </c>
      <c r="F377" t="s">
        <v>28</v>
      </c>
      <c r="G377" t="s">
        <v>166</v>
      </c>
      <c r="H377" t="s">
        <v>139</v>
      </c>
      <c r="I377" t="s">
        <v>167</v>
      </c>
      <c r="J377" t="s">
        <v>168</v>
      </c>
      <c r="K377" t="s">
        <v>33</v>
      </c>
      <c r="L377" t="s">
        <v>51</v>
      </c>
      <c r="M377" t="s">
        <v>424</v>
      </c>
      <c r="N377" t="s">
        <v>425</v>
      </c>
      <c r="O377" t="s">
        <v>37</v>
      </c>
      <c r="P377" t="s">
        <v>38</v>
      </c>
      <c r="Q377" t="s">
        <v>39</v>
      </c>
      <c r="R377" t="s">
        <v>40</v>
      </c>
      <c r="S377" s="1">
        <v>694</v>
      </c>
      <c r="T377" s="1">
        <v>0</v>
      </c>
      <c r="U377" s="1">
        <v>0</v>
      </c>
      <c r="V377" s="1">
        <v>694</v>
      </c>
      <c r="W377">
        <v>0</v>
      </c>
    </row>
    <row r="378" spans="1:23" hidden="1" x14ac:dyDescent="0.35">
      <c r="A378" t="s">
        <v>458</v>
      </c>
      <c r="B378" t="s">
        <v>459</v>
      </c>
      <c r="C378" t="s">
        <v>164</v>
      </c>
      <c r="D378" t="s">
        <v>165</v>
      </c>
      <c r="E378" t="s">
        <v>145</v>
      </c>
      <c r="F378" t="s">
        <v>28</v>
      </c>
      <c r="G378" t="s">
        <v>166</v>
      </c>
      <c r="H378" t="s">
        <v>139</v>
      </c>
      <c r="I378" t="s">
        <v>167</v>
      </c>
      <c r="J378" t="s">
        <v>168</v>
      </c>
      <c r="K378" t="s">
        <v>33</v>
      </c>
      <c r="L378" t="s">
        <v>51</v>
      </c>
      <c r="M378" t="s">
        <v>169</v>
      </c>
      <c r="N378" t="s">
        <v>170</v>
      </c>
      <c r="O378" t="s">
        <v>37</v>
      </c>
      <c r="P378" t="s">
        <v>38</v>
      </c>
      <c r="Q378" t="s">
        <v>39</v>
      </c>
      <c r="R378" t="s">
        <v>40</v>
      </c>
      <c r="S378" s="1">
        <v>39330.300000000003</v>
      </c>
      <c r="T378" s="1">
        <v>4672.0141000000003</v>
      </c>
      <c r="U378" s="1">
        <v>1527.1239</v>
      </c>
      <c r="V378" s="1">
        <v>34658.285900000003</v>
      </c>
      <c r="W378">
        <v>12</v>
      </c>
    </row>
    <row r="379" spans="1:23" hidden="1" x14ac:dyDescent="0.35">
      <c r="A379" t="s">
        <v>458</v>
      </c>
      <c r="B379" t="s">
        <v>459</v>
      </c>
      <c r="C379" t="s">
        <v>171</v>
      </c>
      <c r="D379" t="s">
        <v>165</v>
      </c>
      <c r="E379" t="s">
        <v>145</v>
      </c>
      <c r="F379" t="s">
        <v>28</v>
      </c>
      <c r="G379" t="s">
        <v>166</v>
      </c>
      <c r="H379" t="s">
        <v>139</v>
      </c>
      <c r="I379" t="s">
        <v>167</v>
      </c>
      <c r="J379" t="s">
        <v>168</v>
      </c>
      <c r="K379" t="s">
        <v>33</v>
      </c>
      <c r="L379" t="s">
        <v>51</v>
      </c>
      <c r="M379" t="s">
        <v>172</v>
      </c>
      <c r="N379" t="s">
        <v>173</v>
      </c>
      <c r="O379" t="s">
        <v>37</v>
      </c>
      <c r="P379" t="s">
        <v>38</v>
      </c>
      <c r="Q379" t="s">
        <v>39</v>
      </c>
      <c r="R379" t="s">
        <v>40</v>
      </c>
      <c r="S379" s="1">
        <v>8650</v>
      </c>
      <c r="T379" s="1">
        <v>7072.3534</v>
      </c>
      <c r="U379" s="1">
        <v>7072.3534</v>
      </c>
      <c r="V379" s="1">
        <v>1577.6466</v>
      </c>
      <c r="W379">
        <v>82</v>
      </c>
    </row>
    <row r="380" spans="1:23" hidden="1" x14ac:dyDescent="0.35">
      <c r="A380" t="s">
        <v>458</v>
      </c>
      <c r="B380" t="s">
        <v>459</v>
      </c>
      <c r="C380" t="s">
        <v>174</v>
      </c>
      <c r="D380" t="s">
        <v>175</v>
      </c>
      <c r="E380" t="s">
        <v>145</v>
      </c>
      <c r="F380" t="s">
        <v>176</v>
      </c>
      <c r="G380" t="s">
        <v>177</v>
      </c>
      <c r="H380" t="s">
        <v>116</v>
      </c>
      <c r="I380" t="s">
        <v>148</v>
      </c>
      <c r="J380" t="s">
        <v>149</v>
      </c>
      <c r="K380" t="s">
        <v>33</v>
      </c>
      <c r="L380" t="s">
        <v>34</v>
      </c>
      <c r="M380" t="s">
        <v>178</v>
      </c>
      <c r="N380" t="s">
        <v>179</v>
      </c>
      <c r="O380" t="s">
        <v>96</v>
      </c>
      <c r="P380" t="s">
        <v>97</v>
      </c>
      <c r="Q380" t="s">
        <v>39</v>
      </c>
      <c r="R380" t="s">
        <v>40</v>
      </c>
      <c r="S380" s="1">
        <v>643187.1</v>
      </c>
      <c r="T380" s="1">
        <v>197068.31630000001</v>
      </c>
      <c r="U380" s="1">
        <v>49182.687100000003</v>
      </c>
      <c r="V380" s="1">
        <v>446118.78370000003</v>
      </c>
      <c r="W380">
        <v>31</v>
      </c>
    </row>
    <row r="381" spans="1:23" hidden="1" x14ac:dyDescent="0.35">
      <c r="A381" t="s">
        <v>458</v>
      </c>
      <c r="B381" t="s">
        <v>459</v>
      </c>
      <c r="C381" t="s">
        <v>180</v>
      </c>
      <c r="D381" t="s">
        <v>175</v>
      </c>
      <c r="E381" t="s">
        <v>145</v>
      </c>
      <c r="F381" t="s">
        <v>176</v>
      </c>
      <c r="G381" t="s">
        <v>177</v>
      </c>
      <c r="H381" t="s">
        <v>116</v>
      </c>
      <c r="I381" t="s">
        <v>148</v>
      </c>
      <c r="J381" t="s">
        <v>149</v>
      </c>
      <c r="K381" t="s">
        <v>33</v>
      </c>
      <c r="L381" t="s">
        <v>34</v>
      </c>
      <c r="M381" t="s">
        <v>178</v>
      </c>
      <c r="N381" t="s">
        <v>179</v>
      </c>
      <c r="O381" t="s">
        <v>99</v>
      </c>
      <c r="P381" t="s">
        <v>100</v>
      </c>
      <c r="Q381" t="s">
        <v>39</v>
      </c>
      <c r="R381" t="s">
        <v>40</v>
      </c>
      <c r="S381" s="1">
        <v>193602.5</v>
      </c>
      <c r="T381" s="1">
        <v>61217.019</v>
      </c>
      <c r="U381" s="1">
        <v>17297.114799999999</v>
      </c>
      <c r="V381" s="1">
        <v>132385.481</v>
      </c>
      <c r="W381">
        <v>32</v>
      </c>
    </row>
    <row r="382" spans="1:23" hidden="1" x14ac:dyDescent="0.35">
      <c r="A382" t="s">
        <v>458</v>
      </c>
      <c r="B382" t="s">
        <v>459</v>
      </c>
      <c r="C382" t="s">
        <v>181</v>
      </c>
      <c r="D382" t="s">
        <v>175</v>
      </c>
      <c r="E382" t="s">
        <v>145</v>
      </c>
      <c r="F382" t="s">
        <v>176</v>
      </c>
      <c r="G382" t="s">
        <v>177</v>
      </c>
      <c r="H382" t="s">
        <v>116</v>
      </c>
      <c r="I382" t="s">
        <v>148</v>
      </c>
      <c r="J382" t="s">
        <v>149</v>
      </c>
      <c r="K382" t="s">
        <v>33</v>
      </c>
      <c r="L382" t="s">
        <v>34</v>
      </c>
      <c r="M382" t="s">
        <v>178</v>
      </c>
      <c r="N382" t="s">
        <v>179</v>
      </c>
      <c r="O382" t="s">
        <v>37</v>
      </c>
      <c r="P382" t="s">
        <v>38</v>
      </c>
      <c r="Q382" t="s">
        <v>39</v>
      </c>
      <c r="R382" t="s">
        <v>40</v>
      </c>
      <c r="S382" s="1">
        <v>155984.5</v>
      </c>
      <c r="T382" s="1">
        <v>27522.064600000002</v>
      </c>
      <c r="U382" s="1">
        <v>7544.2204000000002</v>
      </c>
      <c r="V382" s="1">
        <v>128462.4354</v>
      </c>
      <c r="W382">
        <v>18</v>
      </c>
    </row>
    <row r="383" spans="1:23" hidden="1" x14ac:dyDescent="0.35">
      <c r="A383" t="s">
        <v>458</v>
      </c>
      <c r="B383" t="s">
        <v>459</v>
      </c>
      <c r="C383" t="s">
        <v>182</v>
      </c>
      <c r="D383" t="s">
        <v>175</v>
      </c>
      <c r="E383" t="s">
        <v>145</v>
      </c>
      <c r="F383" t="s">
        <v>176</v>
      </c>
      <c r="G383" t="s">
        <v>177</v>
      </c>
      <c r="H383" t="s">
        <v>116</v>
      </c>
      <c r="I383" t="s">
        <v>148</v>
      </c>
      <c r="J383" t="s">
        <v>149</v>
      </c>
      <c r="K383" t="s">
        <v>33</v>
      </c>
      <c r="L383" t="s">
        <v>34</v>
      </c>
      <c r="M383" t="s">
        <v>178</v>
      </c>
      <c r="N383" t="s">
        <v>179</v>
      </c>
      <c r="O383" t="s">
        <v>42</v>
      </c>
      <c r="P383" t="s">
        <v>43</v>
      </c>
      <c r="Q383" t="s">
        <v>39</v>
      </c>
      <c r="R383" t="s">
        <v>40</v>
      </c>
      <c r="S383" s="1">
        <v>8102</v>
      </c>
      <c r="T383" s="1">
        <v>1804.5891999999999</v>
      </c>
      <c r="U383" s="1">
        <v>1293.9571000000001</v>
      </c>
      <c r="V383" s="1">
        <v>6297.4107999999997</v>
      </c>
      <c r="W383">
        <v>22</v>
      </c>
    </row>
    <row r="384" spans="1:23" hidden="1" x14ac:dyDescent="0.35">
      <c r="A384" t="s">
        <v>458</v>
      </c>
      <c r="B384" t="s">
        <v>459</v>
      </c>
      <c r="C384" t="s">
        <v>183</v>
      </c>
      <c r="D384" t="s">
        <v>175</v>
      </c>
      <c r="E384" t="s">
        <v>145</v>
      </c>
      <c r="F384" t="s">
        <v>176</v>
      </c>
      <c r="G384" t="s">
        <v>177</v>
      </c>
      <c r="H384" t="s">
        <v>116</v>
      </c>
      <c r="I384" t="s">
        <v>148</v>
      </c>
      <c r="J384" t="s">
        <v>149</v>
      </c>
      <c r="K384" t="s">
        <v>33</v>
      </c>
      <c r="L384" t="s">
        <v>34</v>
      </c>
      <c r="M384" t="s">
        <v>178</v>
      </c>
      <c r="N384" t="s">
        <v>179</v>
      </c>
      <c r="O384" t="s">
        <v>122</v>
      </c>
      <c r="P384" t="s">
        <v>123</v>
      </c>
      <c r="Q384" t="s">
        <v>39</v>
      </c>
      <c r="R384" t="s">
        <v>40</v>
      </c>
      <c r="S384" s="1">
        <v>183.2</v>
      </c>
      <c r="T384" s="1">
        <v>44.75</v>
      </c>
      <c r="U384" s="1">
        <v>44.75</v>
      </c>
      <c r="V384" s="1">
        <v>138.44999999999999</v>
      </c>
      <c r="W384">
        <v>24</v>
      </c>
    </row>
    <row r="385" spans="1:23" hidden="1" x14ac:dyDescent="0.35">
      <c r="A385" t="s">
        <v>458</v>
      </c>
      <c r="B385" t="s">
        <v>459</v>
      </c>
      <c r="C385" t="s">
        <v>184</v>
      </c>
      <c r="D385" t="s">
        <v>175</v>
      </c>
      <c r="E385" t="s">
        <v>145</v>
      </c>
      <c r="F385" t="s">
        <v>176</v>
      </c>
      <c r="G385" t="s">
        <v>177</v>
      </c>
      <c r="H385" t="s">
        <v>116</v>
      </c>
      <c r="I385" t="s">
        <v>148</v>
      </c>
      <c r="J385" t="s">
        <v>149</v>
      </c>
      <c r="K385" t="s">
        <v>33</v>
      </c>
      <c r="L385" t="s">
        <v>34</v>
      </c>
      <c r="M385" t="s">
        <v>178</v>
      </c>
      <c r="N385" t="s">
        <v>179</v>
      </c>
      <c r="O385" t="s">
        <v>103</v>
      </c>
      <c r="P385" t="s">
        <v>104</v>
      </c>
      <c r="Q385" t="s">
        <v>39</v>
      </c>
      <c r="R385" t="s">
        <v>40</v>
      </c>
      <c r="S385" s="1">
        <v>631.4</v>
      </c>
      <c r="T385" s="1">
        <v>608.16399999999999</v>
      </c>
      <c r="U385" s="1">
        <v>44.311</v>
      </c>
      <c r="V385" s="1">
        <v>23.236000000000001</v>
      </c>
      <c r="W385">
        <v>96</v>
      </c>
    </row>
    <row r="386" spans="1:23" x14ac:dyDescent="0.35">
      <c r="A386" s="3" t="s">
        <v>458</v>
      </c>
      <c r="B386" s="3" t="s">
        <v>459</v>
      </c>
      <c r="C386" s="3" t="s">
        <v>185</v>
      </c>
      <c r="D386" s="3" t="s">
        <v>186</v>
      </c>
      <c r="E386" s="3" t="s">
        <v>187</v>
      </c>
      <c r="F386" s="3" t="s">
        <v>146</v>
      </c>
      <c r="G386" s="3" t="s">
        <v>188</v>
      </c>
      <c r="H386" s="3" t="s">
        <v>189</v>
      </c>
      <c r="I386" s="3" t="s">
        <v>190</v>
      </c>
      <c r="J386" s="3" t="s">
        <v>191</v>
      </c>
      <c r="K386" s="3" t="s">
        <v>33</v>
      </c>
      <c r="L386" s="3" t="s">
        <v>34</v>
      </c>
      <c r="M386" s="3" t="s">
        <v>192</v>
      </c>
      <c r="N386" s="3" t="s">
        <v>193</v>
      </c>
      <c r="O386" s="3" t="s">
        <v>108</v>
      </c>
      <c r="P386" s="3" t="s">
        <v>109</v>
      </c>
      <c r="Q386" s="3" t="s">
        <v>39</v>
      </c>
      <c r="R386" s="3" t="s">
        <v>40</v>
      </c>
      <c r="S386" s="7">
        <v>5665542.5999999996</v>
      </c>
      <c r="T386" s="7">
        <v>1510730.3892999999</v>
      </c>
      <c r="U386" s="7">
        <v>414587.9657</v>
      </c>
      <c r="V386" s="7">
        <v>4154812.2107000002</v>
      </c>
      <c r="W386" s="3">
        <v>27</v>
      </c>
    </row>
    <row r="387" spans="1:23" x14ac:dyDescent="0.35">
      <c r="A387" s="3" t="s">
        <v>458</v>
      </c>
      <c r="B387" s="3" t="s">
        <v>459</v>
      </c>
      <c r="C387" s="3" t="s">
        <v>426</v>
      </c>
      <c r="D387" s="3" t="s">
        <v>186</v>
      </c>
      <c r="E387" s="3" t="s">
        <v>187</v>
      </c>
      <c r="F387" s="3" t="s">
        <v>146</v>
      </c>
      <c r="G387" s="3" t="s">
        <v>188</v>
      </c>
      <c r="H387" s="3" t="s">
        <v>189</v>
      </c>
      <c r="I387" s="3" t="s">
        <v>190</v>
      </c>
      <c r="J387" s="3" t="s">
        <v>191</v>
      </c>
      <c r="K387" s="3" t="s">
        <v>33</v>
      </c>
      <c r="L387" s="3" t="s">
        <v>34</v>
      </c>
      <c r="M387" s="3" t="s">
        <v>427</v>
      </c>
      <c r="N387" s="3" t="s">
        <v>428</v>
      </c>
      <c r="O387" s="3" t="s">
        <v>197</v>
      </c>
      <c r="P387" s="3" t="s">
        <v>198</v>
      </c>
      <c r="Q387" s="3" t="s">
        <v>39</v>
      </c>
      <c r="R387" s="3" t="s">
        <v>40</v>
      </c>
      <c r="S387" s="7">
        <v>4200</v>
      </c>
      <c r="T387" s="7">
        <v>0</v>
      </c>
      <c r="U387" s="7">
        <v>0</v>
      </c>
      <c r="V387" s="7">
        <v>4200</v>
      </c>
      <c r="W387" s="3">
        <v>0</v>
      </c>
    </row>
    <row r="388" spans="1:23" x14ac:dyDescent="0.35">
      <c r="A388" s="3" t="s">
        <v>458</v>
      </c>
      <c r="B388" s="3" t="s">
        <v>459</v>
      </c>
      <c r="C388" s="3" t="s">
        <v>194</v>
      </c>
      <c r="D388" s="3" t="s">
        <v>186</v>
      </c>
      <c r="E388" s="3" t="s">
        <v>187</v>
      </c>
      <c r="F388" s="3" t="s">
        <v>146</v>
      </c>
      <c r="G388" s="3" t="s">
        <v>188</v>
      </c>
      <c r="H388" s="3" t="s">
        <v>189</v>
      </c>
      <c r="I388" s="3" t="s">
        <v>190</v>
      </c>
      <c r="J388" s="3" t="s">
        <v>191</v>
      </c>
      <c r="K388" s="3" t="s">
        <v>33</v>
      </c>
      <c r="L388" s="3" t="s">
        <v>34</v>
      </c>
      <c r="M388" s="3" t="s">
        <v>195</v>
      </c>
      <c r="N388" s="3" t="s">
        <v>196</v>
      </c>
      <c r="O388" s="3" t="s">
        <v>197</v>
      </c>
      <c r="P388" s="3" t="s">
        <v>198</v>
      </c>
      <c r="Q388" s="3" t="s">
        <v>39</v>
      </c>
      <c r="R388" s="3" t="s">
        <v>40</v>
      </c>
      <c r="S388" s="7">
        <v>19486.7</v>
      </c>
      <c r="T388" s="7">
        <v>1380.6614</v>
      </c>
      <c r="U388" s="7">
        <v>1380.6614</v>
      </c>
      <c r="V388" s="7">
        <v>18106.0386</v>
      </c>
      <c r="W388" s="3">
        <v>7</v>
      </c>
    </row>
    <row r="389" spans="1:23" x14ac:dyDescent="0.35">
      <c r="A389" s="3" t="s">
        <v>458</v>
      </c>
      <c r="B389" s="3" t="s">
        <v>459</v>
      </c>
      <c r="C389" s="3" t="s">
        <v>449</v>
      </c>
      <c r="D389" s="3" t="s">
        <v>186</v>
      </c>
      <c r="E389" s="3" t="s">
        <v>187</v>
      </c>
      <c r="F389" s="3" t="s">
        <v>146</v>
      </c>
      <c r="G389" s="3" t="s">
        <v>188</v>
      </c>
      <c r="H389" s="3" t="s">
        <v>189</v>
      </c>
      <c r="I389" s="3" t="s">
        <v>190</v>
      </c>
      <c r="J389" s="3" t="s">
        <v>191</v>
      </c>
      <c r="K389" s="3" t="s">
        <v>33</v>
      </c>
      <c r="L389" s="3" t="s">
        <v>34</v>
      </c>
      <c r="M389" s="3" t="s">
        <v>450</v>
      </c>
      <c r="N389" s="3" t="s">
        <v>451</v>
      </c>
      <c r="O389" s="3" t="s">
        <v>197</v>
      </c>
      <c r="P389" s="3" t="s">
        <v>198</v>
      </c>
      <c r="Q389" s="3" t="s">
        <v>39</v>
      </c>
      <c r="R389" s="3" t="s">
        <v>40</v>
      </c>
      <c r="S389" s="7">
        <v>25400</v>
      </c>
      <c r="T389" s="7">
        <v>0</v>
      </c>
      <c r="U389" s="7">
        <v>0</v>
      </c>
      <c r="V389" s="7">
        <v>25400</v>
      </c>
      <c r="W389" s="3">
        <v>0</v>
      </c>
    </row>
    <row r="390" spans="1:23" x14ac:dyDescent="0.35">
      <c r="A390" s="3" t="s">
        <v>458</v>
      </c>
      <c r="B390" s="3" t="s">
        <v>459</v>
      </c>
      <c r="C390" s="3" t="s">
        <v>429</v>
      </c>
      <c r="D390" s="3" t="s">
        <v>200</v>
      </c>
      <c r="E390" s="3" t="s">
        <v>187</v>
      </c>
      <c r="F390" s="3" t="s">
        <v>189</v>
      </c>
      <c r="G390" s="3" t="s">
        <v>201</v>
      </c>
      <c r="H390" s="3" t="s">
        <v>189</v>
      </c>
      <c r="I390" s="3" t="s">
        <v>190</v>
      </c>
      <c r="J390" s="3" t="s">
        <v>202</v>
      </c>
      <c r="K390" s="3" t="s">
        <v>23</v>
      </c>
      <c r="L390" s="3" t="s">
        <v>203</v>
      </c>
      <c r="M390" s="3" t="s">
        <v>430</v>
      </c>
      <c r="N390" s="3" t="s">
        <v>431</v>
      </c>
      <c r="O390" s="3" t="s">
        <v>197</v>
      </c>
      <c r="P390" s="3" t="s">
        <v>198</v>
      </c>
      <c r="Q390" s="3" t="s">
        <v>39</v>
      </c>
      <c r="R390" s="3" t="s">
        <v>40</v>
      </c>
      <c r="S390" s="7">
        <v>6609.5</v>
      </c>
      <c r="T390" s="7">
        <v>6609.2078000000001</v>
      </c>
      <c r="U390" s="7">
        <v>0</v>
      </c>
      <c r="V390" s="7">
        <v>0.29220000000000002</v>
      </c>
      <c r="W390" s="3">
        <v>100</v>
      </c>
    </row>
    <row r="391" spans="1:23" x14ac:dyDescent="0.35">
      <c r="A391" s="3" t="s">
        <v>458</v>
      </c>
      <c r="B391" s="3" t="s">
        <v>459</v>
      </c>
      <c r="C391" s="3" t="s">
        <v>199</v>
      </c>
      <c r="D391" s="3" t="s">
        <v>200</v>
      </c>
      <c r="E391" s="3" t="s">
        <v>187</v>
      </c>
      <c r="F391" s="3" t="s">
        <v>189</v>
      </c>
      <c r="G391" s="3" t="s">
        <v>201</v>
      </c>
      <c r="H391" s="3" t="s">
        <v>189</v>
      </c>
      <c r="I391" s="3" t="s">
        <v>190</v>
      </c>
      <c r="J391" s="3" t="s">
        <v>202</v>
      </c>
      <c r="K391" s="3" t="s">
        <v>23</v>
      </c>
      <c r="L391" s="3" t="s">
        <v>203</v>
      </c>
      <c r="M391" s="3" t="s">
        <v>204</v>
      </c>
      <c r="N391" s="3" t="s">
        <v>205</v>
      </c>
      <c r="O391" s="3" t="s">
        <v>197</v>
      </c>
      <c r="P391" s="3" t="s">
        <v>198</v>
      </c>
      <c r="Q391" s="3" t="s">
        <v>39</v>
      </c>
      <c r="R391" s="3" t="s">
        <v>40</v>
      </c>
      <c r="S391" s="7">
        <v>19701.3</v>
      </c>
      <c r="T391" s="7">
        <v>6566.5967000000001</v>
      </c>
      <c r="U391" s="7">
        <v>1641.7023999999999</v>
      </c>
      <c r="V391" s="7">
        <v>13134.703299999999</v>
      </c>
      <c r="W391" s="3">
        <v>33</v>
      </c>
    </row>
    <row r="392" spans="1:23" x14ac:dyDescent="0.35">
      <c r="A392" s="3" t="s">
        <v>458</v>
      </c>
      <c r="B392" s="3" t="s">
        <v>459</v>
      </c>
      <c r="C392" s="3" t="s">
        <v>206</v>
      </c>
      <c r="D392" s="3" t="s">
        <v>200</v>
      </c>
      <c r="E392" s="3" t="s">
        <v>187</v>
      </c>
      <c r="F392" s="3" t="s">
        <v>189</v>
      </c>
      <c r="G392" s="3" t="s">
        <v>201</v>
      </c>
      <c r="H392" s="3" t="s">
        <v>189</v>
      </c>
      <c r="I392" s="3" t="s">
        <v>190</v>
      </c>
      <c r="J392" s="3" t="s">
        <v>202</v>
      </c>
      <c r="K392" s="3" t="s">
        <v>23</v>
      </c>
      <c r="L392" s="3" t="s">
        <v>203</v>
      </c>
      <c r="M392" s="3" t="s">
        <v>207</v>
      </c>
      <c r="N392" s="3" t="s">
        <v>208</v>
      </c>
      <c r="O392" s="3" t="s">
        <v>197</v>
      </c>
      <c r="P392" s="3" t="s">
        <v>198</v>
      </c>
      <c r="Q392" s="3" t="s">
        <v>39</v>
      </c>
      <c r="R392" s="3" t="s">
        <v>40</v>
      </c>
      <c r="S392" s="7">
        <v>98275</v>
      </c>
      <c r="T392" s="7">
        <v>36561.836000000003</v>
      </c>
      <c r="U392" s="7">
        <v>3772.2359999999999</v>
      </c>
      <c r="V392" s="7">
        <v>61713.163999999997</v>
      </c>
      <c r="W392" s="3">
        <v>37</v>
      </c>
    </row>
    <row r="393" spans="1:23" x14ac:dyDescent="0.35">
      <c r="A393" s="3" t="s">
        <v>458</v>
      </c>
      <c r="B393" s="3" t="s">
        <v>459</v>
      </c>
      <c r="C393" s="3" t="s">
        <v>209</v>
      </c>
      <c r="D393" s="3" t="s">
        <v>200</v>
      </c>
      <c r="E393" s="3" t="s">
        <v>187</v>
      </c>
      <c r="F393" s="3" t="s">
        <v>189</v>
      </c>
      <c r="G393" s="3" t="s">
        <v>201</v>
      </c>
      <c r="H393" s="3" t="s">
        <v>189</v>
      </c>
      <c r="I393" s="3" t="s">
        <v>190</v>
      </c>
      <c r="J393" s="3" t="s">
        <v>191</v>
      </c>
      <c r="K393" s="3" t="s">
        <v>33</v>
      </c>
      <c r="L393" s="3" t="s">
        <v>34</v>
      </c>
      <c r="M393" s="3" t="s">
        <v>210</v>
      </c>
      <c r="N393" s="3" t="s">
        <v>211</v>
      </c>
      <c r="O393" s="3" t="s">
        <v>108</v>
      </c>
      <c r="P393" s="3" t="s">
        <v>109</v>
      </c>
      <c r="Q393" s="3" t="s">
        <v>39</v>
      </c>
      <c r="R393" s="3" t="s">
        <v>40</v>
      </c>
      <c r="S393" s="7">
        <v>5474469.7000000002</v>
      </c>
      <c r="T393" s="7">
        <v>1626416.4072</v>
      </c>
      <c r="U393" s="7">
        <v>410393.85230000003</v>
      </c>
      <c r="V393" s="7">
        <v>3848053.2927999999</v>
      </c>
      <c r="W393" s="3">
        <v>30</v>
      </c>
    </row>
    <row r="394" spans="1:23" x14ac:dyDescent="0.35">
      <c r="A394" s="3" t="s">
        <v>458</v>
      </c>
      <c r="B394" s="3" t="s">
        <v>459</v>
      </c>
      <c r="C394" s="3" t="s">
        <v>212</v>
      </c>
      <c r="D394" s="3" t="s">
        <v>200</v>
      </c>
      <c r="E394" s="3" t="s">
        <v>187</v>
      </c>
      <c r="F394" s="3" t="s">
        <v>189</v>
      </c>
      <c r="G394" s="3" t="s">
        <v>201</v>
      </c>
      <c r="H394" s="3" t="s">
        <v>189</v>
      </c>
      <c r="I394" s="3" t="s">
        <v>190</v>
      </c>
      <c r="J394" s="3" t="s">
        <v>191</v>
      </c>
      <c r="K394" s="3" t="s">
        <v>33</v>
      </c>
      <c r="L394" s="3" t="s">
        <v>34</v>
      </c>
      <c r="M394" s="3" t="s">
        <v>213</v>
      </c>
      <c r="N394" s="3" t="s">
        <v>214</v>
      </c>
      <c r="O394" s="3" t="s">
        <v>108</v>
      </c>
      <c r="P394" s="3" t="s">
        <v>109</v>
      </c>
      <c r="Q394" s="3" t="s">
        <v>39</v>
      </c>
      <c r="R394" s="3" t="s">
        <v>40</v>
      </c>
      <c r="S394" s="7">
        <v>183013.6</v>
      </c>
      <c r="T394" s="7">
        <v>47880.3508</v>
      </c>
      <c r="U394" s="7">
        <v>12399.6849</v>
      </c>
      <c r="V394" s="7">
        <v>135133.24919999999</v>
      </c>
      <c r="W394" s="3">
        <v>26</v>
      </c>
    </row>
    <row r="395" spans="1:23" x14ac:dyDescent="0.35">
      <c r="A395" s="3" t="s">
        <v>458</v>
      </c>
      <c r="B395" s="3" t="s">
        <v>459</v>
      </c>
      <c r="C395" s="3" t="s">
        <v>215</v>
      </c>
      <c r="D395" s="3" t="s">
        <v>200</v>
      </c>
      <c r="E395" s="3" t="s">
        <v>187</v>
      </c>
      <c r="F395" s="3" t="s">
        <v>189</v>
      </c>
      <c r="G395" s="3" t="s">
        <v>201</v>
      </c>
      <c r="H395" s="3" t="s">
        <v>189</v>
      </c>
      <c r="I395" s="3" t="s">
        <v>190</v>
      </c>
      <c r="J395" s="3" t="s">
        <v>191</v>
      </c>
      <c r="K395" s="3" t="s">
        <v>33</v>
      </c>
      <c r="L395" s="3" t="s">
        <v>34</v>
      </c>
      <c r="M395" s="3" t="s">
        <v>216</v>
      </c>
      <c r="N395" s="3" t="s">
        <v>217</v>
      </c>
      <c r="O395" s="3" t="s">
        <v>108</v>
      </c>
      <c r="P395" s="3" t="s">
        <v>109</v>
      </c>
      <c r="Q395" s="3" t="s">
        <v>39</v>
      </c>
      <c r="R395" s="3" t="s">
        <v>40</v>
      </c>
      <c r="S395" s="7">
        <v>88494.399999999994</v>
      </c>
      <c r="T395" s="7">
        <v>28181.246500000001</v>
      </c>
      <c r="U395" s="7">
        <v>7020.7476999999999</v>
      </c>
      <c r="V395" s="7">
        <v>60313.1535</v>
      </c>
      <c r="W395" s="3">
        <v>32</v>
      </c>
    </row>
    <row r="396" spans="1:23" x14ac:dyDescent="0.35">
      <c r="A396" s="3" t="s">
        <v>458</v>
      </c>
      <c r="B396" s="3" t="s">
        <v>459</v>
      </c>
      <c r="C396" s="3" t="s">
        <v>218</v>
      </c>
      <c r="D396" s="3" t="s">
        <v>200</v>
      </c>
      <c r="E396" s="3" t="s">
        <v>187</v>
      </c>
      <c r="F396" s="3" t="s">
        <v>189</v>
      </c>
      <c r="G396" s="3" t="s">
        <v>201</v>
      </c>
      <c r="H396" s="3" t="s">
        <v>189</v>
      </c>
      <c r="I396" s="3" t="s">
        <v>190</v>
      </c>
      <c r="J396" s="3" t="s">
        <v>191</v>
      </c>
      <c r="K396" s="3" t="s">
        <v>33</v>
      </c>
      <c r="L396" s="3" t="s">
        <v>34</v>
      </c>
      <c r="M396" s="3" t="s">
        <v>219</v>
      </c>
      <c r="N396" s="3" t="s">
        <v>220</v>
      </c>
      <c r="O396" s="3" t="s">
        <v>221</v>
      </c>
      <c r="P396" s="3" t="s">
        <v>222</v>
      </c>
      <c r="Q396" s="3" t="s">
        <v>39</v>
      </c>
      <c r="R396" s="3" t="s">
        <v>40</v>
      </c>
      <c r="S396" s="7">
        <v>1102.9000000000001</v>
      </c>
      <c r="T396" s="7">
        <v>0</v>
      </c>
      <c r="U396" s="7">
        <v>0</v>
      </c>
      <c r="V396" s="7">
        <v>1102.9000000000001</v>
      </c>
      <c r="W396" s="3">
        <v>0</v>
      </c>
    </row>
    <row r="397" spans="1:23" x14ac:dyDescent="0.35">
      <c r="A397" s="3" t="s">
        <v>458</v>
      </c>
      <c r="B397" s="3" t="s">
        <v>459</v>
      </c>
      <c r="C397" s="3" t="s">
        <v>223</v>
      </c>
      <c r="D397" s="3" t="s">
        <v>200</v>
      </c>
      <c r="E397" s="3" t="s">
        <v>187</v>
      </c>
      <c r="F397" s="3" t="s">
        <v>189</v>
      </c>
      <c r="G397" s="3" t="s">
        <v>201</v>
      </c>
      <c r="H397" s="3" t="s">
        <v>189</v>
      </c>
      <c r="I397" s="3" t="s">
        <v>190</v>
      </c>
      <c r="J397" s="3" t="s">
        <v>191</v>
      </c>
      <c r="K397" s="3" t="s">
        <v>33</v>
      </c>
      <c r="L397" s="3" t="s">
        <v>34</v>
      </c>
      <c r="M397" s="3" t="s">
        <v>224</v>
      </c>
      <c r="N397" s="3" t="s">
        <v>225</v>
      </c>
      <c r="O397" s="3" t="s">
        <v>197</v>
      </c>
      <c r="P397" s="3" t="s">
        <v>198</v>
      </c>
      <c r="Q397" s="3" t="s">
        <v>39</v>
      </c>
      <c r="R397" s="3" t="s">
        <v>40</v>
      </c>
      <c r="S397" s="7">
        <v>123977.4</v>
      </c>
      <c r="T397" s="7">
        <v>25389.365300000001</v>
      </c>
      <c r="U397" s="7">
        <v>25389.365300000001</v>
      </c>
      <c r="V397" s="7">
        <v>98588.034700000004</v>
      </c>
      <c r="W397" s="3">
        <v>20</v>
      </c>
    </row>
    <row r="398" spans="1:23" x14ac:dyDescent="0.35">
      <c r="A398" s="3" t="s">
        <v>458</v>
      </c>
      <c r="B398" s="3" t="s">
        <v>459</v>
      </c>
      <c r="C398" s="3" t="s">
        <v>432</v>
      </c>
      <c r="D398" s="3" t="s">
        <v>200</v>
      </c>
      <c r="E398" s="3" t="s">
        <v>187</v>
      </c>
      <c r="F398" s="3" t="s">
        <v>189</v>
      </c>
      <c r="G398" s="3" t="s">
        <v>201</v>
      </c>
      <c r="H398" s="3" t="s">
        <v>189</v>
      </c>
      <c r="I398" s="3" t="s">
        <v>190</v>
      </c>
      <c r="J398" s="3" t="s">
        <v>191</v>
      </c>
      <c r="K398" s="3" t="s">
        <v>33</v>
      </c>
      <c r="L398" s="3" t="s">
        <v>34</v>
      </c>
      <c r="M398" s="3" t="s">
        <v>427</v>
      </c>
      <c r="N398" s="3" t="s">
        <v>428</v>
      </c>
      <c r="O398" s="3" t="s">
        <v>197</v>
      </c>
      <c r="P398" s="3" t="s">
        <v>198</v>
      </c>
      <c r="Q398" s="3" t="s">
        <v>39</v>
      </c>
      <c r="R398" s="3" t="s">
        <v>40</v>
      </c>
      <c r="S398" s="7">
        <v>23605.9</v>
      </c>
      <c r="T398" s="7">
        <v>3167.6118999999999</v>
      </c>
      <c r="U398" s="7">
        <v>3123.4719</v>
      </c>
      <c r="V398" s="7">
        <v>20438.288100000002</v>
      </c>
      <c r="W398" s="3">
        <v>13</v>
      </c>
    </row>
    <row r="399" spans="1:23" x14ac:dyDescent="0.35">
      <c r="A399" s="3" t="s">
        <v>458</v>
      </c>
      <c r="B399" s="3" t="s">
        <v>459</v>
      </c>
      <c r="C399" s="3" t="s">
        <v>226</v>
      </c>
      <c r="D399" s="3" t="s">
        <v>200</v>
      </c>
      <c r="E399" s="3" t="s">
        <v>187</v>
      </c>
      <c r="F399" s="3" t="s">
        <v>189</v>
      </c>
      <c r="G399" s="3" t="s">
        <v>201</v>
      </c>
      <c r="H399" s="3" t="s">
        <v>189</v>
      </c>
      <c r="I399" s="3" t="s">
        <v>190</v>
      </c>
      <c r="J399" s="3" t="s">
        <v>191</v>
      </c>
      <c r="K399" s="3" t="s">
        <v>33</v>
      </c>
      <c r="L399" s="3" t="s">
        <v>34</v>
      </c>
      <c r="M399" s="3" t="s">
        <v>227</v>
      </c>
      <c r="N399" s="3" t="s">
        <v>228</v>
      </c>
      <c r="O399" s="3" t="s">
        <v>197</v>
      </c>
      <c r="P399" s="3" t="s">
        <v>198</v>
      </c>
      <c r="Q399" s="3" t="s">
        <v>39</v>
      </c>
      <c r="R399" s="3" t="s">
        <v>40</v>
      </c>
      <c r="S399" s="7">
        <v>115733.1</v>
      </c>
      <c r="T399" s="7">
        <v>526.04999999999995</v>
      </c>
      <c r="U399" s="7">
        <v>0</v>
      </c>
      <c r="V399" s="7">
        <v>115207.05</v>
      </c>
      <c r="W399" s="3">
        <v>0</v>
      </c>
    </row>
    <row r="400" spans="1:23" x14ac:dyDescent="0.35">
      <c r="A400" s="3" t="s">
        <v>458</v>
      </c>
      <c r="B400" s="3" t="s">
        <v>459</v>
      </c>
      <c r="C400" s="3" t="s">
        <v>229</v>
      </c>
      <c r="D400" s="3" t="s">
        <v>200</v>
      </c>
      <c r="E400" s="3" t="s">
        <v>187</v>
      </c>
      <c r="F400" s="3" t="s">
        <v>189</v>
      </c>
      <c r="G400" s="3" t="s">
        <v>201</v>
      </c>
      <c r="H400" s="3" t="s">
        <v>189</v>
      </c>
      <c r="I400" s="3" t="s">
        <v>190</v>
      </c>
      <c r="J400" s="3" t="s">
        <v>191</v>
      </c>
      <c r="K400" s="3" t="s">
        <v>33</v>
      </c>
      <c r="L400" s="3" t="s">
        <v>34</v>
      </c>
      <c r="M400" s="3" t="s">
        <v>195</v>
      </c>
      <c r="N400" s="3" t="s">
        <v>196</v>
      </c>
      <c r="O400" s="3" t="s">
        <v>197</v>
      </c>
      <c r="P400" s="3" t="s">
        <v>198</v>
      </c>
      <c r="Q400" s="3" t="s">
        <v>39</v>
      </c>
      <c r="R400" s="3" t="s">
        <v>40</v>
      </c>
      <c r="S400" s="7">
        <v>29599.599999999999</v>
      </c>
      <c r="T400" s="7">
        <v>385.70589999999999</v>
      </c>
      <c r="U400" s="7">
        <v>385.70589999999999</v>
      </c>
      <c r="V400" s="7">
        <v>29213.894100000001</v>
      </c>
      <c r="W400" s="3">
        <v>1</v>
      </c>
    </row>
    <row r="401" spans="1:23" x14ac:dyDescent="0.35">
      <c r="A401" s="3" t="s">
        <v>458</v>
      </c>
      <c r="B401" s="3" t="s">
        <v>459</v>
      </c>
      <c r="C401" s="3" t="s">
        <v>433</v>
      </c>
      <c r="D401" s="3" t="s">
        <v>200</v>
      </c>
      <c r="E401" s="3" t="s">
        <v>187</v>
      </c>
      <c r="F401" s="3" t="s">
        <v>189</v>
      </c>
      <c r="G401" s="3" t="s">
        <v>201</v>
      </c>
      <c r="H401" s="3" t="s">
        <v>189</v>
      </c>
      <c r="I401" s="3" t="s">
        <v>190</v>
      </c>
      <c r="J401" s="3" t="s">
        <v>191</v>
      </c>
      <c r="K401" s="3" t="s">
        <v>33</v>
      </c>
      <c r="L401" s="3" t="s">
        <v>34</v>
      </c>
      <c r="M401" s="3" t="s">
        <v>434</v>
      </c>
      <c r="N401" s="3" t="s">
        <v>435</v>
      </c>
      <c r="O401" s="3" t="s">
        <v>197</v>
      </c>
      <c r="P401" s="3" t="s">
        <v>198</v>
      </c>
      <c r="Q401" s="3" t="s">
        <v>39</v>
      </c>
      <c r="R401" s="3" t="s">
        <v>40</v>
      </c>
      <c r="S401" s="7">
        <v>14900</v>
      </c>
      <c r="T401" s="7">
        <v>0</v>
      </c>
      <c r="U401" s="7">
        <v>0</v>
      </c>
      <c r="V401" s="7">
        <v>14900</v>
      </c>
      <c r="W401" s="3">
        <v>0</v>
      </c>
    </row>
    <row r="402" spans="1:23" x14ac:dyDescent="0.35">
      <c r="A402" s="3" t="s">
        <v>458</v>
      </c>
      <c r="B402" s="3" t="s">
        <v>459</v>
      </c>
      <c r="C402" s="3" t="s">
        <v>230</v>
      </c>
      <c r="D402" s="3" t="s">
        <v>200</v>
      </c>
      <c r="E402" s="3" t="s">
        <v>187</v>
      </c>
      <c r="F402" s="3" t="s">
        <v>189</v>
      </c>
      <c r="G402" s="3" t="s">
        <v>201</v>
      </c>
      <c r="H402" s="3" t="s">
        <v>28</v>
      </c>
      <c r="I402" s="3" t="s">
        <v>231</v>
      </c>
      <c r="J402" s="3" t="s">
        <v>232</v>
      </c>
      <c r="K402" s="3" t="s">
        <v>33</v>
      </c>
      <c r="L402" s="3" t="s">
        <v>51</v>
      </c>
      <c r="M402" s="3" t="s">
        <v>233</v>
      </c>
      <c r="N402" s="3" t="s">
        <v>234</v>
      </c>
      <c r="O402" s="3" t="s">
        <v>197</v>
      </c>
      <c r="P402" s="3" t="s">
        <v>198</v>
      </c>
      <c r="Q402" s="3" t="s">
        <v>39</v>
      </c>
      <c r="R402" s="3" t="s">
        <v>40</v>
      </c>
      <c r="S402" s="7">
        <v>340444.3</v>
      </c>
      <c r="T402" s="7">
        <v>104609.6767</v>
      </c>
      <c r="U402" s="7">
        <v>25431.178</v>
      </c>
      <c r="V402" s="7">
        <v>235834.62330000001</v>
      </c>
      <c r="W402" s="3">
        <v>31</v>
      </c>
    </row>
    <row r="403" spans="1:23" x14ac:dyDescent="0.35">
      <c r="A403" s="3" t="s">
        <v>458</v>
      </c>
      <c r="B403" s="3" t="s">
        <v>459</v>
      </c>
      <c r="C403" s="3" t="s">
        <v>235</v>
      </c>
      <c r="D403" s="3" t="s">
        <v>200</v>
      </c>
      <c r="E403" s="3" t="s">
        <v>187</v>
      </c>
      <c r="F403" s="3" t="s">
        <v>189</v>
      </c>
      <c r="G403" s="3" t="s">
        <v>201</v>
      </c>
      <c r="H403" s="3" t="s">
        <v>28</v>
      </c>
      <c r="I403" s="3" t="s">
        <v>231</v>
      </c>
      <c r="J403" s="3" t="s">
        <v>232</v>
      </c>
      <c r="K403" s="3" t="s">
        <v>33</v>
      </c>
      <c r="L403" s="3" t="s">
        <v>51</v>
      </c>
      <c r="M403" s="3" t="s">
        <v>236</v>
      </c>
      <c r="N403" s="3" t="s">
        <v>237</v>
      </c>
      <c r="O403" s="3" t="s">
        <v>197</v>
      </c>
      <c r="P403" s="3" t="s">
        <v>198</v>
      </c>
      <c r="Q403" s="3" t="s">
        <v>39</v>
      </c>
      <c r="R403" s="3" t="s">
        <v>40</v>
      </c>
      <c r="S403" s="7">
        <v>188979.20000000001</v>
      </c>
      <c r="T403" s="7">
        <v>87537.7353</v>
      </c>
      <c r="U403" s="7">
        <v>13024.3244</v>
      </c>
      <c r="V403" s="7">
        <v>101441.4647</v>
      </c>
      <c r="W403" s="3">
        <v>46</v>
      </c>
    </row>
    <row r="404" spans="1:23" x14ac:dyDescent="0.35">
      <c r="A404" s="3" t="s">
        <v>458</v>
      </c>
      <c r="B404" s="3" t="s">
        <v>459</v>
      </c>
      <c r="C404" s="3" t="s">
        <v>238</v>
      </c>
      <c r="D404" s="3" t="s">
        <v>239</v>
      </c>
      <c r="E404" s="3" t="s">
        <v>187</v>
      </c>
      <c r="F404" s="3" t="s">
        <v>28</v>
      </c>
      <c r="G404" s="3" t="s">
        <v>240</v>
      </c>
      <c r="H404" s="3" t="s">
        <v>189</v>
      </c>
      <c r="I404" s="3" t="s">
        <v>190</v>
      </c>
      <c r="J404" s="3" t="s">
        <v>191</v>
      </c>
      <c r="K404" s="3" t="s">
        <v>33</v>
      </c>
      <c r="L404" s="3" t="s">
        <v>34</v>
      </c>
      <c r="M404" s="3" t="s">
        <v>241</v>
      </c>
      <c r="N404" s="3" t="s">
        <v>242</v>
      </c>
      <c r="O404" s="3" t="s">
        <v>108</v>
      </c>
      <c r="P404" s="3" t="s">
        <v>109</v>
      </c>
      <c r="Q404" s="3" t="s">
        <v>39</v>
      </c>
      <c r="R404" s="3" t="s">
        <v>40</v>
      </c>
      <c r="S404" s="7">
        <v>300340.90000000002</v>
      </c>
      <c r="T404" s="7">
        <v>82617.821599999996</v>
      </c>
      <c r="U404" s="7">
        <v>26667.081399999999</v>
      </c>
      <c r="V404" s="7">
        <v>217723.0784</v>
      </c>
      <c r="W404" s="3">
        <v>28</v>
      </c>
    </row>
    <row r="405" spans="1:23" x14ac:dyDescent="0.35">
      <c r="A405" s="3" t="s">
        <v>458</v>
      </c>
      <c r="B405" s="3" t="s">
        <v>459</v>
      </c>
      <c r="C405" s="3" t="s">
        <v>243</v>
      </c>
      <c r="D405" s="3" t="s">
        <v>244</v>
      </c>
      <c r="E405" s="3" t="s">
        <v>187</v>
      </c>
      <c r="F405" s="3" t="s">
        <v>245</v>
      </c>
      <c r="G405" s="3" t="s">
        <v>246</v>
      </c>
      <c r="H405" s="3" t="s">
        <v>66</v>
      </c>
      <c r="I405" s="3" t="s">
        <v>67</v>
      </c>
      <c r="J405" s="3" t="s">
        <v>68</v>
      </c>
      <c r="K405" s="3" t="s">
        <v>33</v>
      </c>
      <c r="L405" s="3" t="s">
        <v>51</v>
      </c>
      <c r="M405" s="3" t="s">
        <v>247</v>
      </c>
      <c r="N405" s="3" t="s">
        <v>248</v>
      </c>
      <c r="O405" s="3" t="s">
        <v>108</v>
      </c>
      <c r="P405" s="3" t="s">
        <v>109</v>
      </c>
      <c r="Q405" s="3" t="s">
        <v>39</v>
      </c>
      <c r="R405" s="3" t="s">
        <v>40</v>
      </c>
      <c r="S405" s="7">
        <v>241260.4</v>
      </c>
      <c r="T405" s="7">
        <v>42048.339899999999</v>
      </c>
      <c r="U405" s="7">
        <v>15361.006299999999</v>
      </c>
      <c r="V405" s="7">
        <v>199212.0601</v>
      </c>
      <c r="W405" s="3">
        <v>17</v>
      </c>
    </row>
    <row r="406" spans="1:23" x14ac:dyDescent="0.35">
      <c r="A406" s="3" t="s">
        <v>458</v>
      </c>
      <c r="B406" s="3" t="s">
        <v>459</v>
      </c>
      <c r="C406" s="3" t="s">
        <v>249</v>
      </c>
      <c r="D406" s="3" t="s">
        <v>244</v>
      </c>
      <c r="E406" s="3" t="s">
        <v>187</v>
      </c>
      <c r="F406" s="3" t="s">
        <v>245</v>
      </c>
      <c r="G406" s="3" t="s">
        <v>246</v>
      </c>
      <c r="H406" s="3" t="s">
        <v>66</v>
      </c>
      <c r="I406" s="3" t="s">
        <v>67</v>
      </c>
      <c r="J406" s="3" t="s">
        <v>68</v>
      </c>
      <c r="K406" s="3" t="s">
        <v>33</v>
      </c>
      <c r="L406" s="3" t="s">
        <v>51</v>
      </c>
      <c r="M406" s="3" t="s">
        <v>250</v>
      </c>
      <c r="N406" s="3" t="s">
        <v>251</v>
      </c>
      <c r="O406" s="3" t="s">
        <v>197</v>
      </c>
      <c r="P406" s="3" t="s">
        <v>198</v>
      </c>
      <c r="Q406" s="3" t="s">
        <v>39</v>
      </c>
      <c r="R406" s="3" t="s">
        <v>40</v>
      </c>
      <c r="S406" s="7">
        <v>82757.8</v>
      </c>
      <c r="T406" s="7">
        <v>0</v>
      </c>
      <c r="U406" s="7">
        <v>0</v>
      </c>
      <c r="V406" s="7">
        <v>82757.8</v>
      </c>
      <c r="W406" s="3">
        <v>0</v>
      </c>
    </row>
    <row r="407" spans="1:23" x14ac:dyDescent="0.35">
      <c r="A407" s="3" t="s">
        <v>458</v>
      </c>
      <c r="B407" s="3" t="s">
        <v>459</v>
      </c>
      <c r="C407" s="3" t="s">
        <v>252</v>
      </c>
      <c r="D407" s="3" t="s">
        <v>244</v>
      </c>
      <c r="E407" s="3" t="s">
        <v>187</v>
      </c>
      <c r="F407" s="3" t="s">
        <v>245</v>
      </c>
      <c r="G407" s="3" t="s">
        <v>246</v>
      </c>
      <c r="H407" s="3" t="s">
        <v>66</v>
      </c>
      <c r="I407" s="3" t="s">
        <v>67</v>
      </c>
      <c r="J407" s="3" t="s">
        <v>68</v>
      </c>
      <c r="K407" s="3" t="s">
        <v>33</v>
      </c>
      <c r="L407" s="3" t="s">
        <v>51</v>
      </c>
      <c r="M407" s="3" t="s">
        <v>253</v>
      </c>
      <c r="N407" s="3" t="s">
        <v>254</v>
      </c>
      <c r="O407" s="3" t="s">
        <v>197</v>
      </c>
      <c r="P407" s="3" t="s">
        <v>198</v>
      </c>
      <c r="Q407" s="3" t="s">
        <v>39</v>
      </c>
      <c r="R407" s="3" t="s">
        <v>40</v>
      </c>
      <c r="S407" s="7">
        <v>1724.3</v>
      </c>
      <c r="T407" s="7">
        <v>0</v>
      </c>
      <c r="U407" s="7">
        <v>0</v>
      </c>
      <c r="V407" s="7">
        <v>1724.3</v>
      </c>
      <c r="W407" s="3">
        <v>0</v>
      </c>
    </row>
    <row r="408" spans="1:23" x14ac:dyDescent="0.35">
      <c r="A408" s="3" t="s">
        <v>458</v>
      </c>
      <c r="B408" s="3" t="s">
        <v>459</v>
      </c>
      <c r="C408" s="3" t="s">
        <v>255</v>
      </c>
      <c r="D408" s="3" t="s">
        <v>244</v>
      </c>
      <c r="E408" s="3" t="s">
        <v>187</v>
      </c>
      <c r="F408" s="3" t="s">
        <v>245</v>
      </c>
      <c r="G408" s="3" t="s">
        <v>246</v>
      </c>
      <c r="H408" s="3" t="s">
        <v>66</v>
      </c>
      <c r="I408" s="3" t="s">
        <v>67</v>
      </c>
      <c r="J408" s="3" t="s">
        <v>68</v>
      </c>
      <c r="K408" s="3" t="s">
        <v>33</v>
      </c>
      <c r="L408" s="3" t="s">
        <v>51</v>
      </c>
      <c r="M408" s="3" t="s">
        <v>256</v>
      </c>
      <c r="N408" s="3" t="s">
        <v>257</v>
      </c>
      <c r="O408" s="3" t="s">
        <v>197</v>
      </c>
      <c r="P408" s="3" t="s">
        <v>198</v>
      </c>
      <c r="Q408" s="3" t="s">
        <v>39</v>
      </c>
      <c r="R408" s="3" t="s">
        <v>40</v>
      </c>
      <c r="S408" s="7">
        <v>23957.3</v>
      </c>
      <c r="T408" s="7">
        <v>0</v>
      </c>
      <c r="U408" s="7">
        <v>0</v>
      </c>
      <c r="V408" s="7">
        <v>23957.3</v>
      </c>
      <c r="W408" s="3">
        <v>0</v>
      </c>
    </row>
    <row r="409" spans="1:23" x14ac:dyDescent="0.35">
      <c r="A409" s="3" t="s">
        <v>458</v>
      </c>
      <c r="B409" s="3" t="s">
        <v>459</v>
      </c>
      <c r="C409" s="3" t="s">
        <v>258</v>
      </c>
      <c r="D409" s="3" t="s">
        <v>259</v>
      </c>
      <c r="E409" s="3" t="s">
        <v>187</v>
      </c>
      <c r="F409" s="3" t="s">
        <v>116</v>
      </c>
      <c r="G409" s="3" t="s">
        <v>260</v>
      </c>
      <c r="H409" s="3" t="s">
        <v>189</v>
      </c>
      <c r="I409" s="3" t="s">
        <v>190</v>
      </c>
      <c r="J409" s="3" t="s">
        <v>202</v>
      </c>
      <c r="K409" s="3" t="s">
        <v>23</v>
      </c>
      <c r="L409" s="3" t="s">
        <v>203</v>
      </c>
      <c r="M409" s="3" t="s">
        <v>261</v>
      </c>
      <c r="N409" s="3" t="s">
        <v>262</v>
      </c>
      <c r="O409" s="3" t="s">
        <v>197</v>
      </c>
      <c r="P409" s="3" t="s">
        <v>198</v>
      </c>
      <c r="Q409" s="3" t="s">
        <v>39</v>
      </c>
      <c r="R409" s="3" t="s">
        <v>40</v>
      </c>
      <c r="S409" s="7">
        <v>3437.3</v>
      </c>
      <c r="T409" s="7">
        <v>1145.68</v>
      </c>
      <c r="U409" s="7">
        <v>286.39999999999998</v>
      </c>
      <c r="V409" s="7">
        <v>2291.62</v>
      </c>
      <c r="W409" s="3">
        <v>33</v>
      </c>
    </row>
    <row r="410" spans="1:23" x14ac:dyDescent="0.35">
      <c r="A410" s="3" t="s">
        <v>458</v>
      </c>
      <c r="B410" s="3" t="s">
        <v>459</v>
      </c>
      <c r="C410" s="3" t="s">
        <v>263</v>
      </c>
      <c r="D410" s="3" t="s">
        <v>259</v>
      </c>
      <c r="E410" s="3" t="s">
        <v>187</v>
      </c>
      <c r="F410" s="3" t="s">
        <v>116</v>
      </c>
      <c r="G410" s="3" t="s">
        <v>260</v>
      </c>
      <c r="H410" s="3" t="s">
        <v>189</v>
      </c>
      <c r="I410" s="3" t="s">
        <v>190</v>
      </c>
      <c r="J410" s="3" t="s">
        <v>191</v>
      </c>
      <c r="K410" s="3" t="s">
        <v>33</v>
      </c>
      <c r="L410" s="3" t="s">
        <v>34</v>
      </c>
      <c r="M410" s="3" t="s">
        <v>264</v>
      </c>
      <c r="N410" s="3" t="s">
        <v>265</v>
      </c>
      <c r="O410" s="3" t="s">
        <v>197</v>
      </c>
      <c r="P410" s="3" t="s">
        <v>198</v>
      </c>
      <c r="Q410" s="3" t="s">
        <v>39</v>
      </c>
      <c r="R410" s="3" t="s">
        <v>40</v>
      </c>
      <c r="S410" s="7">
        <v>1718.3</v>
      </c>
      <c r="T410" s="7">
        <v>1718.3</v>
      </c>
      <c r="U410" s="7">
        <v>1718.3</v>
      </c>
      <c r="V410" s="7">
        <v>0</v>
      </c>
      <c r="W410" s="3">
        <v>100</v>
      </c>
    </row>
    <row r="411" spans="1:23" x14ac:dyDescent="0.35">
      <c r="A411" s="3" t="s">
        <v>458</v>
      </c>
      <c r="B411" s="3" t="s">
        <v>459</v>
      </c>
      <c r="C411" s="3" t="s">
        <v>266</v>
      </c>
      <c r="D411" s="3" t="s">
        <v>259</v>
      </c>
      <c r="E411" s="3" t="s">
        <v>187</v>
      </c>
      <c r="F411" s="3" t="s">
        <v>116</v>
      </c>
      <c r="G411" s="3" t="s">
        <v>260</v>
      </c>
      <c r="H411" s="3" t="s">
        <v>189</v>
      </c>
      <c r="I411" s="3" t="s">
        <v>190</v>
      </c>
      <c r="J411" s="3" t="s">
        <v>191</v>
      </c>
      <c r="K411" s="3" t="s">
        <v>33</v>
      </c>
      <c r="L411" s="3" t="s">
        <v>34</v>
      </c>
      <c r="M411" s="3" t="s">
        <v>267</v>
      </c>
      <c r="N411" s="3" t="s">
        <v>268</v>
      </c>
      <c r="O411" s="3" t="s">
        <v>37</v>
      </c>
      <c r="P411" s="3" t="s">
        <v>38</v>
      </c>
      <c r="Q411" s="3" t="s">
        <v>39</v>
      </c>
      <c r="R411" s="3" t="s">
        <v>40</v>
      </c>
      <c r="S411" s="7">
        <v>95084.9</v>
      </c>
      <c r="T411" s="7">
        <v>2447.6</v>
      </c>
      <c r="U411" s="7">
        <v>2447.6</v>
      </c>
      <c r="V411" s="7">
        <v>92637.3</v>
      </c>
      <c r="W411" s="3">
        <v>3</v>
      </c>
    </row>
    <row r="412" spans="1:23" x14ac:dyDescent="0.35">
      <c r="A412" s="3" t="s">
        <v>458</v>
      </c>
      <c r="B412" s="3" t="s">
        <v>459</v>
      </c>
      <c r="C412" s="3" t="s">
        <v>269</v>
      </c>
      <c r="D412" s="3" t="s">
        <v>259</v>
      </c>
      <c r="E412" s="3" t="s">
        <v>187</v>
      </c>
      <c r="F412" s="3" t="s">
        <v>116</v>
      </c>
      <c r="G412" s="3" t="s">
        <v>260</v>
      </c>
      <c r="H412" s="3" t="s">
        <v>189</v>
      </c>
      <c r="I412" s="3" t="s">
        <v>190</v>
      </c>
      <c r="J412" s="3" t="s">
        <v>191</v>
      </c>
      <c r="K412" s="3" t="s">
        <v>33</v>
      </c>
      <c r="L412" s="3" t="s">
        <v>34</v>
      </c>
      <c r="M412" s="3" t="s">
        <v>267</v>
      </c>
      <c r="N412" s="3" t="s">
        <v>268</v>
      </c>
      <c r="O412" s="3" t="s">
        <v>197</v>
      </c>
      <c r="P412" s="3" t="s">
        <v>198</v>
      </c>
      <c r="Q412" s="3" t="s">
        <v>39</v>
      </c>
      <c r="R412" s="3" t="s">
        <v>40</v>
      </c>
      <c r="S412" s="7">
        <v>14782.4</v>
      </c>
      <c r="T412" s="7">
        <v>241.25409999999999</v>
      </c>
      <c r="U412" s="7">
        <v>241.25409999999999</v>
      </c>
      <c r="V412" s="7">
        <v>14541.1459</v>
      </c>
      <c r="W412" s="3">
        <v>2</v>
      </c>
    </row>
    <row r="413" spans="1:23" x14ac:dyDescent="0.35">
      <c r="A413" s="3" t="s">
        <v>458</v>
      </c>
      <c r="B413" s="3" t="s">
        <v>459</v>
      </c>
      <c r="C413" s="3" t="s">
        <v>270</v>
      </c>
      <c r="D413" s="3" t="s">
        <v>259</v>
      </c>
      <c r="E413" s="3" t="s">
        <v>187</v>
      </c>
      <c r="F413" s="3" t="s">
        <v>116</v>
      </c>
      <c r="G413" s="3" t="s">
        <v>260</v>
      </c>
      <c r="H413" s="3" t="s">
        <v>189</v>
      </c>
      <c r="I413" s="3" t="s">
        <v>190</v>
      </c>
      <c r="J413" s="3" t="s">
        <v>191</v>
      </c>
      <c r="K413" s="3" t="s">
        <v>33</v>
      </c>
      <c r="L413" s="3" t="s">
        <v>34</v>
      </c>
      <c r="M413" s="3" t="s">
        <v>271</v>
      </c>
      <c r="N413" s="3" t="s">
        <v>272</v>
      </c>
      <c r="O413" s="3" t="s">
        <v>108</v>
      </c>
      <c r="P413" s="3" t="s">
        <v>109</v>
      </c>
      <c r="Q413" s="3" t="s">
        <v>39</v>
      </c>
      <c r="R413" s="3" t="s">
        <v>40</v>
      </c>
      <c r="S413" s="7">
        <v>46883.7</v>
      </c>
      <c r="T413" s="7">
        <v>16432.6315</v>
      </c>
      <c r="U413" s="7">
        <v>3920.2318</v>
      </c>
      <c r="V413" s="7">
        <v>30451.068500000001</v>
      </c>
      <c r="W413" s="3">
        <v>35</v>
      </c>
    </row>
    <row r="414" spans="1:23" x14ac:dyDescent="0.35">
      <c r="A414" s="3" t="s">
        <v>458</v>
      </c>
      <c r="B414" s="3" t="s">
        <v>459</v>
      </c>
      <c r="C414" s="3" t="s">
        <v>273</v>
      </c>
      <c r="D414" s="3" t="s">
        <v>259</v>
      </c>
      <c r="E414" s="3" t="s">
        <v>187</v>
      </c>
      <c r="F414" s="3" t="s">
        <v>116</v>
      </c>
      <c r="G414" s="3" t="s">
        <v>260</v>
      </c>
      <c r="H414" s="3" t="s">
        <v>189</v>
      </c>
      <c r="I414" s="3" t="s">
        <v>190</v>
      </c>
      <c r="J414" s="3" t="s">
        <v>191</v>
      </c>
      <c r="K414" s="3" t="s">
        <v>33</v>
      </c>
      <c r="L414" s="3" t="s">
        <v>34</v>
      </c>
      <c r="M414" s="3" t="s">
        <v>274</v>
      </c>
      <c r="N414" s="3" t="s">
        <v>275</v>
      </c>
      <c r="O414" s="3" t="s">
        <v>108</v>
      </c>
      <c r="P414" s="3" t="s">
        <v>109</v>
      </c>
      <c r="Q414" s="3" t="s">
        <v>39</v>
      </c>
      <c r="R414" s="3" t="s">
        <v>40</v>
      </c>
      <c r="S414" s="7">
        <v>66303.8</v>
      </c>
      <c r="T414" s="7">
        <v>21020.1204</v>
      </c>
      <c r="U414" s="7">
        <v>6330.7572</v>
      </c>
      <c r="V414" s="7">
        <v>45283.679600000003</v>
      </c>
      <c r="W414" s="3">
        <v>32</v>
      </c>
    </row>
    <row r="415" spans="1:23" x14ac:dyDescent="0.35">
      <c r="A415" s="3" t="s">
        <v>458</v>
      </c>
      <c r="B415" s="3" t="s">
        <v>459</v>
      </c>
      <c r="C415" s="3" t="s">
        <v>460</v>
      </c>
      <c r="D415" s="3" t="s">
        <v>259</v>
      </c>
      <c r="E415" s="3" t="s">
        <v>187</v>
      </c>
      <c r="F415" s="3" t="s">
        <v>116</v>
      </c>
      <c r="G415" s="3" t="s">
        <v>260</v>
      </c>
      <c r="H415" s="3" t="s">
        <v>189</v>
      </c>
      <c r="I415" s="3" t="s">
        <v>190</v>
      </c>
      <c r="J415" s="3" t="s">
        <v>191</v>
      </c>
      <c r="K415" s="3" t="s">
        <v>33</v>
      </c>
      <c r="L415" s="3" t="s">
        <v>34</v>
      </c>
      <c r="M415" s="3" t="s">
        <v>461</v>
      </c>
      <c r="N415" s="3" t="s">
        <v>462</v>
      </c>
      <c r="O415" s="3" t="s">
        <v>197</v>
      </c>
      <c r="P415" s="3" t="s">
        <v>198</v>
      </c>
      <c r="Q415" s="3" t="s">
        <v>39</v>
      </c>
      <c r="R415" s="3" t="s">
        <v>40</v>
      </c>
      <c r="S415" s="7">
        <v>21095.5</v>
      </c>
      <c r="T415" s="7">
        <v>0</v>
      </c>
      <c r="U415" s="7">
        <v>0</v>
      </c>
      <c r="V415" s="7">
        <v>21095.5</v>
      </c>
      <c r="W415" s="3">
        <v>0</v>
      </c>
    </row>
    <row r="416" spans="1:23" x14ac:dyDescent="0.35">
      <c r="A416" s="3" t="s">
        <v>458</v>
      </c>
      <c r="B416" s="3" t="s">
        <v>459</v>
      </c>
      <c r="C416" s="3" t="s">
        <v>276</v>
      </c>
      <c r="D416" s="3" t="s">
        <v>259</v>
      </c>
      <c r="E416" s="3" t="s">
        <v>187</v>
      </c>
      <c r="F416" s="3" t="s">
        <v>116</v>
      </c>
      <c r="G416" s="3" t="s">
        <v>260</v>
      </c>
      <c r="H416" s="3" t="s">
        <v>189</v>
      </c>
      <c r="I416" s="3" t="s">
        <v>190</v>
      </c>
      <c r="J416" s="3" t="s">
        <v>191</v>
      </c>
      <c r="K416" s="3" t="s">
        <v>33</v>
      </c>
      <c r="L416" s="3" t="s">
        <v>34</v>
      </c>
      <c r="M416" s="3" t="s">
        <v>277</v>
      </c>
      <c r="N416" s="3" t="s">
        <v>278</v>
      </c>
      <c r="O416" s="3" t="s">
        <v>197</v>
      </c>
      <c r="P416" s="3" t="s">
        <v>198</v>
      </c>
      <c r="Q416" s="3" t="s">
        <v>39</v>
      </c>
      <c r="R416" s="3" t="s">
        <v>40</v>
      </c>
      <c r="S416" s="7">
        <v>5928.5</v>
      </c>
      <c r="T416" s="7">
        <v>0</v>
      </c>
      <c r="U416" s="7">
        <v>0</v>
      </c>
      <c r="V416" s="7">
        <v>5928.5</v>
      </c>
      <c r="W416" s="3">
        <v>0</v>
      </c>
    </row>
    <row r="417" spans="1:23" x14ac:dyDescent="0.35">
      <c r="A417" s="3" t="s">
        <v>458</v>
      </c>
      <c r="B417" s="3" t="s">
        <v>459</v>
      </c>
      <c r="C417" s="3" t="s">
        <v>279</v>
      </c>
      <c r="D417" s="3" t="s">
        <v>259</v>
      </c>
      <c r="E417" s="3" t="s">
        <v>187</v>
      </c>
      <c r="F417" s="3" t="s">
        <v>116</v>
      </c>
      <c r="G417" s="3" t="s">
        <v>260</v>
      </c>
      <c r="H417" s="3" t="s">
        <v>189</v>
      </c>
      <c r="I417" s="3" t="s">
        <v>190</v>
      </c>
      <c r="J417" s="3" t="s">
        <v>191</v>
      </c>
      <c r="K417" s="3" t="s">
        <v>33</v>
      </c>
      <c r="L417" s="3" t="s">
        <v>34</v>
      </c>
      <c r="M417" s="3" t="s">
        <v>280</v>
      </c>
      <c r="N417" s="3" t="s">
        <v>281</v>
      </c>
      <c r="O417" s="3" t="s">
        <v>197</v>
      </c>
      <c r="P417" s="3" t="s">
        <v>198</v>
      </c>
      <c r="Q417" s="3" t="s">
        <v>39</v>
      </c>
      <c r="R417" s="3" t="s">
        <v>40</v>
      </c>
      <c r="S417" s="7">
        <v>7523.1</v>
      </c>
      <c r="T417" s="7">
        <v>0</v>
      </c>
      <c r="U417" s="7">
        <v>0</v>
      </c>
      <c r="V417" s="7">
        <v>7523.1</v>
      </c>
      <c r="W417" s="3">
        <v>0</v>
      </c>
    </row>
    <row r="418" spans="1:23" x14ac:dyDescent="0.35">
      <c r="A418" s="3" t="s">
        <v>458</v>
      </c>
      <c r="B418" s="3" t="s">
        <v>459</v>
      </c>
      <c r="C418" s="3" t="s">
        <v>282</v>
      </c>
      <c r="D418" s="3" t="s">
        <v>259</v>
      </c>
      <c r="E418" s="3" t="s">
        <v>187</v>
      </c>
      <c r="F418" s="3" t="s">
        <v>116</v>
      </c>
      <c r="G418" s="3" t="s">
        <v>260</v>
      </c>
      <c r="H418" s="3" t="s">
        <v>66</v>
      </c>
      <c r="I418" s="3" t="s">
        <v>67</v>
      </c>
      <c r="J418" s="3" t="s">
        <v>68</v>
      </c>
      <c r="K418" s="3" t="s">
        <v>33</v>
      </c>
      <c r="L418" s="3" t="s">
        <v>51</v>
      </c>
      <c r="M418" s="3" t="s">
        <v>283</v>
      </c>
      <c r="N418" s="3" t="s">
        <v>284</v>
      </c>
      <c r="O418" s="3" t="s">
        <v>197</v>
      </c>
      <c r="P418" s="3" t="s">
        <v>198</v>
      </c>
      <c r="Q418" s="3" t="s">
        <v>39</v>
      </c>
      <c r="R418" s="3" t="s">
        <v>40</v>
      </c>
      <c r="S418" s="7">
        <v>500</v>
      </c>
      <c r="T418" s="7">
        <v>40</v>
      </c>
      <c r="U418" s="7">
        <v>32</v>
      </c>
      <c r="V418" s="7">
        <v>460</v>
      </c>
      <c r="W418" s="3">
        <v>8</v>
      </c>
    </row>
    <row r="419" spans="1:23" x14ac:dyDescent="0.35">
      <c r="A419" s="3" t="s">
        <v>458</v>
      </c>
      <c r="B419" s="3" t="s">
        <v>459</v>
      </c>
      <c r="C419" s="3" t="s">
        <v>285</v>
      </c>
      <c r="D419" s="3" t="s">
        <v>259</v>
      </c>
      <c r="E419" s="3" t="s">
        <v>187</v>
      </c>
      <c r="F419" s="3" t="s">
        <v>116</v>
      </c>
      <c r="G419" s="3" t="s">
        <v>260</v>
      </c>
      <c r="H419" s="3" t="s">
        <v>30</v>
      </c>
      <c r="I419" s="3" t="s">
        <v>31</v>
      </c>
      <c r="J419" s="3" t="s">
        <v>32</v>
      </c>
      <c r="K419" s="3" t="s">
        <v>33</v>
      </c>
      <c r="L419" s="3" t="s">
        <v>34</v>
      </c>
      <c r="M419" s="3" t="s">
        <v>286</v>
      </c>
      <c r="N419" s="3" t="s">
        <v>287</v>
      </c>
      <c r="O419" s="3" t="s">
        <v>37</v>
      </c>
      <c r="P419" s="3" t="s">
        <v>38</v>
      </c>
      <c r="Q419" s="3" t="s">
        <v>39</v>
      </c>
      <c r="R419" s="3" t="s">
        <v>40</v>
      </c>
      <c r="S419" s="7">
        <v>900.4</v>
      </c>
      <c r="T419" s="7">
        <v>0</v>
      </c>
      <c r="U419" s="7">
        <v>0</v>
      </c>
      <c r="V419" s="7">
        <v>900.4</v>
      </c>
      <c r="W419" s="3">
        <v>0</v>
      </c>
    </row>
    <row r="420" spans="1:23" x14ac:dyDescent="0.35">
      <c r="A420" s="3" t="s">
        <v>458</v>
      </c>
      <c r="B420" s="3" t="s">
        <v>459</v>
      </c>
      <c r="C420" s="3" t="s">
        <v>288</v>
      </c>
      <c r="D420" s="3" t="s">
        <v>259</v>
      </c>
      <c r="E420" s="3" t="s">
        <v>187</v>
      </c>
      <c r="F420" s="3" t="s">
        <v>116</v>
      </c>
      <c r="G420" s="3" t="s">
        <v>260</v>
      </c>
      <c r="H420" s="3" t="s">
        <v>30</v>
      </c>
      <c r="I420" s="3" t="s">
        <v>31</v>
      </c>
      <c r="J420" s="3" t="s">
        <v>32</v>
      </c>
      <c r="K420" s="3" t="s">
        <v>33</v>
      </c>
      <c r="L420" s="3" t="s">
        <v>34</v>
      </c>
      <c r="M420" s="3" t="s">
        <v>286</v>
      </c>
      <c r="N420" s="3" t="s">
        <v>287</v>
      </c>
      <c r="O420" s="3" t="s">
        <v>42</v>
      </c>
      <c r="P420" s="3" t="s">
        <v>43</v>
      </c>
      <c r="Q420" s="3" t="s">
        <v>39</v>
      </c>
      <c r="R420" s="3" t="s">
        <v>40</v>
      </c>
      <c r="S420" s="7">
        <v>67.400000000000006</v>
      </c>
      <c r="T420" s="7">
        <v>0</v>
      </c>
      <c r="U420" s="7">
        <v>0</v>
      </c>
      <c r="V420" s="7">
        <v>67.400000000000006</v>
      </c>
      <c r="W420" s="3">
        <v>0</v>
      </c>
    </row>
    <row r="421" spans="1:23" hidden="1" x14ac:dyDescent="0.35">
      <c r="A421" t="s">
        <v>458</v>
      </c>
      <c r="B421" t="s">
        <v>459</v>
      </c>
      <c r="C421" t="s">
        <v>289</v>
      </c>
      <c r="D421" t="s">
        <v>290</v>
      </c>
      <c r="E421" t="s">
        <v>291</v>
      </c>
      <c r="F421" t="s">
        <v>146</v>
      </c>
      <c r="G421" t="s">
        <v>292</v>
      </c>
      <c r="H421" t="s">
        <v>293</v>
      </c>
      <c r="I421" t="s">
        <v>294</v>
      </c>
      <c r="J421" t="s">
        <v>295</v>
      </c>
      <c r="K421" t="s">
        <v>33</v>
      </c>
      <c r="L421" t="s">
        <v>51</v>
      </c>
      <c r="M421" t="s">
        <v>296</v>
      </c>
      <c r="N421" t="s">
        <v>297</v>
      </c>
      <c r="O421" t="s">
        <v>108</v>
      </c>
      <c r="P421" t="s">
        <v>109</v>
      </c>
      <c r="Q421" t="s">
        <v>39</v>
      </c>
      <c r="R421" t="s">
        <v>40</v>
      </c>
      <c r="S421" s="1">
        <v>263750</v>
      </c>
      <c r="T421" s="1">
        <v>83028.868000000002</v>
      </c>
      <c r="U421" s="1">
        <v>20959.189900000001</v>
      </c>
      <c r="V421" s="1">
        <v>180721.13200000001</v>
      </c>
      <c r="W421">
        <v>31</v>
      </c>
    </row>
    <row r="422" spans="1:23" hidden="1" x14ac:dyDescent="0.35">
      <c r="A422" t="s">
        <v>458</v>
      </c>
      <c r="B422" t="s">
        <v>459</v>
      </c>
      <c r="C422" t="s">
        <v>298</v>
      </c>
      <c r="D422" t="s">
        <v>290</v>
      </c>
      <c r="E422" t="s">
        <v>291</v>
      </c>
      <c r="F422" t="s">
        <v>146</v>
      </c>
      <c r="G422" t="s">
        <v>292</v>
      </c>
      <c r="H422" t="s">
        <v>293</v>
      </c>
      <c r="I422" t="s">
        <v>294</v>
      </c>
      <c r="J422" t="s">
        <v>295</v>
      </c>
      <c r="K422" t="s">
        <v>33</v>
      </c>
      <c r="L422" t="s">
        <v>51</v>
      </c>
      <c r="M422" t="s">
        <v>299</v>
      </c>
      <c r="N422" t="s">
        <v>300</v>
      </c>
      <c r="O422" t="s">
        <v>108</v>
      </c>
      <c r="P422" t="s">
        <v>109</v>
      </c>
      <c r="Q422" t="s">
        <v>39</v>
      </c>
      <c r="R422" t="s">
        <v>40</v>
      </c>
      <c r="S422" s="1">
        <v>93678.1</v>
      </c>
      <c r="T422" s="1">
        <v>28385.323499999999</v>
      </c>
      <c r="U422" s="1">
        <v>6689.4641000000001</v>
      </c>
      <c r="V422" s="1">
        <v>65292.7765</v>
      </c>
      <c r="W422">
        <v>30</v>
      </c>
    </row>
    <row r="423" spans="1:23" hidden="1" x14ac:dyDescent="0.35">
      <c r="A423" t="s">
        <v>458</v>
      </c>
      <c r="B423" t="s">
        <v>459</v>
      </c>
      <c r="C423" t="s">
        <v>301</v>
      </c>
      <c r="D423" t="s">
        <v>290</v>
      </c>
      <c r="E423" t="s">
        <v>291</v>
      </c>
      <c r="F423" t="s">
        <v>146</v>
      </c>
      <c r="G423" t="s">
        <v>292</v>
      </c>
      <c r="H423" t="s">
        <v>293</v>
      </c>
      <c r="I423" t="s">
        <v>294</v>
      </c>
      <c r="J423" t="s">
        <v>295</v>
      </c>
      <c r="K423" t="s">
        <v>33</v>
      </c>
      <c r="L423" t="s">
        <v>51</v>
      </c>
      <c r="M423" t="s">
        <v>302</v>
      </c>
      <c r="N423" t="s">
        <v>303</v>
      </c>
      <c r="O423" t="s">
        <v>108</v>
      </c>
      <c r="P423" t="s">
        <v>109</v>
      </c>
      <c r="Q423" t="s">
        <v>39</v>
      </c>
      <c r="R423" t="s">
        <v>40</v>
      </c>
      <c r="S423" s="1">
        <v>207715.20000000001</v>
      </c>
      <c r="T423" s="1">
        <v>71028.137499999997</v>
      </c>
      <c r="U423" s="1">
        <v>25420.0795</v>
      </c>
      <c r="V423" s="1">
        <v>136687.0625</v>
      </c>
      <c r="W423">
        <v>34</v>
      </c>
    </row>
    <row r="424" spans="1:23" hidden="1" x14ac:dyDescent="0.35">
      <c r="A424" t="s">
        <v>458</v>
      </c>
      <c r="B424" t="s">
        <v>459</v>
      </c>
      <c r="C424" t="s">
        <v>304</v>
      </c>
      <c r="D424" t="s">
        <v>290</v>
      </c>
      <c r="E424" t="s">
        <v>291</v>
      </c>
      <c r="F424" t="s">
        <v>146</v>
      </c>
      <c r="G424" t="s">
        <v>292</v>
      </c>
      <c r="H424" t="s">
        <v>293</v>
      </c>
      <c r="I424" t="s">
        <v>294</v>
      </c>
      <c r="J424" t="s">
        <v>295</v>
      </c>
      <c r="K424" t="s">
        <v>33</v>
      </c>
      <c r="L424" t="s">
        <v>51</v>
      </c>
      <c r="M424" t="s">
        <v>305</v>
      </c>
      <c r="N424" t="s">
        <v>306</v>
      </c>
      <c r="O424" t="s">
        <v>108</v>
      </c>
      <c r="P424" t="s">
        <v>109</v>
      </c>
      <c r="Q424" t="s">
        <v>39</v>
      </c>
      <c r="R424" t="s">
        <v>40</v>
      </c>
      <c r="S424" s="1">
        <v>87050.7</v>
      </c>
      <c r="T424" s="1">
        <v>25934.721099999999</v>
      </c>
      <c r="U424" s="1">
        <v>5288.5595999999996</v>
      </c>
      <c r="V424" s="1">
        <v>61115.978900000002</v>
      </c>
      <c r="W424">
        <v>30</v>
      </c>
    </row>
    <row r="425" spans="1:23" hidden="1" x14ac:dyDescent="0.35">
      <c r="A425" t="s">
        <v>458</v>
      </c>
      <c r="B425" t="s">
        <v>459</v>
      </c>
      <c r="C425" t="s">
        <v>307</v>
      </c>
      <c r="D425" t="s">
        <v>290</v>
      </c>
      <c r="E425" t="s">
        <v>291</v>
      </c>
      <c r="F425" t="s">
        <v>146</v>
      </c>
      <c r="G425" t="s">
        <v>292</v>
      </c>
      <c r="H425" t="s">
        <v>293</v>
      </c>
      <c r="I425" t="s">
        <v>294</v>
      </c>
      <c r="J425" t="s">
        <v>295</v>
      </c>
      <c r="K425" t="s">
        <v>33</v>
      </c>
      <c r="L425" t="s">
        <v>51</v>
      </c>
      <c r="M425" t="s">
        <v>308</v>
      </c>
      <c r="N425" t="s">
        <v>309</v>
      </c>
      <c r="O425" t="s">
        <v>37</v>
      </c>
      <c r="P425" t="s">
        <v>38</v>
      </c>
      <c r="Q425" t="s">
        <v>39</v>
      </c>
      <c r="R425" t="s">
        <v>40</v>
      </c>
      <c r="S425" s="1">
        <v>9529.5</v>
      </c>
      <c r="T425" s="1">
        <v>1619.0733</v>
      </c>
      <c r="U425" s="1">
        <v>0</v>
      </c>
      <c r="V425" s="1">
        <v>7910.4267</v>
      </c>
      <c r="W425">
        <v>17</v>
      </c>
    </row>
    <row r="426" spans="1:23" hidden="1" x14ac:dyDescent="0.35">
      <c r="A426" t="s">
        <v>458</v>
      </c>
      <c r="B426" t="s">
        <v>459</v>
      </c>
      <c r="C426" t="s">
        <v>436</v>
      </c>
      <c r="D426" t="s">
        <v>290</v>
      </c>
      <c r="E426" t="s">
        <v>291</v>
      </c>
      <c r="F426" t="s">
        <v>146</v>
      </c>
      <c r="G426" t="s">
        <v>292</v>
      </c>
      <c r="H426" t="s">
        <v>293</v>
      </c>
      <c r="I426" t="s">
        <v>294</v>
      </c>
      <c r="J426" t="s">
        <v>295</v>
      </c>
      <c r="K426" t="s">
        <v>33</v>
      </c>
      <c r="L426" t="s">
        <v>51</v>
      </c>
      <c r="M426" t="s">
        <v>308</v>
      </c>
      <c r="N426" t="s">
        <v>309</v>
      </c>
      <c r="O426" t="s">
        <v>197</v>
      </c>
      <c r="P426" t="s">
        <v>198</v>
      </c>
      <c r="Q426" t="s">
        <v>39</v>
      </c>
      <c r="R426" t="s">
        <v>40</v>
      </c>
      <c r="S426" s="1">
        <v>2252</v>
      </c>
      <c r="T426" s="1">
        <v>0</v>
      </c>
      <c r="U426" s="1">
        <v>0</v>
      </c>
      <c r="V426" s="1">
        <v>2252</v>
      </c>
      <c r="W426">
        <v>0</v>
      </c>
    </row>
    <row r="427" spans="1:23" hidden="1" x14ac:dyDescent="0.35">
      <c r="A427" t="s">
        <v>458</v>
      </c>
      <c r="B427" t="s">
        <v>459</v>
      </c>
      <c r="C427" t="s">
        <v>310</v>
      </c>
      <c r="D427" t="s">
        <v>290</v>
      </c>
      <c r="E427" t="s">
        <v>291</v>
      </c>
      <c r="F427" t="s">
        <v>146</v>
      </c>
      <c r="G427" t="s">
        <v>292</v>
      </c>
      <c r="H427" t="s">
        <v>293</v>
      </c>
      <c r="I427" t="s">
        <v>294</v>
      </c>
      <c r="J427" t="s">
        <v>295</v>
      </c>
      <c r="K427" t="s">
        <v>33</v>
      </c>
      <c r="L427" t="s">
        <v>51</v>
      </c>
      <c r="M427" t="s">
        <v>311</v>
      </c>
      <c r="N427" t="s">
        <v>312</v>
      </c>
      <c r="O427" t="s">
        <v>197</v>
      </c>
      <c r="P427" t="s">
        <v>198</v>
      </c>
      <c r="Q427" t="s">
        <v>39</v>
      </c>
      <c r="R427" t="s">
        <v>40</v>
      </c>
      <c r="S427" s="1">
        <v>10264.799999999999</v>
      </c>
      <c r="T427" s="1">
        <v>0</v>
      </c>
      <c r="U427" s="1">
        <v>0</v>
      </c>
      <c r="V427" s="1">
        <v>10264.799999999999</v>
      </c>
      <c r="W427">
        <v>0</v>
      </c>
    </row>
    <row r="428" spans="1:23" hidden="1" x14ac:dyDescent="0.35">
      <c r="A428" t="s">
        <v>458</v>
      </c>
      <c r="B428" t="s">
        <v>459</v>
      </c>
      <c r="C428" t="s">
        <v>313</v>
      </c>
      <c r="D428" t="s">
        <v>290</v>
      </c>
      <c r="E428" t="s">
        <v>291</v>
      </c>
      <c r="F428" t="s">
        <v>146</v>
      </c>
      <c r="G428" t="s">
        <v>292</v>
      </c>
      <c r="H428" t="s">
        <v>293</v>
      </c>
      <c r="I428" t="s">
        <v>294</v>
      </c>
      <c r="J428" t="s">
        <v>295</v>
      </c>
      <c r="K428" t="s">
        <v>33</v>
      </c>
      <c r="L428" t="s">
        <v>51</v>
      </c>
      <c r="M428" t="s">
        <v>314</v>
      </c>
      <c r="N428" t="s">
        <v>315</v>
      </c>
      <c r="O428" t="s">
        <v>197</v>
      </c>
      <c r="P428" t="s">
        <v>198</v>
      </c>
      <c r="Q428" t="s">
        <v>39</v>
      </c>
      <c r="R428" t="s">
        <v>40</v>
      </c>
      <c r="S428" s="1">
        <v>128.69999999999999</v>
      </c>
      <c r="T428" s="1">
        <v>0</v>
      </c>
      <c r="U428" s="1">
        <v>0</v>
      </c>
      <c r="V428" s="1">
        <v>128.69999999999999</v>
      </c>
      <c r="W428">
        <v>0</v>
      </c>
    </row>
    <row r="429" spans="1:23" hidden="1" x14ac:dyDescent="0.35">
      <c r="A429" t="s">
        <v>458</v>
      </c>
      <c r="B429" t="s">
        <v>459</v>
      </c>
      <c r="C429" t="s">
        <v>316</v>
      </c>
      <c r="D429" t="s">
        <v>317</v>
      </c>
      <c r="E429" t="s">
        <v>291</v>
      </c>
      <c r="F429" t="s">
        <v>318</v>
      </c>
      <c r="G429" t="s">
        <v>319</v>
      </c>
      <c r="H429" t="s">
        <v>293</v>
      </c>
      <c r="I429" t="s">
        <v>294</v>
      </c>
      <c r="J429" t="s">
        <v>295</v>
      </c>
      <c r="K429" t="s">
        <v>33</v>
      </c>
      <c r="L429" t="s">
        <v>51</v>
      </c>
      <c r="M429" t="s">
        <v>320</v>
      </c>
      <c r="N429" t="s">
        <v>321</v>
      </c>
      <c r="O429" t="s">
        <v>37</v>
      </c>
      <c r="P429" t="s">
        <v>38</v>
      </c>
      <c r="Q429" t="s">
        <v>39</v>
      </c>
      <c r="R429" t="s">
        <v>40</v>
      </c>
      <c r="S429" s="1">
        <v>16495.3</v>
      </c>
      <c r="T429" s="1">
        <v>0</v>
      </c>
      <c r="U429" s="1">
        <v>0</v>
      </c>
      <c r="V429" s="1">
        <v>16495.3</v>
      </c>
      <c r="W429">
        <v>0</v>
      </c>
    </row>
    <row r="430" spans="1:23" hidden="1" x14ac:dyDescent="0.35">
      <c r="A430" t="s">
        <v>458</v>
      </c>
      <c r="B430" t="s">
        <v>459</v>
      </c>
      <c r="C430" t="s">
        <v>322</v>
      </c>
      <c r="D430" t="s">
        <v>317</v>
      </c>
      <c r="E430" t="s">
        <v>291</v>
      </c>
      <c r="F430" t="s">
        <v>318</v>
      </c>
      <c r="G430" t="s">
        <v>319</v>
      </c>
      <c r="H430" t="s">
        <v>293</v>
      </c>
      <c r="I430" t="s">
        <v>294</v>
      </c>
      <c r="J430" t="s">
        <v>295</v>
      </c>
      <c r="K430" t="s">
        <v>33</v>
      </c>
      <c r="L430" t="s">
        <v>51</v>
      </c>
      <c r="M430" t="s">
        <v>323</v>
      </c>
      <c r="N430" t="s">
        <v>324</v>
      </c>
      <c r="O430" t="s">
        <v>197</v>
      </c>
      <c r="P430" t="s">
        <v>198</v>
      </c>
      <c r="Q430" t="s">
        <v>39</v>
      </c>
      <c r="R430" t="s">
        <v>40</v>
      </c>
      <c r="S430" s="1">
        <v>8766.7000000000007</v>
      </c>
      <c r="T430" s="1">
        <v>0</v>
      </c>
      <c r="U430" s="1">
        <v>0</v>
      </c>
      <c r="V430" s="1">
        <v>8766.7000000000007</v>
      </c>
      <c r="W430">
        <v>0</v>
      </c>
    </row>
    <row r="431" spans="1:23" hidden="1" x14ac:dyDescent="0.35">
      <c r="A431" t="s">
        <v>458</v>
      </c>
      <c r="B431" t="s">
        <v>459</v>
      </c>
      <c r="C431" t="s">
        <v>325</v>
      </c>
      <c r="D431" t="s">
        <v>326</v>
      </c>
      <c r="E431" t="s">
        <v>327</v>
      </c>
      <c r="F431" t="s">
        <v>189</v>
      </c>
      <c r="G431" t="s">
        <v>328</v>
      </c>
      <c r="H431" t="s">
        <v>146</v>
      </c>
      <c r="I431" t="s">
        <v>329</v>
      </c>
      <c r="J431" t="s">
        <v>330</v>
      </c>
      <c r="K431" t="s">
        <v>33</v>
      </c>
      <c r="L431" t="s">
        <v>34</v>
      </c>
      <c r="M431" t="s">
        <v>331</v>
      </c>
      <c r="N431" t="s">
        <v>332</v>
      </c>
      <c r="O431" t="s">
        <v>108</v>
      </c>
      <c r="P431" t="s">
        <v>109</v>
      </c>
      <c r="Q431" t="s">
        <v>39</v>
      </c>
      <c r="R431" t="s">
        <v>40</v>
      </c>
      <c r="S431" s="1">
        <v>662520.5</v>
      </c>
      <c r="T431" s="1">
        <v>198592.7378</v>
      </c>
      <c r="U431" s="1">
        <v>56260.056900000003</v>
      </c>
      <c r="V431" s="1">
        <v>463927.7622</v>
      </c>
      <c r="W431">
        <v>30</v>
      </c>
    </row>
    <row r="432" spans="1:23" hidden="1" x14ac:dyDescent="0.35">
      <c r="A432" t="s">
        <v>458</v>
      </c>
      <c r="B432" t="s">
        <v>459</v>
      </c>
      <c r="C432" t="s">
        <v>333</v>
      </c>
      <c r="D432" t="s">
        <v>326</v>
      </c>
      <c r="E432" t="s">
        <v>327</v>
      </c>
      <c r="F432" t="s">
        <v>189</v>
      </c>
      <c r="G432" t="s">
        <v>328</v>
      </c>
      <c r="H432" t="s">
        <v>146</v>
      </c>
      <c r="I432" t="s">
        <v>329</v>
      </c>
      <c r="J432" t="s">
        <v>330</v>
      </c>
      <c r="K432" t="s">
        <v>33</v>
      </c>
      <c r="L432" t="s">
        <v>34</v>
      </c>
      <c r="M432" t="s">
        <v>331</v>
      </c>
      <c r="N432" t="s">
        <v>332</v>
      </c>
      <c r="O432" t="s">
        <v>334</v>
      </c>
      <c r="P432" t="s">
        <v>335</v>
      </c>
      <c r="Q432" t="s">
        <v>39</v>
      </c>
      <c r="R432" t="s">
        <v>40</v>
      </c>
      <c r="S432" s="1">
        <v>5379.7</v>
      </c>
      <c r="T432" s="1">
        <v>866.95519999999999</v>
      </c>
      <c r="U432" s="1">
        <v>297.57220000000001</v>
      </c>
      <c r="V432" s="1">
        <v>4512.7448000000004</v>
      </c>
      <c r="W432">
        <v>16</v>
      </c>
    </row>
    <row r="433" spans="1:23" hidden="1" x14ac:dyDescent="0.35">
      <c r="A433" t="s">
        <v>458</v>
      </c>
      <c r="B433" t="s">
        <v>459</v>
      </c>
      <c r="C433" t="s">
        <v>336</v>
      </c>
      <c r="D433" t="s">
        <v>337</v>
      </c>
      <c r="E433" t="s">
        <v>327</v>
      </c>
      <c r="F433" t="s">
        <v>116</v>
      </c>
      <c r="G433" t="s">
        <v>338</v>
      </c>
      <c r="H433" t="s">
        <v>146</v>
      </c>
      <c r="I433" t="s">
        <v>329</v>
      </c>
      <c r="J433" t="s">
        <v>339</v>
      </c>
      <c r="K433" t="s">
        <v>23</v>
      </c>
      <c r="L433" t="s">
        <v>203</v>
      </c>
      <c r="M433" t="s">
        <v>340</v>
      </c>
      <c r="N433" t="s">
        <v>341</v>
      </c>
      <c r="O433" t="s">
        <v>197</v>
      </c>
      <c r="P433" t="s">
        <v>198</v>
      </c>
      <c r="Q433" t="s">
        <v>39</v>
      </c>
      <c r="R433" t="s">
        <v>40</v>
      </c>
      <c r="S433" s="1">
        <v>104471.3</v>
      </c>
      <c r="T433" s="1">
        <v>78028.679900000003</v>
      </c>
      <c r="U433" s="1">
        <v>2233.3332999999998</v>
      </c>
      <c r="V433" s="1">
        <v>26442.6201</v>
      </c>
      <c r="W433">
        <v>75</v>
      </c>
    </row>
    <row r="434" spans="1:23" hidden="1" x14ac:dyDescent="0.35">
      <c r="A434" t="s">
        <v>458</v>
      </c>
      <c r="B434" t="s">
        <v>459</v>
      </c>
      <c r="C434" t="s">
        <v>452</v>
      </c>
      <c r="D434" t="s">
        <v>337</v>
      </c>
      <c r="E434" t="s">
        <v>327</v>
      </c>
      <c r="F434" t="s">
        <v>116</v>
      </c>
      <c r="G434" t="s">
        <v>338</v>
      </c>
      <c r="H434" t="s">
        <v>146</v>
      </c>
      <c r="I434" t="s">
        <v>329</v>
      </c>
      <c r="J434" t="s">
        <v>339</v>
      </c>
      <c r="K434" t="s">
        <v>23</v>
      </c>
      <c r="L434" t="s">
        <v>203</v>
      </c>
      <c r="M434" t="s">
        <v>453</v>
      </c>
      <c r="N434" t="s">
        <v>454</v>
      </c>
      <c r="O434" t="s">
        <v>197</v>
      </c>
      <c r="P434" t="s">
        <v>198</v>
      </c>
      <c r="Q434" t="s">
        <v>39</v>
      </c>
      <c r="R434" t="s">
        <v>40</v>
      </c>
      <c r="S434" s="1">
        <v>12819.6</v>
      </c>
      <c r="T434" s="1">
        <v>0</v>
      </c>
      <c r="U434" s="1">
        <v>0</v>
      </c>
      <c r="V434" s="1">
        <v>12819.6</v>
      </c>
      <c r="W434">
        <v>0</v>
      </c>
    </row>
    <row r="435" spans="1:23" hidden="1" x14ac:dyDescent="0.35">
      <c r="A435" t="s">
        <v>458</v>
      </c>
      <c r="B435" t="s">
        <v>459</v>
      </c>
      <c r="C435" t="s">
        <v>437</v>
      </c>
      <c r="D435" t="s">
        <v>337</v>
      </c>
      <c r="E435" t="s">
        <v>327</v>
      </c>
      <c r="F435" t="s">
        <v>116</v>
      </c>
      <c r="G435" t="s">
        <v>338</v>
      </c>
      <c r="H435" t="s">
        <v>146</v>
      </c>
      <c r="I435" t="s">
        <v>329</v>
      </c>
      <c r="J435" t="s">
        <v>330</v>
      </c>
      <c r="K435" t="s">
        <v>33</v>
      </c>
      <c r="L435" t="s">
        <v>34</v>
      </c>
      <c r="M435" t="s">
        <v>438</v>
      </c>
      <c r="N435" t="s">
        <v>439</v>
      </c>
      <c r="O435" t="s">
        <v>197</v>
      </c>
      <c r="P435" t="s">
        <v>198</v>
      </c>
      <c r="Q435" t="s">
        <v>39</v>
      </c>
      <c r="R435" t="s">
        <v>40</v>
      </c>
      <c r="S435" s="1">
        <v>34518.6</v>
      </c>
      <c r="T435" s="1">
        <v>4704.7129000000004</v>
      </c>
      <c r="U435" s="1">
        <v>4704.7129000000004</v>
      </c>
      <c r="V435" s="1">
        <v>29813.8871</v>
      </c>
      <c r="W435">
        <v>14</v>
      </c>
    </row>
    <row r="436" spans="1:23" hidden="1" x14ac:dyDescent="0.35">
      <c r="A436" t="s">
        <v>458</v>
      </c>
      <c r="B436" t="s">
        <v>459</v>
      </c>
      <c r="C436" t="s">
        <v>342</v>
      </c>
      <c r="D436" t="s">
        <v>337</v>
      </c>
      <c r="E436" t="s">
        <v>327</v>
      </c>
      <c r="F436" t="s">
        <v>116</v>
      </c>
      <c r="G436" t="s">
        <v>338</v>
      </c>
      <c r="H436" t="s">
        <v>146</v>
      </c>
      <c r="I436" t="s">
        <v>329</v>
      </c>
      <c r="J436" t="s">
        <v>330</v>
      </c>
      <c r="K436" t="s">
        <v>33</v>
      </c>
      <c r="L436" t="s">
        <v>34</v>
      </c>
      <c r="M436" t="s">
        <v>343</v>
      </c>
      <c r="N436" t="s">
        <v>344</v>
      </c>
      <c r="O436" t="s">
        <v>37</v>
      </c>
      <c r="P436" t="s">
        <v>38</v>
      </c>
      <c r="Q436" t="s">
        <v>39</v>
      </c>
      <c r="R436" t="s">
        <v>40</v>
      </c>
      <c r="S436" s="1">
        <v>48.2</v>
      </c>
      <c r="T436" s="1">
        <v>0</v>
      </c>
      <c r="U436" s="1">
        <v>0</v>
      </c>
      <c r="V436" s="1">
        <v>48.2</v>
      </c>
      <c r="W436">
        <v>0</v>
      </c>
    </row>
    <row r="437" spans="1:23" hidden="1" x14ac:dyDescent="0.35">
      <c r="A437" t="s">
        <v>458</v>
      </c>
      <c r="B437" t="s">
        <v>459</v>
      </c>
      <c r="C437" t="s">
        <v>345</v>
      </c>
      <c r="D437" t="s">
        <v>337</v>
      </c>
      <c r="E437" t="s">
        <v>327</v>
      </c>
      <c r="F437" t="s">
        <v>116</v>
      </c>
      <c r="G437" t="s">
        <v>338</v>
      </c>
      <c r="H437" t="s">
        <v>146</v>
      </c>
      <c r="I437" t="s">
        <v>329</v>
      </c>
      <c r="J437" t="s">
        <v>330</v>
      </c>
      <c r="K437" t="s">
        <v>33</v>
      </c>
      <c r="L437" t="s">
        <v>34</v>
      </c>
      <c r="M437" t="s">
        <v>346</v>
      </c>
      <c r="N437" t="s">
        <v>347</v>
      </c>
      <c r="O437" t="s">
        <v>197</v>
      </c>
      <c r="P437" t="s">
        <v>198</v>
      </c>
      <c r="Q437" t="s">
        <v>39</v>
      </c>
      <c r="R437" t="s">
        <v>40</v>
      </c>
      <c r="S437" s="1">
        <v>223871.4</v>
      </c>
      <c r="T437" s="1">
        <v>20522.109100000001</v>
      </c>
      <c r="U437" s="1">
        <v>9748.4570000000003</v>
      </c>
      <c r="V437" s="1">
        <v>203349.29089999999</v>
      </c>
      <c r="W437">
        <v>9</v>
      </c>
    </row>
    <row r="438" spans="1:23" hidden="1" x14ac:dyDescent="0.35">
      <c r="A438" t="s">
        <v>458</v>
      </c>
      <c r="B438" t="s">
        <v>459</v>
      </c>
      <c r="C438" t="s">
        <v>348</v>
      </c>
      <c r="D438" t="s">
        <v>337</v>
      </c>
      <c r="E438" t="s">
        <v>327</v>
      </c>
      <c r="F438" t="s">
        <v>116</v>
      </c>
      <c r="G438" t="s">
        <v>338</v>
      </c>
      <c r="H438" t="s">
        <v>146</v>
      </c>
      <c r="I438" t="s">
        <v>329</v>
      </c>
      <c r="J438" t="s">
        <v>330</v>
      </c>
      <c r="K438" t="s">
        <v>33</v>
      </c>
      <c r="L438" t="s">
        <v>34</v>
      </c>
      <c r="M438" t="s">
        <v>349</v>
      </c>
      <c r="N438" t="s">
        <v>350</v>
      </c>
      <c r="O438" t="s">
        <v>197</v>
      </c>
      <c r="P438" t="s">
        <v>198</v>
      </c>
      <c r="Q438" t="s">
        <v>39</v>
      </c>
      <c r="R438" t="s">
        <v>40</v>
      </c>
      <c r="S438" s="1">
        <v>29779.9</v>
      </c>
      <c r="T438" s="1">
        <v>0</v>
      </c>
      <c r="U438" s="1">
        <v>0</v>
      </c>
      <c r="V438" s="1">
        <v>29779.9</v>
      </c>
      <c r="W438">
        <v>0</v>
      </c>
    </row>
    <row r="439" spans="1:23" hidden="1" x14ac:dyDescent="0.35">
      <c r="A439" t="s">
        <v>458</v>
      </c>
      <c r="B439" t="s">
        <v>459</v>
      </c>
      <c r="C439" t="s">
        <v>351</v>
      </c>
      <c r="D439" t="s">
        <v>337</v>
      </c>
      <c r="E439" t="s">
        <v>327</v>
      </c>
      <c r="F439" t="s">
        <v>116</v>
      </c>
      <c r="G439" t="s">
        <v>338</v>
      </c>
      <c r="H439" t="s">
        <v>146</v>
      </c>
      <c r="I439" t="s">
        <v>329</v>
      </c>
      <c r="J439" t="s">
        <v>330</v>
      </c>
      <c r="K439" t="s">
        <v>33</v>
      </c>
      <c r="L439" t="s">
        <v>34</v>
      </c>
      <c r="M439" t="s">
        <v>352</v>
      </c>
      <c r="N439" t="s">
        <v>353</v>
      </c>
      <c r="O439" t="s">
        <v>197</v>
      </c>
      <c r="P439" t="s">
        <v>198</v>
      </c>
      <c r="Q439" t="s">
        <v>39</v>
      </c>
      <c r="R439" t="s">
        <v>40</v>
      </c>
      <c r="S439" s="1">
        <v>7460.5</v>
      </c>
      <c r="T439" s="1">
        <v>0</v>
      </c>
      <c r="U439" s="1">
        <v>0</v>
      </c>
      <c r="V439" s="1">
        <v>7460.5</v>
      </c>
      <c r="W439">
        <v>0</v>
      </c>
    </row>
    <row r="440" spans="1:23" hidden="1" x14ac:dyDescent="0.35">
      <c r="A440" t="s">
        <v>458</v>
      </c>
      <c r="B440" t="s">
        <v>459</v>
      </c>
      <c r="C440" t="s">
        <v>455</v>
      </c>
      <c r="D440" t="s">
        <v>337</v>
      </c>
      <c r="E440" t="s">
        <v>327</v>
      </c>
      <c r="F440" t="s">
        <v>116</v>
      </c>
      <c r="G440" t="s">
        <v>338</v>
      </c>
      <c r="H440" t="s">
        <v>146</v>
      </c>
      <c r="I440" t="s">
        <v>329</v>
      </c>
      <c r="J440" t="s">
        <v>330</v>
      </c>
      <c r="K440" t="s">
        <v>33</v>
      </c>
      <c r="L440" t="s">
        <v>34</v>
      </c>
      <c r="M440" t="s">
        <v>456</v>
      </c>
      <c r="N440" t="s">
        <v>457</v>
      </c>
      <c r="O440" t="s">
        <v>197</v>
      </c>
      <c r="P440" t="s">
        <v>198</v>
      </c>
      <c r="Q440" t="s">
        <v>39</v>
      </c>
      <c r="R440" t="s">
        <v>40</v>
      </c>
      <c r="S440" s="1">
        <v>1889.2</v>
      </c>
      <c r="T440" s="1">
        <v>0</v>
      </c>
      <c r="U440" s="1">
        <v>0</v>
      </c>
      <c r="V440" s="1">
        <v>1889.2</v>
      </c>
      <c r="W440">
        <v>0</v>
      </c>
    </row>
    <row r="441" spans="1:23" hidden="1" x14ac:dyDescent="0.35">
      <c r="A441" t="s">
        <v>458</v>
      </c>
      <c r="B441" t="s">
        <v>459</v>
      </c>
      <c r="C441" t="s">
        <v>354</v>
      </c>
      <c r="D441" t="s">
        <v>337</v>
      </c>
      <c r="E441" t="s">
        <v>327</v>
      </c>
      <c r="F441" t="s">
        <v>116</v>
      </c>
      <c r="G441" t="s">
        <v>338</v>
      </c>
      <c r="H441" t="s">
        <v>146</v>
      </c>
      <c r="I441" t="s">
        <v>329</v>
      </c>
      <c r="J441" t="s">
        <v>330</v>
      </c>
      <c r="K441" t="s">
        <v>33</v>
      </c>
      <c r="L441" t="s">
        <v>34</v>
      </c>
      <c r="M441" t="s">
        <v>355</v>
      </c>
      <c r="N441" t="s">
        <v>356</v>
      </c>
      <c r="O441" t="s">
        <v>197</v>
      </c>
      <c r="P441" t="s">
        <v>198</v>
      </c>
      <c r="Q441" t="s">
        <v>39</v>
      </c>
      <c r="R441" t="s">
        <v>40</v>
      </c>
      <c r="S441" s="1">
        <v>45132.3</v>
      </c>
      <c r="T441" s="1">
        <v>8650.9076999999997</v>
      </c>
      <c r="U441" s="1">
        <v>2874.7260999999999</v>
      </c>
      <c r="V441" s="1">
        <v>36481.3923</v>
      </c>
      <c r="W441">
        <v>19</v>
      </c>
    </row>
    <row r="442" spans="1:23" hidden="1" x14ac:dyDescent="0.35">
      <c r="A442" t="s">
        <v>458</v>
      </c>
      <c r="B442" t="s">
        <v>459</v>
      </c>
      <c r="C442" t="s">
        <v>463</v>
      </c>
      <c r="D442" t="s">
        <v>337</v>
      </c>
      <c r="E442" t="s">
        <v>327</v>
      </c>
      <c r="F442" t="s">
        <v>116</v>
      </c>
      <c r="G442" t="s">
        <v>338</v>
      </c>
      <c r="H442" t="s">
        <v>146</v>
      </c>
      <c r="I442" t="s">
        <v>329</v>
      </c>
      <c r="J442" t="s">
        <v>330</v>
      </c>
      <c r="K442" t="s">
        <v>33</v>
      </c>
      <c r="L442" t="s">
        <v>34</v>
      </c>
      <c r="M442" t="s">
        <v>464</v>
      </c>
      <c r="N442" t="s">
        <v>465</v>
      </c>
      <c r="O442" t="s">
        <v>197</v>
      </c>
      <c r="P442" t="s">
        <v>198</v>
      </c>
      <c r="Q442" t="s">
        <v>39</v>
      </c>
      <c r="R442" t="s">
        <v>40</v>
      </c>
      <c r="S442" s="1">
        <v>5997.5</v>
      </c>
      <c r="T442" s="1">
        <v>0</v>
      </c>
      <c r="U442" s="1">
        <v>0</v>
      </c>
      <c r="V442" s="1">
        <v>5997.5</v>
      </c>
      <c r="W442">
        <v>0</v>
      </c>
    </row>
    <row r="443" spans="1:23" hidden="1" x14ac:dyDescent="0.35">
      <c r="A443" t="s">
        <v>458</v>
      </c>
      <c r="B443" t="s">
        <v>459</v>
      </c>
      <c r="C443" t="s">
        <v>357</v>
      </c>
      <c r="D443" t="s">
        <v>337</v>
      </c>
      <c r="E443" t="s">
        <v>327</v>
      </c>
      <c r="F443" t="s">
        <v>116</v>
      </c>
      <c r="G443" t="s">
        <v>338</v>
      </c>
      <c r="H443" t="s">
        <v>146</v>
      </c>
      <c r="I443" t="s">
        <v>329</v>
      </c>
      <c r="J443" t="s">
        <v>330</v>
      </c>
      <c r="K443" t="s">
        <v>33</v>
      </c>
      <c r="L443" t="s">
        <v>34</v>
      </c>
      <c r="M443" t="s">
        <v>358</v>
      </c>
      <c r="N443" t="s">
        <v>359</v>
      </c>
      <c r="O443" t="s">
        <v>197</v>
      </c>
      <c r="P443" t="s">
        <v>198</v>
      </c>
      <c r="Q443" t="s">
        <v>39</v>
      </c>
      <c r="R443" t="s">
        <v>40</v>
      </c>
      <c r="S443" s="1">
        <v>113.2</v>
      </c>
      <c r="T443" s="1">
        <v>100.11799999999999</v>
      </c>
      <c r="U443" s="1">
        <v>100.11799999999999</v>
      </c>
      <c r="V443" s="1">
        <v>13.082000000000001</v>
      </c>
      <c r="W443">
        <v>88</v>
      </c>
    </row>
    <row r="444" spans="1:23" hidden="1" x14ac:dyDescent="0.35">
      <c r="A444" t="s">
        <v>458</v>
      </c>
      <c r="B444" t="s">
        <v>459</v>
      </c>
      <c r="C444" t="s">
        <v>360</v>
      </c>
      <c r="D444" t="s">
        <v>337</v>
      </c>
      <c r="E444" t="s">
        <v>327</v>
      </c>
      <c r="F444" t="s">
        <v>116</v>
      </c>
      <c r="G444" t="s">
        <v>338</v>
      </c>
      <c r="H444" t="s">
        <v>48</v>
      </c>
      <c r="I444" t="s">
        <v>49</v>
      </c>
      <c r="J444" t="s">
        <v>50</v>
      </c>
      <c r="K444" t="s">
        <v>33</v>
      </c>
      <c r="L444" t="s">
        <v>51</v>
      </c>
      <c r="M444" t="s">
        <v>361</v>
      </c>
      <c r="N444" t="s">
        <v>362</v>
      </c>
      <c r="O444" t="s">
        <v>197</v>
      </c>
      <c r="P444" t="s">
        <v>198</v>
      </c>
      <c r="Q444" t="s">
        <v>39</v>
      </c>
      <c r="R444" t="s">
        <v>40</v>
      </c>
      <c r="S444" s="1">
        <v>3155.1</v>
      </c>
      <c r="T444" s="1">
        <v>0</v>
      </c>
      <c r="U444" s="1">
        <v>0</v>
      </c>
      <c r="V444" s="1">
        <v>3155.1</v>
      </c>
      <c r="W444">
        <v>0</v>
      </c>
    </row>
    <row r="445" spans="1:23" hidden="1" x14ac:dyDescent="0.35">
      <c r="A445" t="s">
        <v>458</v>
      </c>
      <c r="B445" t="s">
        <v>459</v>
      </c>
      <c r="C445" t="s">
        <v>363</v>
      </c>
      <c r="D445" t="s">
        <v>364</v>
      </c>
      <c r="E445" t="s">
        <v>365</v>
      </c>
      <c r="F445" t="s">
        <v>189</v>
      </c>
      <c r="G445" t="s">
        <v>366</v>
      </c>
      <c r="H445" t="s">
        <v>28</v>
      </c>
      <c r="I445" t="s">
        <v>231</v>
      </c>
      <c r="J445" t="s">
        <v>232</v>
      </c>
      <c r="K445" t="s">
        <v>33</v>
      </c>
      <c r="L445" t="s">
        <v>51</v>
      </c>
      <c r="M445" t="s">
        <v>367</v>
      </c>
      <c r="N445" t="s">
        <v>368</v>
      </c>
      <c r="O445" t="s">
        <v>108</v>
      </c>
      <c r="P445" t="s">
        <v>109</v>
      </c>
      <c r="Q445" t="s">
        <v>39</v>
      </c>
      <c r="R445" t="s">
        <v>40</v>
      </c>
      <c r="S445" s="1">
        <v>211289.8</v>
      </c>
      <c r="T445" s="1">
        <v>67060.674899999998</v>
      </c>
      <c r="U445" s="1">
        <v>17965.993600000002</v>
      </c>
      <c r="V445" s="1">
        <v>144229.1251</v>
      </c>
      <c r="W445">
        <v>32</v>
      </c>
    </row>
    <row r="446" spans="1:23" hidden="1" x14ac:dyDescent="0.35">
      <c r="A446" t="s">
        <v>458</v>
      </c>
      <c r="B446" t="s">
        <v>459</v>
      </c>
      <c r="C446" t="s">
        <v>369</v>
      </c>
      <c r="D446" t="s">
        <v>364</v>
      </c>
      <c r="E446" t="s">
        <v>365</v>
      </c>
      <c r="F446" t="s">
        <v>189</v>
      </c>
      <c r="G446" t="s">
        <v>366</v>
      </c>
      <c r="H446" t="s">
        <v>28</v>
      </c>
      <c r="I446" t="s">
        <v>231</v>
      </c>
      <c r="J446" t="s">
        <v>232</v>
      </c>
      <c r="K446" t="s">
        <v>33</v>
      </c>
      <c r="L446" t="s">
        <v>51</v>
      </c>
      <c r="M446" t="s">
        <v>367</v>
      </c>
      <c r="N446" t="s">
        <v>368</v>
      </c>
      <c r="O446" t="s">
        <v>334</v>
      </c>
      <c r="P446" t="s">
        <v>335</v>
      </c>
      <c r="Q446" t="s">
        <v>39</v>
      </c>
      <c r="R446" t="s">
        <v>40</v>
      </c>
      <c r="S446" s="1">
        <v>21225</v>
      </c>
      <c r="T446" s="1">
        <v>4744.3553000000002</v>
      </c>
      <c r="U446" s="1">
        <v>1391.9063000000001</v>
      </c>
      <c r="V446" s="1">
        <v>16480.644700000001</v>
      </c>
      <c r="W446">
        <v>22</v>
      </c>
    </row>
    <row r="447" spans="1:23" hidden="1" x14ac:dyDescent="0.35">
      <c r="A447" t="s">
        <v>458</v>
      </c>
      <c r="B447" t="s">
        <v>459</v>
      </c>
      <c r="C447" t="s">
        <v>370</v>
      </c>
      <c r="D447" t="s">
        <v>364</v>
      </c>
      <c r="E447" t="s">
        <v>365</v>
      </c>
      <c r="F447" t="s">
        <v>189</v>
      </c>
      <c r="G447" t="s">
        <v>366</v>
      </c>
      <c r="H447" t="s">
        <v>28</v>
      </c>
      <c r="I447" t="s">
        <v>231</v>
      </c>
      <c r="J447" t="s">
        <v>232</v>
      </c>
      <c r="K447" t="s">
        <v>33</v>
      </c>
      <c r="L447" t="s">
        <v>51</v>
      </c>
      <c r="M447" t="s">
        <v>371</v>
      </c>
      <c r="N447" t="s">
        <v>372</v>
      </c>
      <c r="O447" t="s">
        <v>108</v>
      </c>
      <c r="P447" t="s">
        <v>109</v>
      </c>
      <c r="Q447" t="s">
        <v>39</v>
      </c>
      <c r="R447" t="s">
        <v>40</v>
      </c>
      <c r="S447" s="1">
        <v>3994.2</v>
      </c>
      <c r="T447" s="1">
        <v>1306.3361</v>
      </c>
      <c r="U447" s="1">
        <v>364.4393</v>
      </c>
      <c r="V447" s="1">
        <v>2687.8638999999998</v>
      </c>
      <c r="W447">
        <v>33</v>
      </c>
    </row>
    <row r="448" spans="1:23" hidden="1" x14ac:dyDescent="0.35">
      <c r="A448" t="s">
        <v>458</v>
      </c>
      <c r="B448" t="s">
        <v>459</v>
      </c>
      <c r="C448" t="s">
        <v>373</v>
      </c>
      <c r="D448" t="s">
        <v>364</v>
      </c>
      <c r="E448" t="s">
        <v>365</v>
      </c>
      <c r="F448" t="s">
        <v>189</v>
      </c>
      <c r="G448" t="s">
        <v>366</v>
      </c>
      <c r="H448" t="s">
        <v>28</v>
      </c>
      <c r="I448" t="s">
        <v>231</v>
      </c>
      <c r="J448" t="s">
        <v>232</v>
      </c>
      <c r="K448" t="s">
        <v>33</v>
      </c>
      <c r="L448" t="s">
        <v>51</v>
      </c>
      <c r="M448" t="s">
        <v>371</v>
      </c>
      <c r="N448" t="s">
        <v>372</v>
      </c>
      <c r="O448" t="s">
        <v>334</v>
      </c>
      <c r="P448" t="s">
        <v>335</v>
      </c>
      <c r="Q448" t="s">
        <v>39</v>
      </c>
      <c r="R448" t="s">
        <v>40</v>
      </c>
      <c r="S448" s="1">
        <v>128356.9</v>
      </c>
      <c r="T448" s="1">
        <v>43829.428800000002</v>
      </c>
      <c r="U448" s="1">
        <v>12137.999100000001</v>
      </c>
      <c r="V448" s="1">
        <v>84527.4712</v>
      </c>
      <c r="W448">
        <v>34</v>
      </c>
    </row>
    <row r="449" spans="1:23" hidden="1" x14ac:dyDescent="0.35">
      <c r="A449" t="s">
        <v>458</v>
      </c>
      <c r="B449" t="s">
        <v>459</v>
      </c>
      <c r="C449" t="s">
        <v>374</v>
      </c>
      <c r="D449" t="s">
        <v>364</v>
      </c>
      <c r="E449" t="s">
        <v>365</v>
      </c>
      <c r="F449" t="s">
        <v>189</v>
      </c>
      <c r="G449" t="s">
        <v>366</v>
      </c>
      <c r="H449" t="s">
        <v>28</v>
      </c>
      <c r="I449" t="s">
        <v>231</v>
      </c>
      <c r="J449" t="s">
        <v>232</v>
      </c>
      <c r="K449" t="s">
        <v>33</v>
      </c>
      <c r="L449" t="s">
        <v>51</v>
      </c>
      <c r="M449" t="s">
        <v>375</v>
      </c>
      <c r="N449" t="s">
        <v>376</v>
      </c>
      <c r="O449" t="s">
        <v>197</v>
      </c>
      <c r="P449" t="s">
        <v>198</v>
      </c>
      <c r="Q449" t="s">
        <v>39</v>
      </c>
      <c r="R449" t="s">
        <v>40</v>
      </c>
      <c r="S449" s="1">
        <v>21376.1</v>
      </c>
      <c r="T449" s="1">
        <v>0</v>
      </c>
      <c r="U449" s="1">
        <v>0</v>
      </c>
      <c r="V449" s="1">
        <v>21376.1</v>
      </c>
      <c r="W449">
        <v>0</v>
      </c>
    </row>
    <row r="450" spans="1:23" hidden="1" x14ac:dyDescent="0.35">
      <c r="A450" t="s">
        <v>458</v>
      </c>
      <c r="B450" t="s">
        <v>459</v>
      </c>
      <c r="C450" t="s">
        <v>377</v>
      </c>
      <c r="D450" t="s">
        <v>364</v>
      </c>
      <c r="E450" t="s">
        <v>365</v>
      </c>
      <c r="F450" t="s">
        <v>189</v>
      </c>
      <c r="G450" t="s">
        <v>366</v>
      </c>
      <c r="H450" t="s">
        <v>28</v>
      </c>
      <c r="I450" t="s">
        <v>231</v>
      </c>
      <c r="J450" t="s">
        <v>232</v>
      </c>
      <c r="K450" t="s">
        <v>33</v>
      </c>
      <c r="L450" t="s">
        <v>51</v>
      </c>
      <c r="M450" t="s">
        <v>378</v>
      </c>
      <c r="N450" t="s">
        <v>379</v>
      </c>
      <c r="O450" t="s">
        <v>108</v>
      </c>
      <c r="P450" t="s">
        <v>109</v>
      </c>
      <c r="Q450" t="s">
        <v>39</v>
      </c>
      <c r="R450" t="s">
        <v>40</v>
      </c>
      <c r="S450" s="1">
        <v>10959</v>
      </c>
      <c r="T450" s="1">
        <v>2051.9474</v>
      </c>
      <c r="U450" s="1">
        <v>443.23320000000001</v>
      </c>
      <c r="V450" s="1">
        <v>8907.0526000000009</v>
      </c>
      <c r="W450">
        <v>19</v>
      </c>
    </row>
    <row r="451" spans="1:23" hidden="1" x14ac:dyDescent="0.35">
      <c r="A451" t="s">
        <v>458</v>
      </c>
      <c r="B451" t="s">
        <v>459</v>
      </c>
      <c r="C451" t="s">
        <v>380</v>
      </c>
      <c r="D451" t="s">
        <v>364</v>
      </c>
      <c r="E451" t="s">
        <v>365</v>
      </c>
      <c r="F451" t="s">
        <v>189</v>
      </c>
      <c r="G451" t="s">
        <v>366</v>
      </c>
      <c r="H451" t="s">
        <v>28</v>
      </c>
      <c r="I451" t="s">
        <v>231</v>
      </c>
      <c r="J451" t="s">
        <v>232</v>
      </c>
      <c r="K451" t="s">
        <v>33</v>
      </c>
      <c r="L451" t="s">
        <v>51</v>
      </c>
      <c r="M451" t="s">
        <v>378</v>
      </c>
      <c r="N451" t="s">
        <v>379</v>
      </c>
      <c r="O451" t="s">
        <v>334</v>
      </c>
      <c r="P451" t="s">
        <v>335</v>
      </c>
      <c r="Q451" t="s">
        <v>39</v>
      </c>
      <c r="R451" t="s">
        <v>40</v>
      </c>
      <c r="S451" s="1">
        <v>513202</v>
      </c>
      <c r="T451" s="1">
        <v>170230.3425</v>
      </c>
      <c r="U451" s="1">
        <v>40798.584799999997</v>
      </c>
      <c r="V451" s="1">
        <v>342971.65749999997</v>
      </c>
      <c r="W451">
        <v>33</v>
      </c>
    </row>
    <row r="452" spans="1:23" hidden="1" x14ac:dyDescent="0.35">
      <c r="A452" t="s">
        <v>458</v>
      </c>
      <c r="B452" t="s">
        <v>459</v>
      </c>
      <c r="C452" t="s">
        <v>381</v>
      </c>
      <c r="D452" t="s">
        <v>364</v>
      </c>
      <c r="E452" t="s">
        <v>365</v>
      </c>
      <c r="F452" t="s">
        <v>189</v>
      </c>
      <c r="G452" t="s">
        <v>366</v>
      </c>
      <c r="H452" t="s">
        <v>28</v>
      </c>
      <c r="I452" t="s">
        <v>231</v>
      </c>
      <c r="J452" t="s">
        <v>232</v>
      </c>
      <c r="K452" t="s">
        <v>33</v>
      </c>
      <c r="L452" t="s">
        <v>51</v>
      </c>
      <c r="M452" t="s">
        <v>382</v>
      </c>
      <c r="N452" t="s">
        <v>383</v>
      </c>
      <c r="O452" t="s">
        <v>108</v>
      </c>
      <c r="P452" t="s">
        <v>109</v>
      </c>
      <c r="Q452" t="s">
        <v>39</v>
      </c>
      <c r="R452" t="s">
        <v>40</v>
      </c>
      <c r="S452" s="1">
        <v>4541.7</v>
      </c>
      <c r="T452" s="1">
        <v>1125.9201</v>
      </c>
      <c r="U452" s="1">
        <v>329.5326</v>
      </c>
      <c r="V452" s="1">
        <v>3415.7799</v>
      </c>
      <c r="W452">
        <v>25</v>
      </c>
    </row>
    <row r="453" spans="1:23" hidden="1" x14ac:dyDescent="0.35">
      <c r="A453" t="s">
        <v>458</v>
      </c>
      <c r="B453" t="s">
        <v>459</v>
      </c>
      <c r="C453" t="s">
        <v>384</v>
      </c>
      <c r="D453" t="s">
        <v>364</v>
      </c>
      <c r="E453" t="s">
        <v>365</v>
      </c>
      <c r="F453" t="s">
        <v>189</v>
      </c>
      <c r="G453" t="s">
        <v>366</v>
      </c>
      <c r="H453" t="s">
        <v>28</v>
      </c>
      <c r="I453" t="s">
        <v>231</v>
      </c>
      <c r="J453" t="s">
        <v>232</v>
      </c>
      <c r="K453" t="s">
        <v>33</v>
      </c>
      <c r="L453" t="s">
        <v>51</v>
      </c>
      <c r="M453" t="s">
        <v>382</v>
      </c>
      <c r="N453" t="s">
        <v>383</v>
      </c>
      <c r="O453" t="s">
        <v>334</v>
      </c>
      <c r="P453" t="s">
        <v>335</v>
      </c>
      <c r="Q453" t="s">
        <v>39</v>
      </c>
      <c r="R453" t="s">
        <v>40</v>
      </c>
      <c r="S453" s="1">
        <v>59802</v>
      </c>
      <c r="T453" s="1">
        <v>18286.338800000001</v>
      </c>
      <c r="U453" s="1">
        <v>4410.3189000000002</v>
      </c>
      <c r="V453" s="1">
        <v>41515.661200000002</v>
      </c>
      <c r="W453">
        <v>31</v>
      </c>
    </row>
    <row r="454" spans="1:23" hidden="1" x14ac:dyDescent="0.35">
      <c r="A454" t="s">
        <v>458</v>
      </c>
      <c r="B454" t="s">
        <v>459</v>
      </c>
      <c r="C454" t="s">
        <v>385</v>
      </c>
      <c r="D454" t="s">
        <v>364</v>
      </c>
      <c r="E454" t="s">
        <v>365</v>
      </c>
      <c r="F454" t="s">
        <v>189</v>
      </c>
      <c r="G454" t="s">
        <v>366</v>
      </c>
      <c r="H454" t="s">
        <v>28</v>
      </c>
      <c r="I454" t="s">
        <v>231</v>
      </c>
      <c r="J454" t="s">
        <v>232</v>
      </c>
      <c r="K454" t="s">
        <v>33</v>
      </c>
      <c r="L454" t="s">
        <v>51</v>
      </c>
      <c r="M454" t="s">
        <v>386</v>
      </c>
      <c r="N454" t="s">
        <v>387</v>
      </c>
      <c r="O454" t="s">
        <v>197</v>
      </c>
      <c r="P454" t="s">
        <v>198</v>
      </c>
      <c r="Q454" t="s">
        <v>39</v>
      </c>
      <c r="R454" t="s">
        <v>40</v>
      </c>
      <c r="S454" s="1">
        <v>3856.7</v>
      </c>
      <c r="T454" s="1">
        <v>0</v>
      </c>
      <c r="U454" s="1">
        <v>0</v>
      </c>
      <c r="V454" s="1">
        <v>3856.7</v>
      </c>
      <c r="W454">
        <v>0</v>
      </c>
    </row>
    <row r="455" spans="1:23" hidden="1" x14ac:dyDescent="0.35">
      <c r="A455" t="s">
        <v>458</v>
      </c>
      <c r="B455" t="s">
        <v>459</v>
      </c>
      <c r="C455" t="s">
        <v>388</v>
      </c>
      <c r="D455" t="s">
        <v>364</v>
      </c>
      <c r="E455" t="s">
        <v>365</v>
      </c>
      <c r="F455" t="s">
        <v>189</v>
      </c>
      <c r="G455" t="s">
        <v>366</v>
      </c>
      <c r="H455" t="s">
        <v>28</v>
      </c>
      <c r="I455" t="s">
        <v>231</v>
      </c>
      <c r="J455" t="s">
        <v>232</v>
      </c>
      <c r="K455" t="s">
        <v>33</v>
      </c>
      <c r="L455" t="s">
        <v>51</v>
      </c>
      <c r="M455" t="s">
        <v>389</v>
      </c>
      <c r="N455" t="s">
        <v>390</v>
      </c>
      <c r="O455" t="s">
        <v>197</v>
      </c>
      <c r="P455" t="s">
        <v>198</v>
      </c>
      <c r="Q455" t="s">
        <v>39</v>
      </c>
      <c r="R455" t="s">
        <v>40</v>
      </c>
      <c r="S455" s="1">
        <v>2500</v>
      </c>
      <c r="T455" s="1">
        <v>0</v>
      </c>
      <c r="U455" s="1">
        <v>0</v>
      </c>
      <c r="V455" s="1">
        <v>2500</v>
      </c>
      <c r="W455">
        <v>0</v>
      </c>
    </row>
    <row r="456" spans="1:23" hidden="1" x14ac:dyDescent="0.35">
      <c r="A456" t="s">
        <v>458</v>
      </c>
      <c r="B456" t="s">
        <v>459</v>
      </c>
      <c r="C456" t="s">
        <v>391</v>
      </c>
      <c r="D456" t="s">
        <v>392</v>
      </c>
      <c r="E456" t="s">
        <v>365</v>
      </c>
      <c r="F456" t="s">
        <v>28</v>
      </c>
      <c r="G456" t="s">
        <v>393</v>
      </c>
      <c r="H456" t="s">
        <v>28</v>
      </c>
      <c r="I456" t="s">
        <v>231</v>
      </c>
      <c r="J456" t="s">
        <v>232</v>
      </c>
      <c r="K456" t="s">
        <v>33</v>
      </c>
      <c r="L456" t="s">
        <v>51</v>
      </c>
      <c r="M456" t="s">
        <v>394</v>
      </c>
      <c r="N456" t="s">
        <v>395</v>
      </c>
      <c r="O456" t="s">
        <v>197</v>
      </c>
      <c r="P456" t="s">
        <v>198</v>
      </c>
      <c r="Q456" t="s">
        <v>39</v>
      </c>
      <c r="R456" t="s">
        <v>40</v>
      </c>
      <c r="S456" s="1">
        <v>51205.3</v>
      </c>
      <c r="T456" s="1">
        <v>33202.46</v>
      </c>
      <c r="U456" s="1">
        <v>29864.312999999998</v>
      </c>
      <c r="V456" s="1">
        <v>18002.84</v>
      </c>
      <c r="W456">
        <v>65</v>
      </c>
    </row>
    <row r="457" spans="1:23" hidden="1" x14ac:dyDescent="0.35">
      <c r="A457" t="s">
        <v>458</v>
      </c>
      <c r="B457" t="s">
        <v>459</v>
      </c>
      <c r="C457" t="s">
        <v>396</v>
      </c>
      <c r="D457" t="s">
        <v>397</v>
      </c>
      <c r="E457" t="s">
        <v>365</v>
      </c>
      <c r="F457" t="s">
        <v>318</v>
      </c>
      <c r="G457" t="s">
        <v>398</v>
      </c>
      <c r="H457" t="s">
        <v>116</v>
      </c>
      <c r="I457" t="s">
        <v>148</v>
      </c>
      <c r="J457" t="s">
        <v>149</v>
      </c>
      <c r="K457" t="s">
        <v>33</v>
      </c>
      <c r="L457" t="s">
        <v>34</v>
      </c>
      <c r="M457" t="s">
        <v>399</v>
      </c>
      <c r="N457" t="s">
        <v>400</v>
      </c>
      <c r="O457" t="s">
        <v>401</v>
      </c>
      <c r="P457" t="s">
        <v>402</v>
      </c>
      <c r="Q457" t="s">
        <v>39</v>
      </c>
      <c r="R457" t="s">
        <v>40</v>
      </c>
      <c r="S457" s="1">
        <v>1328.7</v>
      </c>
      <c r="T457" s="1">
        <v>349.23329999999999</v>
      </c>
      <c r="U457" s="1">
        <v>349.23329999999999</v>
      </c>
      <c r="V457" s="1">
        <v>979.46669999999995</v>
      </c>
      <c r="W457">
        <v>26</v>
      </c>
    </row>
    <row r="458" spans="1:23" hidden="1" x14ac:dyDescent="0.35">
      <c r="A458" t="s">
        <v>458</v>
      </c>
      <c r="B458" t="s">
        <v>459</v>
      </c>
      <c r="C458" t="s">
        <v>403</v>
      </c>
      <c r="D458" t="s">
        <v>404</v>
      </c>
      <c r="E458" t="s">
        <v>405</v>
      </c>
      <c r="F458" t="s">
        <v>146</v>
      </c>
      <c r="G458" t="s">
        <v>406</v>
      </c>
      <c r="H458" t="s">
        <v>318</v>
      </c>
      <c r="I458" t="s">
        <v>407</v>
      </c>
      <c r="J458" t="s">
        <v>408</v>
      </c>
      <c r="K458" t="s">
        <v>33</v>
      </c>
      <c r="L458" t="s">
        <v>51</v>
      </c>
      <c r="M458" t="s">
        <v>409</v>
      </c>
      <c r="N458" t="s">
        <v>410</v>
      </c>
      <c r="O458" t="s">
        <v>108</v>
      </c>
      <c r="P458" t="s">
        <v>109</v>
      </c>
      <c r="Q458" t="s">
        <v>39</v>
      </c>
      <c r="R458" t="s">
        <v>40</v>
      </c>
      <c r="S458" s="1">
        <v>191160.4</v>
      </c>
      <c r="T458" s="1">
        <v>57943.261400000003</v>
      </c>
      <c r="U458" s="1">
        <v>13258.086499999999</v>
      </c>
      <c r="V458" s="1">
        <v>133217.13860000001</v>
      </c>
      <c r="W458">
        <v>30</v>
      </c>
    </row>
    <row r="459" spans="1:23" hidden="1" x14ac:dyDescent="0.35">
      <c r="A459" t="s">
        <v>458</v>
      </c>
      <c r="B459" t="s">
        <v>459</v>
      </c>
      <c r="C459" t="s">
        <v>440</v>
      </c>
      <c r="D459" t="s">
        <v>404</v>
      </c>
      <c r="E459" t="s">
        <v>405</v>
      </c>
      <c r="F459" t="s">
        <v>146</v>
      </c>
      <c r="G459" t="s">
        <v>406</v>
      </c>
      <c r="H459" t="s">
        <v>318</v>
      </c>
      <c r="I459" t="s">
        <v>407</v>
      </c>
      <c r="J459" t="s">
        <v>408</v>
      </c>
      <c r="K459" t="s">
        <v>33</v>
      </c>
      <c r="L459" t="s">
        <v>51</v>
      </c>
      <c r="M459" t="s">
        <v>441</v>
      </c>
      <c r="N459" t="s">
        <v>442</v>
      </c>
      <c r="O459" t="s">
        <v>197</v>
      </c>
      <c r="P459" t="s">
        <v>198</v>
      </c>
      <c r="Q459" t="s">
        <v>39</v>
      </c>
      <c r="R459" t="s">
        <v>40</v>
      </c>
      <c r="S459" s="1">
        <v>35508.9</v>
      </c>
      <c r="T459" s="1">
        <v>0</v>
      </c>
      <c r="U459" s="1">
        <v>0</v>
      </c>
      <c r="V459" s="1">
        <v>35508.9</v>
      </c>
      <c r="W459">
        <v>0</v>
      </c>
    </row>
    <row r="460" spans="1:23" hidden="1" x14ac:dyDescent="0.35">
      <c r="A460" t="s">
        <v>458</v>
      </c>
      <c r="B460" t="s">
        <v>459</v>
      </c>
      <c r="C460" t="s">
        <v>411</v>
      </c>
      <c r="D460" t="s">
        <v>412</v>
      </c>
      <c r="E460" t="s">
        <v>405</v>
      </c>
      <c r="F460" t="s">
        <v>189</v>
      </c>
      <c r="G460" t="s">
        <v>413</v>
      </c>
      <c r="H460" t="s">
        <v>318</v>
      </c>
      <c r="I460" t="s">
        <v>407</v>
      </c>
      <c r="J460" t="s">
        <v>408</v>
      </c>
      <c r="K460" t="s">
        <v>33</v>
      </c>
      <c r="L460" t="s">
        <v>51</v>
      </c>
      <c r="M460" t="s">
        <v>414</v>
      </c>
      <c r="N460" t="s">
        <v>415</v>
      </c>
      <c r="O460" t="s">
        <v>197</v>
      </c>
      <c r="P460" t="s">
        <v>198</v>
      </c>
      <c r="Q460" t="s">
        <v>39</v>
      </c>
      <c r="R460" t="s">
        <v>40</v>
      </c>
      <c r="S460" s="1">
        <v>3693.1</v>
      </c>
      <c r="T460" s="1">
        <v>0</v>
      </c>
      <c r="U460" s="1">
        <v>0</v>
      </c>
      <c r="V460" s="1">
        <v>3693.1</v>
      </c>
      <c r="W460">
        <v>0</v>
      </c>
    </row>
    <row r="461" spans="1:23" hidden="1" x14ac:dyDescent="0.35">
      <c r="A461" t="s">
        <v>458</v>
      </c>
      <c r="B461" t="s">
        <v>459</v>
      </c>
      <c r="C461" t="s">
        <v>416</v>
      </c>
      <c r="D461" t="s">
        <v>417</v>
      </c>
      <c r="E461" t="s">
        <v>405</v>
      </c>
      <c r="F461" t="s">
        <v>28</v>
      </c>
      <c r="G461" t="s">
        <v>418</v>
      </c>
      <c r="H461" t="s">
        <v>318</v>
      </c>
      <c r="I461" t="s">
        <v>407</v>
      </c>
      <c r="J461" t="s">
        <v>408</v>
      </c>
      <c r="K461" t="s">
        <v>33</v>
      </c>
      <c r="L461" t="s">
        <v>51</v>
      </c>
      <c r="M461" t="s">
        <v>419</v>
      </c>
      <c r="N461" t="s">
        <v>420</v>
      </c>
      <c r="O461" t="s">
        <v>108</v>
      </c>
      <c r="P461" t="s">
        <v>109</v>
      </c>
      <c r="Q461" t="s">
        <v>39</v>
      </c>
      <c r="R461" t="s">
        <v>40</v>
      </c>
      <c r="S461" s="1">
        <v>356415.3</v>
      </c>
      <c r="T461" s="1">
        <v>89253.117400000003</v>
      </c>
      <c r="U461" s="1">
        <v>23398.705600000001</v>
      </c>
      <c r="V461" s="1">
        <v>267162.1826</v>
      </c>
      <c r="W461">
        <v>25</v>
      </c>
    </row>
    <row r="462" spans="1:23" hidden="1" x14ac:dyDescent="0.35">
      <c r="A462" t="s">
        <v>33</v>
      </c>
      <c r="B462" t="s">
        <v>466</v>
      </c>
      <c r="C462" t="s">
        <v>25</v>
      </c>
      <c r="D462" t="s">
        <v>26</v>
      </c>
      <c r="E462" t="s">
        <v>27</v>
      </c>
      <c r="F462" t="s">
        <v>28</v>
      </c>
      <c r="G462" t="s">
        <v>29</v>
      </c>
      <c r="H462" t="s">
        <v>30</v>
      </c>
      <c r="I462" t="s">
        <v>31</v>
      </c>
      <c r="J462" t="s">
        <v>32</v>
      </c>
      <c r="K462" t="s">
        <v>33</v>
      </c>
      <c r="L462" t="s">
        <v>34</v>
      </c>
      <c r="M462" t="s">
        <v>35</v>
      </c>
      <c r="N462" t="s">
        <v>36</v>
      </c>
      <c r="O462" t="s">
        <v>37</v>
      </c>
      <c r="P462" t="s">
        <v>38</v>
      </c>
      <c r="Q462" t="s">
        <v>39</v>
      </c>
      <c r="R462" t="s">
        <v>40</v>
      </c>
      <c r="S462" s="1">
        <v>597.70000000000005</v>
      </c>
      <c r="T462" s="1">
        <v>89.260400000000004</v>
      </c>
      <c r="U462" s="1">
        <v>22.315100000000001</v>
      </c>
      <c r="V462" s="1">
        <v>508.43959999999998</v>
      </c>
      <c r="W462">
        <v>15</v>
      </c>
    </row>
    <row r="463" spans="1:23" hidden="1" x14ac:dyDescent="0.35">
      <c r="A463" t="s">
        <v>33</v>
      </c>
      <c r="B463" t="s">
        <v>466</v>
      </c>
      <c r="C463" t="s">
        <v>41</v>
      </c>
      <c r="D463" t="s">
        <v>26</v>
      </c>
      <c r="E463" t="s">
        <v>27</v>
      </c>
      <c r="F463" t="s">
        <v>28</v>
      </c>
      <c r="G463" t="s">
        <v>29</v>
      </c>
      <c r="H463" t="s">
        <v>30</v>
      </c>
      <c r="I463" t="s">
        <v>31</v>
      </c>
      <c r="J463" t="s">
        <v>32</v>
      </c>
      <c r="K463" t="s">
        <v>33</v>
      </c>
      <c r="L463" t="s">
        <v>34</v>
      </c>
      <c r="M463" t="s">
        <v>35</v>
      </c>
      <c r="N463" t="s">
        <v>36</v>
      </c>
      <c r="O463" t="s">
        <v>42</v>
      </c>
      <c r="P463" t="s">
        <v>43</v>
      </c>
      <c r="Q463" t="s">
        <v>39</v>
      </c>
      <c r="R463" t="s">
        <v>40</v>
      </c>
      <c r="S463" s="1">
        <v>165.3</v>
      </c>
      <c r="T463" s="1">
        <v>116.1657</v>
      </c>
      <c r="U463" s="1">
        <v>105.58920000000001</v>
      </c>
      <c r="V463" s="1">
        <v>49.134300000000003</v>
      </c>
      <c r="W463">
        <v>70</v>
      </c>
    </row>
    <row r="464" spans="1:23" hidden="1" x14ac:dyDescent="0.35">
      <c r="A464" t="s">
        <v>33</v>
      </c>
      <c r="B464" t="s">
        <v>466</v>
      </c>
      <c r="C464" t="s">
        <v>44</v>
      </c>
      <c r="D464" t="s">
        <v>45</v>
      </c>
      <c r="E464" t="s">
        <v>27</v>
      </c>
      <c r="F464" t="s">
        <v>46</v>
      </c>
      <c r="G464" t="s">
        <v>47</v>
      </c>
      <c r="H464" t="s">
        <v>48</v>
      </c>
      <c r="I464" t="s">
        <v>49</v>
      </c>
      <c r="J464" t="s">
        <v>50</v>
      </c>
      <c r="K464" t="s">
        <v>33</v>
      </c>
      <c r="L464" t="s">
        <v>51</v>
      </c>
      <c r="M464" t="s">
        <v>52</v>
      </c>
      <c r="N464" t="s">
        <v>53</v>
      </c>
      <c r="O464" t="s">
        <v>54</v>
      </c>
      <c r="P464" t="s">
        <v>55</v>
      </c>
      <c r="Q464" t="s">
        <v>39</v>
      </c>
      <c r="R464" t="s">
        <v>40</v>
      </c>
      <c r="S464" s="1">
        <v>67.2</v>
      </c>
      <c r="T464" s="1">
        <v>0</v>
      </c>
      <c r="U464" s="1">
        <v>0</v>
      </c>
      <c r="V464" s="1">
        <v>67.2</v>
      </c>
      <c r="W464">
        <v>0</v>
      </c>
    </row>
    <row r="465" spans="1:23" hidden="1" x14ac:dyDescent="0.35">
      <c r="A465" t="s">
        <v>33</v>
      </c>
      <c r="B465" t="s">
        <v>466</v>
      </c>
      <c r="C465" t="s">
        <v>56</v>
      </c>
      <c r="D465" t="s">
        <v>45</v>
      </c>
      <c r="E465" t="s">
        <v>27</v>
      </c>
      <c r="F465" t="s">
        <v>46</v>
      </c>
      <c r="G465" t="s">
        <v>47</v>
      </c>
      <c r="H465" t="s">
        <v>48</v>
      </c>
      <c r="I465" t="s">
        <v>49</v>
      </c>
      <c r="J465" t="s">
        <v>50</v>
      </c>
      <c r="K465" t="s">
        <v>33</v>
      </c>
      <c r="L465" t="s">
        <v>51</v>
      </c>
      <c r="M465" t="s">
        <v>57</v>
      </c>
      <c r="N465" t="s">
        <v>58</v>
      </c>
      <c r="O465" t="s">
        <v>37</v>
      </c>
      <c r="P465" t="s">
        <v>38</v>
      </c>
      <c r="Q465" t="s">
        <v>39</v>
      </c>
      <c r="R465" t="s">
        <v>40</v>
      </c>
      <c r="S465" s="1">
        <v>61.9</v>
      </c>
      <c r="T465" s="1">
        <v>0</v>
      </c>
      <c r="U465" s="1">
        <v>0</v>
      </c>
      <c r="V465" s="1">
        <v>61.9</v>
      </c>
      <c r="W465">
        <v>0</v>
      </c>
    </row>
    <row r="466" spans="1:23" hidden="1" x14ac:dyDescent="0.35">
      <c r="A466" t="s">
        <v>33</v>
      </c>
      <c r="B466" t="s">
        <v>466</v>
      </c>
      <c r="C466" t="s">
        <v>59</v>
      </c>
      <c r="D466" t="s">
        <v>45</v>
      </c>
      <c r="E466" t="s">
        <v>27</v>
      </c>
      <c r="F466" t="s">
        <v>46</v>
      </c>
      <c r="G466" t="s">
        <v>47</v>
      </c>
      <c r="H466" t="s">
        <v>60</v>
      </c>
      <c r="I466" t="s">
        <v>61</v>
      </c>
      <c r="J466" t="s">
        <v>62</v>
      </c>
      <c r="K466" t="s">
        <v>33</v>
      </c>
      <c r="L466" t="s">
        <v>51</v>
      </c>
      <c r="M466" t="s">
        <v>63</v>
      </c>
      <c r="N466" t="s">
        <v>64</v>
      </c>
      <c r="O466" t="s">
        <v>37</v>
      </c>
      <c r="P466" t="s">
        <v>38</v>
      </c>
      <c r="Q466" t="s">
        <v>39</v>
      </c>
      <c r="R466" t="s">
        <v>40</v>
      </c>
      <c r="S466" s="1">
        <v>216.9</v>
      </c>
      <c r="T466" s="1">
        <v>94.1</v>
      </c>
      <c r="U466" s="1">
        <v>24.1</v>
      </c>
      <c r="V466" s="1">
        <v>122.8</v>
      </c>
      <c r="W466">
        <v>43</v>
      </c>
    </row>
    <row r="467" spans="1:23" hidden="1" x14ac:dyDescent="0.35">
      <c r="A467" t="s">
        <v>33</v>
      </c>
      <c r="B467" t="s">
        <v>466</v>
      </c>
      <c r="C467" t="s">
        <v>65</v>
      </c>
      <c r="D467" t="s">
        <v>45</v>
      </c>
      <c r="E467" t="s">
        <v>27</v>
      </c>
      <c r="F467" t="s">
        <v>46</v>
      </c>
      <c r="G467" t="s">
        <v>47</v>
      </c>
      <c r="H467" t="s">
        <v>66</v>
      </c>
      <c r="I467" t="s">
        <v>67</v>
      </c>
      <c r="J467" t="s">
        <v>68</v>
      </c>
      <c r="K467" t="s">
        <v>33</v>
      </c>
      <c r="L467" t="s">
        <v>51</v>
      </c>
      <c r="M467" t="s">
        <v>69</v>
      </c>
      <c r="N467" t="s">
        <v>70</v>
      </c>
      <c r="O467" t="s">
        <v>37</v>
      </c>
      <c r="P467" t="s">
        <v>38</v>
      </c>
      <c r="Q467" t="s">
        <v>39</v>
      </c>
      <c r="R467" t="s">
        <v>40</v>
      </c>
      <c r="S467" s="1">
        <v>557.5</v>
      </c>
      <c r="T467" s="1">
        <v>239.91919999999999</v>
      </c>
      <c r="U467" s="1">
        <v>114.4843</v>
      </c>
      <c r="V467" s="1">
        <v>317.58080000000001</v>
      </c>
      <c r="W467">
        <v>43</v>
      </c>
    </row>
    <row r="468" spans="1:23" hidden="1" x14ac:dyDescent="0.35">
      <c r="A468" t="s">
        <v>33</v>
      </c>
      <c r="B468" t="s">
        <v>466</v>
      </c>
      <c r="C468" t="s">
        <v>71</v>
      </c>
      <c r="D468" t="s">
        <v>45</v>
      </c>
      <c r="E468" t="s">
        <v>27</v>
      </c>
      <c r="F468" t="s">
        <v>46</v>
      </c>
      <c r="G468" t="s">
        <v>47</v>
      </c>
      <c r="H468" t="s">
        <v>30</v>
      </c>
      <c r="I468" t="s">
        <v>31</v>
      </c>
      <c r="J468" t="s">
        <v>32</v>
      </c>
      <c r="K468" t="s">
        <v>33</v>
      </c>
      <c r="L468" t="s">
        <v>34</v>
      </c>
      <c r="M468" t="s">
        <v>72</v>
      </c>
      <c r="N468" t="s">
        <v>73</v>
      </c>
      <c r="O468" t="s">
        <v>74</v>
      </c>
      <c r="P468" t="s">
        <v>75</v>
      </c>
      <c r="Q468" t="s">
        <v>39</v>
      </c>
      <c r="R468" t="s">
        <v>40</v>
      </c>
      <c r="S468" s="1">
        <v>349800.7</v>
      </c>
      <c r="T468" s="1">
        <v>121865.5362</v>
      </c>
      <c r="U468" s="1">
        <v>24380.112499999999</v>
      </c>
      <c r="V468" s="1">
        <v>227935.16380000001</v>
      </c>
      <c r="W468">
        <v>35</v>
      </c>
    </row>
    <row r="469" spans="1:23" hidden="1" x14ac:dyDescent="0.35">
      <c r="A469" t="s">
        <v>33</v>
      </c>
      <c r="B469" t="s">
        <v>466</v>
      </c>
      <c r="C469" t="s">
        <v>76</v>
      </c>
      <c r="D469" t="s">
        <v>45</v>
      </c>
      <c r="E469" t="s">
        <v>27</v>
      </c>
      <c r="F469" t="s">
        <v>46</v>
      </c>
      <c r="G469" t="s">
        <v>47</v>
      </c>
      <c r="H469" t="s">
        <v>30</v>
      </c>
      <c r="I469" t="s">
        <v>31</v>
      </c>
      <c r="J469" t="s">
        <v>32</v>
      </c>
      <c r="K469" t="s">
        <v>33</v>
      </c>
      <c r="L469" t="s">
        <v>34</v>
      </c>
      <c r="M469" t="s">
        <v>72</v>
      </c>
      <c r="N469" t="s">
        <v>73</v>
      </c>
      <c r="O469" t="s">
        <v>77</v>
      </c>
      <c r="P469" t="s">
        <v>78</v>
      </c>
      <c r="Q469" t="s">
        <v>39</v>
      </c>
      <c r="R469" t="s">
        <v>40</v>
      </c>
      <c r="S469" s="1">
        <v>100.2</v>
      </c>
      <c r="T469" s="1">
        <v>7.9930000000000003</v>
      </c>
      <c r="U469" s="1">
        <v>3.0630000000000002</v>
      </c>
      <c r="V469" s="1">
        <v>92.206999999999994</v>
      </c>
      <c r="W469">
        <v>8</v>
      </c>
    </row>
    <row r="470" spans="1:23" hidden="1" x14ac:dyDescent="0.35">
      <c r="A470" t="s">
        <v>33</v>
      </c>
      <c r="B470" t="s">
        <v>466</v>
      </c>
      <c r="C470" t="s">
        <v>79</v>
      </c>
      <c r="D470" t="s">
        <v>45</v>
      </c>
      <c r="E470" t="s">
        <v>27</v>
      </c>
      <c r="F470" t="s">
        <v>46</v>
      </c>
      <c r="G470" t="s">
        <v>47</v>
      </c>
      <c r="H470" t="s">
        <v>30</v>
      </c>
      <c r="I470" t="s">
        <v>31</v>
      </c>
      <c r="J470" t="s">
        <v>32</v>
      </c>
      <c r="K470" t="s">
        <v>33</v>
      </c>
      <c r="L470" t="s">
        <v>34</v>
      </c>
      <c r="M470" t="s">
        <v>72</v>
      </c>
      <c r="N470" t="s">
        <v>73</v>
      </c>
      <c r="O470" t="s">
        <v>80</v>
      </c>
      <c r="P470" t="s">
        <v>81</v>
      </c>
      <c r="Q470" t="s">
        <v>39</v>
      </c>
      <c r="R470" t="s">
        <v>40</v>
      </c>
      <c r="S470" s="1">
        <v>105260</v>
      </c>
      <c r="T470" s="1">
        <v>38744.914799999999</v>
      </c>
      <c r="U470" s="1">
        <v>6987.5577000000003</v>
      </c>
      <c r="V470" s="1">
        <v>66515.085200000001</v>
      </c>
      <c r="W470">
        <v>37</v>
      </c>
    </row>
    <row r="471" spans="1:23" hidden="1" x14ac:dyDescent="0.35">
      <c r="A471" t="s">
        <v>33</v>
      </c>
      <c r="B471" t="s">
        <v>466</v>
      </c>
      <c r="C471" t="s">
        <v>82</v>
      </c>
      <c r="D471" t="s">
        <v>45</v>
      </c>
      <c r="E471" t="s">
        <v>27</v>
      </c>
      <c r="F471" t="s">
        <v>46</v>
      </c>
      <c r="G471" t="s">
        <v>47</v>
      </c>
      <c r="H471" t="s">
        <v>30</v>
      </c>
      <c r="I471" t="s">
        <v>31</v>
      </c>
      <c r="J471" t="s">
        <v>32</v>
      </c>
      <c r="K471" t="s">
        <v>33</v>
      </c>
      <c r="L471" t="s">
        <v>34</v>
      </c>
      <c r="M471" t="s">
        <v>72</v>
      </c>
      <c r="N471" t="s">
        <v>73</v>
      </c>
      <c r="O471" t="s">
        <v>83</v>
      </c>
      <c r="P471" t="s">
        <v>84</v>
      </c>
      <c r="Q471" t="s">
        <v>39</v>
      </c>
      <c r="R471" t="s">
        <v>40</v>
      </c>
      <c r="S471" s="1">
        <v>300</v>
      </c>
      <c r="T471" s="1">
        <v>91.710599999999999</v>
      </c>
      <c r="U471" s="1">
        <v>25.518699999999999</v>
      </c>
      <c r="V471" s="1">
        <v>208.2894</v>
      </c>
      <c r="W471">
        <v>31</v>
      </c>
    </row>
    <row r="472" spans="1:23" hidden="1" x14ac:dyDescent="0.35">
      <c r="A472" t="s">
        <v>33</v>
      </c>
      <c r="B472" t="s">
        <v>466</v>
      </c>
      <c r="C472" t="s">
        <v>85</v>
      </c>
      <c r="D472" t="s">
        <v>45</v>
      </c>
      <c r="E472" t="s">
        <v>27</v>
      </c>
      <c r="F472" t="s">
        <v>46</v>
      </c>
      <c r="G472" t="s">
        <v>47</v>
      </c>
      <c r="H472" t="s">
        <v>30</v>
      </c>
      <c r="I472" t="s">
        <v>31</v>
      </c>
      <c r="J472" t="s">
        <v>32</v>
      </c>
      <c r="K472" t="s">
        <v>33</v>
      </c>
      <c r="L472" t="s">
        <v>34</v>
      </c>
      <c r="M472" t="s">
        <v>72</v>
      </c>
      <c r="N472" t="s">
        <v>73</v>
      </c>
      <c r="O472" t="s">
        <v>86</v>
      </c>
      <c r="P472" t="s">
        <v>87</v>
      </c>
      <c r="Q472" t="s">
        <v>39</v>
      </c>
      <c r="R472" t="s">
        <v>40</v>
      </c>
      <c r="S472" s="1">
        <v>30943.599999999999</v>
      </c>
      <c r="T472" s="1">
        <v>4636.8482000000004</v>
      </c>
      <c r="U472" s="1">
        <v>4636.8482000000004</v>
      </c>
      <c r="V472" s="1">
        <v>26306.751799999998</v>
      </c>
      <c r="W472">
        <v>15</v>
      </c>
    </row>
    <row r="473" spans="1:23" hidden="1" x14ac:dyDescent="0.35">
      <c r="A473" t="s">
        <v>33</v>
      </c>
      <c r="B473" t="s">
        <v>466</v>
      </c>
      <c r="C473" t="s">
        <v>88</v>
      </c>
      <c r="D473" t="s">
        <v>45</v>
      </c>
      <c r="E473" t="s">
        <v>27</v>
      </c>
      <c r="F473" t="s">
        <v>46</v>
      </c>
      <c r="G473" t="s">
        <v>47</v>
      </c>
      <c r="H473" t="s">
        <v>30</v>
      </c>
      <c r="I473" t="s">
        <v>31</v>
      </c>
      <c r="J473" t="s">
        <v>32</v>
      </c>
      <c r="K473" t="s">
        <v>33</v>
      </c>
      <c r="L473" t="s">
        <v>34</v>
      </c>
      <c r="M473" t="s">
        <v>72</v>
      </c>
      <c r="N473" t="s">
        <v>73</v>
      </c>
      <c r="O473" t="s">
        <v>37</v>
      </c>
      <c r="P473" t="s">
        <v>38</v>
      </c>
      <c r="Q473" t="s">
        <v>39</v>
      </c>
      <c r="R473" t="s">
        <v>40</v>
      </c>
      <c r="S473" s="1">
        <v>68702.399999999994</v>
      </c>
      <c r="T473" s="1">
        <v>10266.077799999999</v>
      </c>
      <c r="U473" s="1">
        <v>3416.0284000000001</v>
      </c>
      <c r="V473" s="1">
        <v>58436.322200000002</v>
      </c>
      <c r="W473">
        <v>15</v>
      </c>
    </row>
    <row r="474" spans="1:23" hidden="1" x14ac:dyDescent="0.35">
      <c r="A474" t="s">
        <v>33</v>
      </c>
      <c r="B474" t="s">
        <v>466</v>
      </c>
      <c r="C474" t="s">
        <v>89</v>
      </c>
      <c r="D474" t="s">
        <v>45</v>
      </c>
      <c r="E474" t="s">
        <v>27</v>
      </c>
      <c r="F474" t="s">
        <v>46</v>
      </c>
      <c r="G474" t="s">
        <v>47</v>
      </c>
      <c r="H474" t="s">
        <v>30</v>
      </c>
      <c r="I474" t="s">
        <v>31</v>
      </c>
      <c r="J474" t="s">
        <v>32</v>
      </c>
      <c r="K474" t="s">
        <v>33</v>
      </c>
      <c r="L474" t="s">
        <v>34</v>
      </c>
      <c r="M474" t="s">
        <v>72</v>
      </c>
      <c r="N474" t="s">
        <v>73</v>
      </c>
      <c r="O474" t="s">
        <v>42</v>
      </c>
      <c r="P474" t="s">
        <v>43</v>
      </c>
      <c r="Q474" t="s">
        <v>39</v>
      </c>
      <c r="R474" t="s">
        <v>40</v>
      </c>
      <c r="S474" s="1">
        <v>16962</v>
      </c>
      <c r="T474" s="1">
        <v>7874.6126000000004</v>
      </c>
      <c r="U474" s="1">
        <v>650.13430000000005</v>
      </c>
      <c r="V474" s="1">
        <v>9087.3873999999996</v>
      </c>
      <c r="W474">
        <v>46</v>
      </c>
    </row>
    <row r="475" spans="1:23" hidden="1" x14ac:dyDescent="0.35">
      <c r="A475" t="s">
        <v>33</v>
      </c>
      <c r="B475" t="s">
        <v>466</v>
      </c>
      <c r="C475" t="s">
        <v>90</v>
      </c>
      <c r="D475" t="s">
        <v>45</v>
      </c>
      <c r="E475" t="s">
        <v>27</v>
      </c>
      <c r="F475" t="s">
        <v>46</v>
      </c>
      <c r="G475" t="s">
        <v>47</v>
      </c>
      <c r="H475" t="s">
        <v>30</v>
      </c>
      <c r="I475" t="s">
        <v>31</v>
      </c>
      <c r="J475" t="s">
        <v>32</v>
      </c>
      <c r="K475" t="s">
        <v>33</v>
      </c>
      <c r="L475" t="s">
        <v>34</v>
      </c>
      <c r="M475" t="s">
        <v>72</v>
      </c>
      <c r="N475" t="s">
        <v>73</v>
      </c>
      <c r="O475" t="s">
        <v>91</v>
      </c>
      <c r="P475" t="s">
        <v>92</v>
      </c>
      <c r="Q475" t="s">
        <v>39</v>
      </c>
      <c r="R475" t="s">
        <v>40</v>
      </c>
      <c r="S475" s="1">
        <v>859.7</v>
      </c>
      <c r="T475" s="1">
        <v>480.87240000000003</v>
      </c>
      <c r="U475" s="1">
        <v>188.77379999999999</v>
      </c>
      <c r="V475" s="1">
        <v>378.82760000000002</v>
      </c>
      <c r="W475">
        <v>56</v>
      </c>
    </row>
    <row r="476" spans="1:23" hidden="1" x14ac:dyDescent="0.35">
      <c r="A476" t="s">
        <v>33</v>
      </c>
      <c r="B476" t="s">
        <v>466</v>
      </c>
      <c r="C476" t="s">
        <v>93</v>
      </c>
      <c r="D476" t="s">
        <v>45</v>
      </c>
      <c r="E476" t="s">
        <v>27</v>
      </c>
      <c r="F476" t="s">
        <v>46</v>
      </c>
      <c r="G476" t="s">
        <v>47</v>
      </c>
      <c r="H476" t="s">
        <v>30</v>
      </c>
      <c r="I476" t="s">
        <v>31</v>
      </c>
      <c r="J476" t="s">
        <v>32</v>
      </c>
      <c r="K476" t="s">
        <v>33</v>
      </c>
      <c r="L476" t="s">
        <v>34</v>
      </c>
      <c r="M476" t="s">
        <v>94</v>
      </c>
      <c r="N476" t="s">
        <v>95</v>
      </c>
      <c r="O476" t="s">
        <v>96</v>
      </c>
      <c r="P476" t="s">
        <v>97</v>
      </c>
      <c r="Q476" t="s">
        <v>39</v>
      </c>
      <c r="R476" t="s">
        <v>40</v>
      </c>
      <c r="S476" s="1">
        <v>216958.1</v>
      </c>
      <c r="T476" s="1">
        <v>83629.150399999999</v>
      </c>
      <c r="U476" s="1">
        <v>15663.7649</v>
      </c>
      <c r="V476" s="1">
        <v>133328.94959999999</v>
      </c>
      <c r="W476">
        <v>39</v>
      </c>
    </row>
    <row r="477" spans="1:23" hidden="1" x14ac:dyDescent="0.35">
      <c r="A477" t="s">
        <v>33</v>
      </c>
      <c r="B477" t="s">
        <v>466</v>
      </c>
      <c r="C477" t="s">
        <v>98</v>
      </c>
      <c r="D477" t="s">
        <v>45</v>
      </c>
      <c r="E477" t="s">
        <v>27</v>
      </c>
      <c r="F477" t="s">
        <v>46</v>
      </c>
      <c r="G477" t="s">
        <v>47</v>
      </c>
      <c r="H477" t="s">
        <v>30</v>
      </c>
      <c r="I477" t="s">
        <v>31</v>
      </c>
      <c r="J477" t="s">
        <v>32</v>
      </c>
      <c r="K477" t="s">
        <v>33</v>
      </c>
      <c r="L477" t="s">
        <v>34</v>
      </c>
      <c r="M477" t="s">
        <v>94</v>
      </c>
      <c r="N477" t="s">
        <v>95</v>
      </c>
      <c r="O477" t="s">
        <v>99</v>
      </c>
      <c r="P477" t="s">
        <v>100</v>
      </c>
      <c r="Q477" t="s">
        <v>39</v>
      </c>
      <c r="R477" t="s">
        <v>40</v>
      </c>
      <c r="S477" s="1">
        <v>65398.5</v>
      </c>
      <c r="T477" s="1">
        <v>22757.0167</v>
      </c>
      <c r="U477" s="1">
        <v>5268.3042999999998</v>
      </c>
      <c r="V477" s="1">
        <v>42641.4833</v>
      </c>
      <c r="W477">
        <v>35</v>
      </c>
    </row>
    <row r="478" spans="1:23" hidden="1" x14ac:dyDescent="0.35">
      <c r="A478" t="s">
        <v>33</v>
      </c>
      <c r="B478" t="s">
        <v>466</v>
      </c>
      <c r="C478" t="s">
        <v>101</v>
      </c>
      <c r="D478" t="s">
        <v>45</v>
      </c>
      <c r="E478" t="s">
        <v>27</v>
      </c>
      <c r="F478" t="s">
        <v>46</v>
      </c>
      <c r="G478" t="s">
        <v>47</v>
      </c>
      <c r="H478" t="s">
        <v>30</v>
      </c>
      <c r="I478" t="s">
        <v>31</v>
      </c>
      <c r="J478" t="s">
        <v>32</v>
      </c>
      <c r="K478" t="s">
        <v>33</v>
      </c>
      <c r="L478" t="s">
        <v>34</v>
      </c>
      <c r="M478" t="s">
        <v>94</v>
      </c>
      <c r="N478" t="s">
        <v>95</v>
      </c>
      <c r="O478" t="s">
        <v>37</v>
      </c>
      <c r="P478" t="s">
        <v>38</v>
      </c>
      <c r="Q478" t="s">
        <v>39</v>
      </c>
      <c r="R478" t="s">
        <v>40</v>
      </c>
      <c r="S478" s="1">
        <v>4394</v>
      </c>
      <c r="T478" s="1">
        <v>2195.7217999999998</v>
      </c>
      <c r="U478" s="1">
        <v>865.75919999999996</v>
      </c>
      <c r="V478" s="1">
        <v>2198.2782000000002</v>
      </c>
      <c r="W478">
        <v>50</v>
      </c>
    </row>
    <row r="479" spans="1:23" hidden="1" x14ac:dyDescent="0.35">
      <c r="A479" t="s">
        <v>33</v>
      </c>
      <c r="B479" t="s">
        <v>466</v>
      </c>
      <c r="C479" t="s">
        <v>467</v>
      </c>
      <c r="D479" t="s">
        <v>45</v>
      </c>
      <c r="E479" t="s">
        <v>27</v>
      </c>
      <c r="F479" t="s">
        <v>46</v>
      </c>
      <c r="G479" t="s">
        <v>47</v>
      </c>
      <c r="H479" t="s">
        <v>30</v>
      </c>
      <c r="I479" t="s">
        <v>31</v>
      </c>
      <c r="J479" t="s">
        <v>32</v>
      </c>
      <c r="K479" t="s">
        <v>33</v>
      </c>
      <c r="L479" t="s">
        <v>34</v>
      </c>
      <c r="M479" t="s">
        <v>94</v>
      </c>
      <c r="N479" t="s">
        <v>95</v>
      </c>
      <c r="O479" t="s">
        <v>468</v>
      </c>
      <c r="P479" t="s">
        <v>469</v>
      </c>
      <c r="Q479" t="s">
        <v>39</v>
      </c>
      <c r="R479" t="s">
        <v>40</v>
      </c>
      <c r="S479" s="1">
        <v>2.2000000000000002</v>
      </c>
      <c r="T479" s="1">
        <v>2.1716000000000002</v>
      </c>
      <c r="U479" s="1">
        <v>2.1716000000000002</v>
      </c>
      <c r="V479" s="1">
        <v>2.8400000000000002E-2</v>
      </c>
      <c r="W479">
        <v>99</v>
      </c>
    </row>
    <row r="480" spans="1:23" hidden="1" x14ac:dyDescent="0.35">
      <c r="A480" t="s">
        <v>33</v>
      </c>
      <c r="B480" t="s">
        <v>466</v>
      </c>
      <c r="C480" t="s">
        <v>102</v>
      </c>
      <c r="D480" t="s">
        <v>45</v>
      </c>
      <c r="E480" t="s">
        <v>27</v>
      </c>
      <c r="F480" t="s">
        <v>46</v>
      </c>
      <c r="G480" t="s">
        <v>47</v>
      </c>
      <c r="H480" t="s">
        <v>30</v>
      </c>
      <c r="I480" t="s">
        <v>31</v>
      </c>
      <c r="J480" t="s">
        <v>32</v>
      </c>
      <c r="K480" t="s">
        <v>33</v>
      </c>
      <c r="L480" t="s">
        <v>34</v>
      </c>
      <c r="M480" t="s">
        <v>94</v>
      </c>
      <c r="N480" t="s">
        <v>95</v>
      </c>
      <c r="O480" t="s">
        <v>103</v>
      </c>
      <c r="P480" t="s">
        <v>104</v>
      </c>
      <c r="Q480" t="s">
        <v>39</v>
      </c>
      <c r="R480" t="s">
        <v>40</v>
      </c>
      <c r="S480" s="1">
        <v>3.7</v>
      </c>
      <c r="T480" s="1">
        <v>1.8320000000000001</v>
      </c>
      <c r="U480" s="1">
        <v>0</v>
      </c>
      <c r="V480" s="1">
        <v>1.8680000000000001</v>
      </c>
      <c r="W480">
        <v>50</v>
      </c>
    </row>
    <row r="481" spans="1:23" hidden="1" x14ac:dyDescent="0.35">
      <c r="A481" t="s">
        <v>33</v>
      </c>
      <c r="B481" t="s">
        <v>466</v>
      </c>
      <c r="C481" t="s">
        <v>105</v>
      </c>
      <c r="D481" t="s">
        <v>45</v>
      </c>
      <c r="E481" t="s">
        <v>27</v>
      </c>
      <c r="F481" t="s">
        <v>46</v>
      </c>
      <c r="G481" t="s">
        <v>47</v>
      </c>
      <c r="H481" t="s">
        <v>30</v>
      </c>
      <c r="I481" t="s">
        <v>31</v>
      </c>
      <c r="J481" t="s">
        <v>32</v>
      </c>
      <c r="K481" t="s">
        <v>33</v>
      </c>
      <c r="L481" t="s">
        <v>34</v>
      </c>
      <c r="M481" t="s">
        <v>106</v>
      </c>
      <c r="N481" t="s">
        <v>107</v>
      </c>
      <c r="O481" t="s">
        <v>108</v>
      </c>
      <c r="P481" t="s">
        <v>109</v>
      </c>
      <c r="Q481" t="s">
        <v>39</v>
      </c>
      <c r="R481" t="s">
        <v>40</v>
      </c>
      <c r="S481" s="1">
        <v>81533.600000000006</v>
      </c>
      <c r="T481" s="1">
        <v>30600.6564</v>
      </c>
      <c r="U481" s="1">
        <v>6600</v>
      </c>
      <c r="V481" s="1">
        <v>50932.943599999999</v>
      </c>
      <c r="W481">
        <v>38</v>
      </c>
    </row>
    <row r="482" spans="1:23" hidden="1" x14ac:dyDescent="0.35">
      <c r="A482" t="s">
        <v>33</v>
      </c>
      <c r="B482" t="s">
        <v>466</v>
      </c>
      <c r="C482" t="s">
        <v>110</v>
      </c>
      <c r="D482" t="s">
        <v>45</v>
      </c>
      <c r="E482" t="s">
        <v>27</v>
      </c>
      <c r="F482" t="s">
        <v>46</v>
      </c>
      <c r="G482" t="s">
        <v>47</v>
      </c>
      <c r="H482" t="s">
        <v>30</v>
      </c>
      <c r="I482" t="s">
        <v>31</v>
      </c>
      <c r="J482" t="s">
        <v>32</v>
      </c>
      <c r="K482" t="s">
        <v>33</v>
      </c>
      <c r="L482" t="s">
        <v>34</v>
      </c>
      <c r="M482" t="s">
        <v>111</v>
      </c>
      <c r="N482" t="s">
        <v>112</v>
      </c>
      <c r="O482" t="s">
        <v>37</v>
      </c>
      <c r="P482" t="s">
        <v>38</v>
      </c>
      <c r="Q482" t="s">
        <v>39</v>
      </c>
      <c r="R482" t="s">
        <v>40</v>
      </c>
      <c r="S482" s="1">
        <v>6933</v>
      </c>
      <c r="T482" s="1">
        <v>3086.8831</v>
      </c>
      <c r="U482" s="1">
        <v>461.99540000000002</v>
      </c>
      <c r="V482" s="1">
        <v>3846.1169</v>
      </c>
      <c r="W482">
        <v>45</v>
      </c>
    </row>
    <row r="483" spans="1:23" hidden="1" x14ac:dyDescent="0.35">
      <c r="A483" t="s">
        <v>33</v>
      </c>
      <c r="B483" t="s">
        <v>466</v>
      </c>
      <c r="C483" t="s">
        <v>113</v>
      </c>
      <c r="D483" t="s">
        <v>114</v>
      </c>
      <c r="E483" t="s">
        <v>115</v>
      </c>
      <c r="F483" t="s">
        <v>116</v>
      </c>
      <c r="G483" t="s">
        <v>117</v>
      </c>
      <c r="H483" t="s">
        <v>48</v>
      </c>
      <c r="I483" t="s">
        <v>49</v>
      </c>
      <c r="J483" t="s">
        <v>50</v>
      </c>
      <c r="K483" t="s">
        <v>33</v>
      </c>
      <c r="L483" t="s">
        <v>51</v>
      </c>
      <c r="M483" t="s">
        <v>118</v>
      </c>
      <c r="N483" t="s">
        <v>119</v>
      </c>
      <c r="O483" t="s">
        <v>37</v>
      </c>
      <c r="P483" t="s">
        <v>38</v>
      </c>
      <c r="Q483" t="s">
        <v>39</v>
      </c>
      <c r="R483" t="s">
        <v>40</v>
      </c>
      <c r="S483" s="1">
        <v>7193.2</v>
      </c>
      <c r="T483" s="1">
        <v>4457.1422000000002</v>
      </c>
      <c r="U483" s="1">
        <v>0</v>
      </c>
      <c r="V483" s="1">
        <v>2736.0578</v>
      </c>
      <c r="W483">
        <v>62</v>
      </c>
    </row>
    <row r="484" spans="1:23" hidden="1" x14ac:dyDescent="0.35">
      <c r="A484" t="s">
        <v>33</v>
      </c>
      <c r="B484" t="s">
        <v>466</v>
      </c>
      <c r="C484" t="s">
        <v>120</v>
      </c>
      <c r="D484" t="s">
        <v>114</v>
      </c>
      <c r="E484" t="s">
        <v>115</v>
      </c>
      <c r="F484" t="s">
        <v>116</v>
      </c>
      <c r="G484" t="s">
        <v>117</v>
      </c>
      <c r="H484" t="s">
        <v>48</v>
      </c>
      <c r="I484" t="s">
        <v>49</v>
      </c>
      <c r="J484" t="s">
        <v>50</v>
      </c>
      <c r="K484" t="s">
        <v>33</v>
      </c>
      <c r="L484" t="s">
        <v>51</v>
      </c>
      <c r="M484" t="s">
        <v>118</v>
      </c>
      <c r="N484" t="s">
        <v>119</v>
      </c>
      <c r="O484" t="s">
        <v>42</v>
      </c>
      <c r="P484" t="s">
        <v>43</v>
      </c>
      <c r="Q484" t="s">
        <v>39</v>
      </c>
      <c r="R484" t="s">
        <v>40</v>
      </c>
      <c r="S484" s="1">
        <v>9131.9</v>
      </c>
      <c r="T484" s="1">
        <v>4517.7385999999997</v>
      </c>
      <c r="U484" s="1">
        <v>2275.3561</v>
      </c>
      <c r="V484" s="1">
        <v>4614.1614</v>
      </c>
      <c r="W484">
        <v>49</v>
      </c>
    </row>
    <row r="485" spans="1:23" hidden="1" x14ac:dyDescent="0.35">
      <c r="A485" t="s">
        <v>33</v>
      </c>
      <c r="B485" t="s">
        <v>466</v>
      </c>
      <c r="C485" t="s">
        <v>121</v>
      </c>
      <c r="D485" t="s">
        <v>114</v>
      </c>
      <c r="E485" t="s">
        <v>115</v>
      </c>
      <c r="F485" t="s">
        <v>116</v>
      </c>
      <c r="G485" t="s">
        <v>117</v>
      </c>
      <c r="H485" t="s">
        <v>48</v>
      </c>
      <c r="I485" t="s">
        <v>49</v>
      </c>
      <c r="J485" t="s">
        <v>50</v>
      </c>
      <c r="K485" t="s">
        <v>33</v>
      </c>
      <c r="L485" t="s">
        <v>51</v>
      </c>
      <c r="M485" t="s">
        <v>118</v>
      </c>
      <c r="N485" t="s">
        <v>119</v>
      </c>
      <c r="O485" t="s">
        <v>122</v>
      </c>
      <c r="P485" t="s">
        <v>123</v>
      </c>
      <c r="Q485" t="s">
        <v>39</v>
      </c>
      <c r="R485" t="s">
        <v>40</v>
      </c>
      <c r="S485" s="1">
        <v>7025.2</v>
      </c>
      <c r="T485" s="1">
        <v>5608.3874999999998</v>
      </c>
      <c r="U485" s="1">
        <v>2470.9389999999999</v>
      </c>
      <c r="V485" s="1">
        <v>1416.8125</v>
      </c>
      <c r="W485">
        <v>80</v>
      </c>
    </row>
    <row r="486" spans="1:23" hidden="1" x14ac:dyDescent="0.35">
      <c r="A486" t="s">
        <v>33</v>
      </c>
      <c r="B486" t="s">
        <v>466</v>
      </c>
      <c r="C486" t="s">
        <v>124</v>
      </c>
      <c r="D486" t="s">
        <v>114</v>
      </c>
      <c r="E486" t="s">
        <v>115</v>
      </c>
      <c r="F486" t="s">
        <v>116</v>
      </c>
      <c r="G486" t="s">
        <v>117</v>
      </c>
      <c r="H486" t="s">
        <v>48</v>
      </c>
      <c r="I486" t="s">
        <v>49</v>
      </c>
      <c r="J486" t="s">
        <v>50</v>
      </c>
      <c r="K486" t="s">
        <v>33</v>
      </c>
      <c r="L486" t="s">
        <v>51</v>
      </c>
      <c r="M486" t="s">
        <v>118</v>
      </c>
      <c r="N486" t="s">
        <v>119</v>
      </c>
      <c r="O486" t="s">
        <v>125</v>
      </c>
      <c r="P486" t="s">
        <v>126</v>
      </c>
      <c r="Q486" t="s">
        <v>39</v>
      </c>
      <c r="R486" t="s">
        <v>40</v>
      </c>
      <c r="S486" s="1">
        <v>3050</v>
      </c>
      <c r="T486" s="1">
        <v>1595.319</v>
      </c>
      <c r="U486" s="1">
        <v>319.06380000000001</v>
      </c>
      <c r="V486" s="1">
        <v>1454.681</v>
      </c>
      <c r="W486">
        <v>52</v>
      </c>
    </row>
    <row r="487" spans="1:23" hidden="1" x14ac:dyDescent="0.35">
      <c r="A487" t="s">
        <v>33</v>
      </c>
      <c r="B487" t="s">
        <v>466</v>
      </c>
      <c r="C487" t="s">
        <v>127</v>
      </c>
      <c r="D487" t="s">
        <v>114</v>
      </c>
      <c r="E487" t="s">
        <v>115</v>
      </c>
      <c r="F487" t="s">
        <v>116</v>
      </c>
      <c r="G487" t="s">
        <v>117</v>
      </c>
      <c r="H487" t="s">
        <v>48</v>
      </c>
      <c r="I487" t="s">
        <v>49</v>
      </c>
      <c r="J487" t="s">
        <v>50</v>
      </c>
      <c r="K487" t="s">
        <v>33</v>
      </c>
      <c r="L487" t="s">
        <v>51</v>
      </c>
      <c r="M487" t="s">
        <v>128</v>
      </c>
      <c r="N487" t="s">
        <v>129</v>
      </c>
      <c r="O487" t="s">
        <v>86</v>
      </c>
      <c r="P487" t="s">
        <v>87</v>
      </c>
      <c r="Q487" t="s">
        <v>39</v>
      </c>
      <c r="R487" t="s">
        <v>40</v>
      </c>
      <c r="S487" s="1">
        <v>19375.7</v>
      </c>
      <c r="T487" s="1">
        <v>0</v>
      </c>
      <c r="U487" s="1">
        <v>0</v>
      </c>
      <c r="V487" s="1">
        <v>19375.7</v>
      </c>
      <c r="W487">
        <v>0</v>
      </c>
    </row>
    <row r="488" spans="1:23" hidden="1" x14ac:dyDescent="0.35">
      <c r="A488" t="s">
        <v>33</v>
      </c>
      <c r="B488" t="s">
        <v>466</v>
      </c>
      <c r="C488" t="s">
        <v>130</v>
      </c>
      <c r="D488" t="s">
        <v>131</v>
      </c>
      <c r="E488" t="s">
        <v>115</v>
      </c>
      <c r="F488" t="s">
        <v>132</v>
      </c>
      <c r="G488" t="s">
        <v>133</v>
      </c>
      <c r="H488" t="s">
        <v>48</v>
      </c>
      <c r="I488" t="s">
        <v>49</v>
      </c>
      <c r="J488" t="s">
        <v>50</v>
      </c>
      <c r="K488" t="s">
        <v>33</v>
      </c>
      <c r="L488" t="s">
        <v>51</v>
      </c>
      <c r="M488" t="s">
        <v>134</v>
      </c>
      <c r="N488" t="s">
        <v>135</v>
      </c>
      <c r="O488" t="s">
        <v>37</v>
      </c>
      <c r="P488" t="s">
        <v>38</v>
      </c>
      <c r="Q488" t="s">
        <v>39</v>
      </c>
      <c r="R488" t="s">
        <v>40</v>
      </c>
      <c r="S488" s="1">
        <v>23.1</v>
      </c>
      <c r="T488" s="1">
        <v>0</v>
      </c>
      <c r="U488" s="1">
        <v>0</v>
      </c>
      <c r="V488" s="1">
        <v>23.1</v>
      </c>
      <c r="W488">
        <v>0</v>
      </c>
    </row>
    <row r="489" spans="1:23" hidden="1" x14ac:dyDescent="0.35">
      <c r="A489" t="s">
        <v>33</v>
      </c>
      <c r="B489" t="s">
        <v>466</v>
      </c>
      <c r="C489" t="s">
        <v>445</v>
      </c>
      <c r="D489" t="s">
        <v>137</v>
      </c>
      <c r="E489" t="s">
        <v>138</v>
      </c>
      <c r="F489" t="s">
        <v>139</v>
      </c>
      <c r="G489" t="s">
        <v>140</v>
      </c>
      <c r="H489" t="s">
        <v>48</v>
      </c>
      <c r="I489" t="s">
        <v>49</v>
      </c>
      <c r="J489" t="s">
        <v>50</v>
      </c>
      <c r="K489" t="s">
        <v>33</v>
      </c>
      <c r="L489" t="s">
        <v>51</v>
      </c>
      <c r="M489" t="s">
        <v>446</v>
      </c>
      <c r="N489" t="s">
        <v>447</v>
      </c>
      <c r="O489" t="s">
        <v>37</v>
      </c>
      <c r="P489" t="s">
        <v>38</v>
      </c>
      <c r="Q489" t="s">
        <v>39</v>
      </c>
      <c r="R489" t="s">
        <v>40</v>
      </c>
      <c r="S489" s="1">
        <v>455.4</v>
      </c>
      <c r="T489" s="1">
        <v>0</v>
      </c>
      <c r="U489" s="1">
        <v>0</v>
      </c>
      <c r="V489" s="1">
        <v>455.4</v>
      </c>
      <c r="W489">
        <v>0</v>
      </c>
    </row>
    <row r="490" spans="1:23" hidden="1" x14ac:dyDescent="0.35">
      <c r="A490" t="s">
        <v>33</v>
      </c>
      <c r="B490" t="s">
        <v>466</v>
      </c>
      <c r="C490" t="s">
        <v>448</v>
      </c>
      <c r="D490" t="s">
        <v>137</v>
      </c>
      <c r="E490" t="s">
        <v>138</v>
      </c>
      <c r="F490" t="s">
        <v>139</v>
      </c>
      <c r="G490" t="s">
        <v>140</v>
      </c>
      <c r="H490" t="s">
        <v>48</v>
      </c>
      <c r="I490" t="s">
        <v>49</v>
      </c>
      <c r="J490" t="s">
        <v>50</v>
      </c>
      <c r="K490" t="s">
        <v>33</v>
      </c>
      <c r="L490" t="s">
        <v>51</v>
      </c>
      <c r="M490" t="s">
        <v>446</v>
      </c>
      <c r="N490" t="s">
        <v>447</v>
      </c>
      <c r="O490" t="s">
        <v>197</v>
      </c>
      <c r="P490" t="s">
        <v>198</v>
      </c>
      <c r="Q490" t="s">
        <v>39</v>
      </c>
      <c r="R490" t="s">
        <v>40</v>
      </c>
      <c r="S490" s="1">
        <v>36425.800000000003</v>
      </c>
      <c r="T490" s="1">
        <v>1047.9381000000001</v>
      </c>
      <c r="U490" s="1">
        <v>1047.9381000000001</v>
      </c>
      <c r="V490" s="1">
        <v>35377.861900000004</v>
      </c>
      <c r="W490">
        <v>3</v>
      </c>
    </row>
    <row r="491" spans="1:23" hidden="1" x14ac:dyDescent="0.35">
      <c r="A491" t="s">
        <v>33</v>
      </c>
      <c r="B491" t="s">
        <v>466</v>
      </c>
      <c r="C491" t="s">
        <v>136</v>
      </c>
      <c r="D491" t="s">
        <v>137</v>
      </c>
      <c r="E491" t="s">
        <v>138</v>
      </c>
      <c r="F491" t="s">
        <v>139</v>
      </c>
      <c r="G491" t="s">
        <v>140</v>
      </c>
      <c r="H491" t="s">
        <v>30</v>
      </c>
      <c r="I491" t="s">
        <v>31</v>
      </c>
      <c r="J491" t="s">
        <v>32</v>
      </c>
      <c r="K491" t="s">
        <v>33</v>
      </c>
      <c r="L491" t="s">
        <v>34</v>
      </c>
      <c r="M491" t="s">
        <v>141</v>
      </c>
      <c r="N491" t="s">
        <v>142</v>
      </c>
      <c r="O491" t="s">
        <v>83</v>
      </c>
      <c r="P491" t="s">
        <v>84</v>
      </c>
      <c r="Q491" t="s">
        <v>39</v>
      </c>
      <c r="R491" t="s">
        <v>40</v>
      </c>
      <c r="S491" s="1">
        <v>5651.9</v>
      </c>
      <c r="T491" s="1">
        <v>930.10730000000001</v>
      </c>
      <c r="U491" s="1">
        <v>0</v>
      </c>
      <c r="V491" s="1">
        <v>4721.7927</v>
      </c>
      <c r="W491">
        <v>16</v>
      </c>
    </row>
    <row r="492" spans="1:23" hidden="1" x14ac:dyDescent="0.35">
      <c r="A492" t="s">
        <v>33</v>
      </c>
      <c r="B492" t="s">
        <v>466</v>
      </c>
      <c r="C492" t="s">
        <v>143</v>
      </c>
      <c r="D492" t="s">
        <v>144</v>
      </c>
      <c r="E492" t="s">
        <v>145</v>
      </c>
      <c r="F492" t="s">
        <v>146</v>
      </c>
      <c r="G492" t="s">
        <v>147</v>
      </c>
      <c r="H492" t="s">
        <v>116</v>
      </c>
      <c r="I492" t="s">
        <v>148</v>
      </c>
      <c r="J492" t="s">
        <v>149</v>
      </c>
      <c r="K492" t="s">
        <v>33</v>
      </c>
      <c r="L492" t="s">
        <v>34</v>
      </c>
      <c r="M492" t="s">
        <v>150</v>
      </c>
      <c r="N492" t="s">
        <v>151</v>
      </c>
      <c r="O492" t="s">
        <v>37</v>
      </c>
      <c r="P492" t="s">
        <v>38</v>
      </c>
      <c r="Q492" t="s">
        <v>39</v>
      </c>
      <c r="R492" t="s">
        <v>40</v>
      </c>
      <c r="S492" s="1">
        <v>5465.8</v>
      </c>
      <c r="T492" s="1">
        <v>0</v>
      </c>
      <c r="U492" s="1">
        <v>0</v>
      </c>
      <c r="V492" s="1">
        <v>5465.8</v>
      </c>
      <c r="W492">
        <v>0</v>
      </c>
    </row>
    <row r="493" spans="1:23" hidden="1" x14ac:dyDescent="0.35">
      <c r="A493" t="s">
        <v>33</v>
      </c>
      <c r="B493" t="s">
        <v>466</v>
      </c>
      <c r="C493" t="s">
        <v>152</v>
      </c>
      <c r="D493" t="s">
        <v>144</v>
      </c>
      <c r="E493" t="s">
        <v>145</v>
      </c>
      <c r="F493" t="s">
        <v>146</v>
      </c>
      <c r="G493" t="s">
        <v>147</v>
      </c>
      <c r="H493" t="s">
        <v>116</v>
      </c>
      <c r="I493" t="s">
        <v>148</v>
      </c>
      <c r="J493" t="s">
        <v>149</v>
      </c>
      <c r="K493" t="s">
        <v>33</v>
      </c>
      <c r="L493" t="s">
        <v>34</v>
      </c>
      <c r="M493" t="s">
        <v>153</v>
      </c>
      <c r="N493" t="s">
        <v>154</v>
      </c>
      <c r="O493" t="s">
        <v>37</v>
      </c>
      <c r="P493" t="s">
        <v>38</v>
      </c>
      <c r="Q493" t="s">
        <v>39</v>
      </c>
      <c r="R493" t="s">
        <v>40</v>
      </c>
      <c r="S493" s="1">
        <v>35373.199999999997</v>
      </c>
      <c r="T493" s="1">
        <v>2317.1379999999999</v>
      </c>
      <c r="U493" s="1">
        <v>2317.1379999999999</v>
      </c>
      <c r="V493" s="1">
        <v>33056.061999999998</v>
      </c>
      <c r="W493">
        <v>7</v>
      </c>
    </row>
    <row r="494" spans="1:23" hidden="1" x14ac:dyDescent="0.35">
      <c r="A494" t="s">
        <v>33</v>
      </c>
      <c r="B494" t="s">
        <v>466</v>
      </c>
      <c r="C494" t="s">
        <v>155</v>
      </c>
      <c r="D494" t="s">
        <v>144</v>
      </c>
      <c r="E494" t="s">
        <v>145</v>
      </c>
      <c r="F494" t="s">
        <v>146</v>
      </c>
      <c r="G494" t="s">
        <v>147</v>
      </c>
      <c r="H494" t="s">
        <v>116</v>
      </c>
      <c r="I494" t="s">
        <v>148</v>
      </c>
      <c r="J494" t="s">
        <v>149</v>
      </c>
      <c r="K494" t="s">
        <v>33</v>
      </c>
      <c r="L494" t="s">
        <v>34</v>
      </c>
      <c r="M494" t="s">
        <v>156</v>
      </c>
      <c r="N494" t="s">
        <v>157</v>
      </c>
      <c r="O494" t="s">
        <v>37</v>
      </c>
      <c r="P494" t="s">
        <v>38</v>
      </c>
      <c r="Q494" t="s">
        <v>39</v>
      </c>
      <c r="R494" t="s">
        <v>40</v>
      </c>
      <c r="S494" s="1">
        <v>3442.8</v>
      </c>
      <c r="T494" s="1">
        <v>80.521100000000004</v>
      </c>
      <c r="U494" s="1">
        <v>2.1960000000000002</v>
      </c>
      <c r="V494" s="1">
        <v>3362.2788999999998</v>
      </c>
      <c r="W494">
        <v>2</v>
      </c>
    </row>
    <row r="495" spans="1:23" hidden="1" x14ac:dyDescent="0.35">
      <c r="A495" t="s">
        <v>33</v>
      </c>
      <c r="B495" t="s">
        <v>466</v>
      </c>
      <c r="C495" t="s">
        <v>158</v>
      </c>
      <c r="D495" t="s">
        <v>144</v>
      </c>
      <c r="E495" t="s">
        <v>145</v>
      </c>
      <c r="F495" t="s">
        <v>146</v>
      </c>
      <c r="G495" t="s">
        <v>147</v>
      </c>
      <c r="H495" t="s">
        <v>116</v>
      </c>
      <c r="I495" t="s">
        <v>148</v>
      </c>
      <c r="J495" t="s">
        <v>149</v>
      </c>
      <c r="K495" t="s">
        <v>33</v>
      </c>
      <c r="L495" t="s">
        <v>34</v>
      </c>
      <c r="M495" t="s">
        <v>156</v>
      </c>
      <c r="N495" t="s">
        <v>157</v>
      </c>
      <c r="O495" t="s">
        <v>125</v>
      </c>
      <c r="P495" t="s">
        <v>126</v>
      </c>
      <c r="Q495" t="s">
        <v>39</v>
      </c>
      <c r="R495" t="s">
        <v>40</v>
      </c>
      <c r="S495" s="1">
        <v>110377</v>
      </c>
      <c r="T495" s="1">
        <v>35849.833200000001</v>
      </c>
      <c r="U495" s="1">
        <v>7969.5307000000003</v>
      </c>
      <c r="V495" s="1">
        <v>74527.166800000006</v>
      </c>
      <c r="W495">
        <v>32</v>
      </c>
    </row>
    <row r="496" spans="1:23" hidden="1" x14ac:dyDescent="0.35">
      <c r="A496" t="s">
        <v>33</v>
      </c>
      <c r="B496" t="s">
        <v>466</v>
      </c>
      <c r="C496" t="s">
        <v>159</v>
      </c>
      <c r="D496" t="s">
        <v>144</v>
      </c>
      <c r="E496" t="s">
        <v>145</v>
      </c>
      <c r="F496" t="s">
        <v>146</v>
      </c>
      <c r="G496" t="s">
        <v>147</v>
      </c>
      <c r="H496" t="s">
        <v>116</v>
      </c>
      <c r="I496" t="s">
        <v>148</v>
      </c>
      <c r="J496" t="s">
        <v>149</v>
      </c>
      <c r="K496" t="s">
        <v>33</v>
      </c>
      <c r="L496" t="s">
        <v>34</v>
      </c>
      <c r="M496" t="s">
        <v>160</v>
      </c>
      <c r="N496" t="s">
        <v>161</v>
      </c>
      <c r="O496" t="s">
        <v>37</v>
      </c>
      <c r="P496" t="s">
        <v>38</v>
      </c>
      <c r="Q496" t="s">
        <v>39</v>
      </c>
      <c r="R496" t="s">
        <v>40</v>
      </c>
      <c r="S496" s="1">
        <v>21046</v>
      </c>
      <c r="T496" s="1">
        <v>4579.7494999999999</v>
      </c>
      <c r="U496" s="1">
        <v>2141.3359999999998</v>
      </c>
      <c r="V496" s="1">
        <v>16466.250499999998</v>
      </c>
      <c r="W496">
        <v>22</v>
      </c>
    </row>
    <row r="497" spans="1:23" hidden="1" x14ac:dyDescent="0.35">
      <c r="A497" t="s">
        <v>33</v>
      </c>
      <c r="B497" t="s">
        <v>466</v>
      </c>
      <c r="C497" t="s">
        <v>162</v>
      </c>
      <c r="D497" t="s">
        <v>144</v>
      </c>
      <c r="E497" t="s">
        <v>145</v>
      </c>
      <c r="F497" t="s">
        <v>146</v>
      </c>
      <c r="G497" t="s">
        <v>147</v>
      </c>
      <c r="H497" t="s">
        <v>116</v>
      </c>
      <c r="I497" t="s">
        <v>148</v>
      </c>
      <c r="J497" t="s">
        <v>149</v>
      </c>
      <c r="K497" t="s">
        <v>33</v>
      </c>
      <c r="L497" t="s">
        <v>34</v>
      </c>
      <c r="M497" t="s">
        <v>160</v>
      </c>
      <c r="N497" t="s">
        <v>161</v>
      </c>
      <c r="O497" t="s">
        <v>42</v>
      </c>
      <c r="P497" t="s">
        <v>43</v>
      </c>
      <c r="Q497" t="s">
        <v>39</v>
      </c>
      <c r="R497" t="s">
        <v>40</v>
      </c>
      <c r="S497" s="1">
        <v>10536.1</v>
      </c>
      <c r="T497" s="1">
        <v>3914.8148999999999</v>
      </c>
      <c r="U497" s="1">
        <v>2250.1044000000002</v>
      </c>
      <c r="V497" s="1">
        <v>6621.2851000000001</v>
      </c>
      <c r="W497">
        <v>37</v>
      </c>
    </row>
    <row r="498" spans="1:23" hidden="1" x14ac:dyDescent="0.35">
      <c r="A498" t="s">
        <v>33</v>
      </c>
      <c r="B498" t="s">
        <v>466</v>
      </c>
      <c r="C498" t="s">
        <v>163</v>
      </c>
      <c r="D498" t="s">
        <v>144</v>
      </c>
      <c r="E498" t="s">
        <v>145</v>
      </c>
      <c r="F498" t="s">
        <v>146</v>
      </c>
      <c r="G498" t="s">
        <v>147</v>
      </c>
      <c r="H498" t="s">
        <v>116</v>
      </c>
      <c r="I498" t="s">
        <v>148</v>
      </c>
      <c r="J498" t="s">
        <v>149</v>
      </c>
      <c r="K498" t="s">
        <v>33</v>
      </c>
      <c r="L498" t="s">
        <v>34</v>
      </c>
      <c r="M498" t="s">
        <v>160</v>
      </c>
      <c r="N498" t="s">
        <v>161</v>
      </c>
      <c r="O498" t="s">
        <v>125</v>
      </c>
      <c r="P498" t="s">
        <v>126</v>
      </c>
      <c r="Q498" t="s">
        <v>39</v>
      </c>
      <c r="R498" t="s">
        <v>40</v>
      </c>
      <c r="S498" s="1">
        <v>4782.6000000000004</v>
      </c>
      <c r="T498" s="1">
        <v>1780.5996</v>
      </c>
      <c r="U498" s="1">
        <v>391.90429999999998</v>
      </c>
      <c r="V498" s="1">
        <v>3002.0003999999999</v>
      </c>
      <c r="W498">
        <v>37</v>
      </c>
    </row>
    <row r="499" spans="1:23" hidden="1" x14ac:dyDescent="0.35">
      <c r="A499" t="s">
        <v>33</v>
      </c>
      <c r="B499" t="s">
        <v>466</v>
      </c>
      <c r="C499" t="s">
        <v>423</v>
      </c>
      <c r="D499" t="s">
        <v>165</v>
      </c>
      <c r="E499" t="s">
        <v>145</v>
      </c>
      <c r="F499" t="s">
        <v>28</v>
      </c>
      <c r="G499" t="s">
        <v>166</v>
      </c>
      <c r="H499" t="s">
        <v>139</v>
      </c>
      <c r="I499" t="s">
        <v>167</v>
      </c>
      <c r="J499" t="s">
        <v>168</v>
      </c>
      <c r="K499" t="s">
        <v>33</v>
      </c>
      <c r="L499" t="s">
        <v>51</v>
      </c>
      <c r="M499" t="s">
        <v>424</v>
      </c>
      <c r="N499" t="s">
        <v>425</v>
      </c>
      <c r="O499" t="s">
        <v>37</v>
      </c>
      <c r="P499" t="s">
        <v>38</v>
      </c>
      <c r="Q499" t="s">
        <v>39</v>
      </c>
      <c r="R499" t="s">
        <v>40</v>
      </c>
      <c r="S499" s="1">
        <v>694</v>
      </c>
      <c r="T499" s="1">
        <v>0</v>
      </c>
      <c r="U499" s="1">
        <v>0</v>
      </c>
      <c r="V499" s="1">
        <v>694</v>
      </c>
      <c r="W499">
        <v>0</v>
      </c>
    </row>
    <row r="500" spans="1:23" hidden="1" x14ac:dyDescent="0.35">
      <c r="A500" t="s">
        <v>33</v>
      </c>
      <c r="B500" t="s">
        <v>466</v>
      </c>
      <c r="C500" t="s">
        <v>164</v>
      </c>
      <c r="D500" t="s">
        <v>165</v>
      </c>
      <c r="E500" t="s">
        <v>145</v>
      </c>
      <c r="F500" t="s">
        <v>28</v>
      </c>
      <c r="G500" t="s">
        <v>166</v>
      </c>
      <c r="H500" t="s">
        <v>139</v>
      </c>
      <c r="I500" t="s">
        <v>167</v>
      </c>
      <c r="J500" t="s">
        <v>168</v>
      </c>
      <c r="K500" t="s">
        <v>33</v>
      </c>
      <c r="L500" t="s">
        <v>51</v>
      </c>
      <c r="M500" t="s">
        <v>169</v>
      </c>
      <c r="N500" t="s">
        <v>170</v>
      </c>
      <c r="O500" t="s">
        <v>37</v>
      </c>
      <c r="P500" t="s">
        <v>38</v>
      </c>
      <c r="Q500" t="s">
        <v>39</v>
      </c>
      <c r="R500" t="s">
        <v>40</v>
      </c>
      <c r="S500" s="1">
        <v>39330.300000000003</v>
      </c>
      <c r="T500" s="1">
        <v>4687.6853000000001</v>
      </c>
      <c r="U500" s="1">
        <v>15.671200000000001</v>
      </c>
      <c r="V500" s="1">
        <v>34642.614699999998</v>
      </c>
      <c r="W500">
        <v>12</v>
      </c>
    </row>
    <row r="501" spans="1:23" hidden="1" x14ac:dyDescent="0.35">
      <c r="A501" t="s">
        <v>33</v>
      </c>
      <c r="B501" t="s">
        <v>466</v>
      </c>
      <c r="C501" t="s">
        <v>171</v>
      </c>
      <c r="D501" t="s">
        <v>165</v>
      </c>
      <c r="E501" t="s">
        <v>145</v>
      </c>
      <c r="F501" t="s">
        <v>28</v>
      </c>
      <c r="G501" t="s">
        <v>166</v>
      </c>
      <c r="H501" t="s">
        <v>139</v>
      </c>
      <c r="I501" t="s">
        <v>167</v>
      </c>
      <c r="J501" t="s">
        <v>168</v>
      </c>
      <c r="K501" t="s">
        <v>33</v>
      </c>
      <c r="L501" t="s">
        <v>51</v>
      </c>
      <c r="M501" t="s">
        <v>172</v>
      </c>
      <c r="N501" t="s">
        <v>173</v>
      </c>
      <c r="O501" t="s">
        <v>37</v>
      </c>
      <c r="P501" t="s">
        <v>38</v>
      </c>
      <c r="Q501" t="s">
        <v>39</v>
      </c>
      <c r="R501" t="s">
        <v>40</v>
      </c>
      <c r="S501" s="1">
        <v>8650</v>
      </c>
      <c r="T501" s="1">
        <v>7072.3534</v>
      </c>
      <c r="U501" s="1">
        <v>0</v>
      </c>
      <c r="V501" s="1">
        <v>1577.6466</v>
      </c>
      <c r="W501">
        <v>82</v>
      </c>
    </row>
    <row r="502" spans="1:23" hidden="1" x14ac:dyDescent="0.35">
      <c r="A502" t="s">
        <v>33</v>
      </c>
      <c r="B502" t="s">
        <v>466</v>
      </c>
      <c r="C502" t="s">
        <v>470</v>
      </c>
      <c r="D502" t="s">
        <v>165</v>
      </c>
      <c r="E502" t="s">
        <v>145</v>
      </c>
      <c r="F502" t="s">
        <v>28</v>
      </c>
      <c r="G502" t="s">
        <v>166</v>
      </c>
      <c r="H502" t="s">
        <v>139</v>
      </c>
      <c r="I502" t="s">
        <v>167</v>
      </c>
      <c r="J502" t="s">
        <v>168</v>
      </c>
      <c r="K502" t="s">
        <v>33</v>
      </c>
      <c r="L502" t="s">
        <v>51</v>
      </c>
      <c r="M502" t="s">
        <v>471</v>
      </c>
      <c r="N502" t="s">
        <v>472</v>
      </c>
      <c r="O502" t="s">
        <v>37</v>
      </c>
      <c r="P502" t="s">
        <v>38</v>
      </c>
      <c r="Q502" t="s">
        <v>39</v>
      </c>
      <c r="R502" t="s">
        <v>40</v>
      </c>
      <c r="S502" s="1">
        <v>1591.6</v>
      </c>
      <c r="T502" s="1">
        <v>0</v>
      </c>
      <c r="U502" s="1">
        <v>0</v>
      </c>
      <c r="V502" s="1">
        <v>1591.6</v>
      </c>
      <c r="W502">
        <v>0</v>
      </c>
    </row>
    <row r="503" spans="1:23" hidden="1" x14ac:dyDescent="0.35">
      <c r="A503" t="s">
        <v>33</v>
      </c>
      <c r="B503" t="s">
        <v>466</v>
      </c>
      <c r="C503" t="s">
        <v>174</v>
      </c>
      <c r="D503" t="s">
        <v>175</v>
      </c>
      <c r="E503" t="s">
        <v>145</v>
      </c>
      <c r="F503" t="s">
        <v>176</v>
      </c>
      <c r="G503" t="s">
        <v>177</v>
      </c>
      <c r="H503" t="s">
        <v>116</v>
      </c>
      <c r="I503" t="s">
        <v>148</v>
      </c>
      <c r="J503" t="s">
        <v>149</v>
      </c>
      <c r="K503" t="s">
        <v>33</v>
      </c>
      <c r="L503" t="s">
        <v>34</v>
      </c>
      <c r="M503" t="s">
        <v>178</v>
      </c>
      <c r="N503" t="s">
        <v>179</v>
      </c>
      <c r="O503" t="s">
        <v>96</v>
      </c>
      <c r="P503" t="s">
        <v>97</v>
      </c>
      <c r="Q503" t="s">
        <v>39</v>
      </c>
      <c r="R503" t="s">
        <v>40</v>
      </c>
      <c r="S503" s="1">
        <v>643187.1</v>
      </c>
      <c r="T503" s="1">
        <v>236462.1464</v>
      </c>
      <c r="U503" s="1">
        <v>39393.830099999999</v>
      </c>
      <c r="V503" s="1">
        <v>406724.95360000001</v>
      </c>
      <c r="W503">
        <v>37</v>
      </c>
    </row>
    <row r="504" spans="1:23" hidden="1" x14ac:dyDescent="0.35">
      <c r="A504" t="s">
        <v>33</v>
      </c>
      <c r="B504" t="s">
        <v>466</v>
      </c>
      <c r="C504" t="s">
        <v>180</v>
      </c>
      <c r="D504" t="s">
        <v>175</v>
      </c>
      <c r="E504" t="s">
        <v>145</v>
      </c>
      <c r="F504" t="s">
        <v>176</v>
      </c>
      <c r="G504" t="s">
        <v>177</v>
      </c>
      <c r="H504" t="s">
        <v>116</v>
      </c>
      <c r="I504" t="s">
        <v>148</v>
      </c>
      <c r="J504" t="s">
        <v>149</v>
      </c>
      <c r="K504" t="s">
        <v>33</v>
      </c>
      <c r="L504" t="s">
        <v>34</v>
      </c>
      <c r="M504" t="s">
        <v>178</v>
      </c>
      <c r="N504" t="s">
        <v>179</v>
      </c>
      <c r="O504" t="s">
        <v>99</v>
      </c>
      <c r="P504" t="s">
        <v>100</v>
      </c>
      <c r="Q504" t="s">
        <v>39</v>
      </c>
      <c r="R504" t="s">
        <v>40</v>
      </c>
      <c r="S504" s="1">
        <v>193602.5</v>
      </c>
      <c r="T504" s="1">
        <v>81835.013900000005</v>
      </c>
      <c r="U504" s="1">
        <v>20617.994900000002</v>
      </c>
      <c r="V504" s="1">
        <v>111767.48609999999</v>
      </c>
      <c r="W504">
        <v>42</v>
      </c>
    </row>
    <row r="505" spans="1:23" hidden="1" x14ac:dyDescent="0.35">
      <c r="A505" t="s">
        <v>33</v>
      </c>
      <c r="B505" t="s">
        <v>466</v>
      </c>
      <c r="C505" t="s">
        <v>181</v>
      </c>
      <c r="D505" t="s">
        <v>175</v>
      </c>
      <c r="E505" t="s">
        <v>145</v>
      </c>
      <c r="F505" t="s">
        <v>176</v>
      </c>
      <c r="G505" t="s">
        <v>177</v>
      </c>
      <c r="H505" t="s">
        <v>116</v>
      </c>
      <c r="I505" t="s">
        <v>148</v>
      </c>
      <c r="J505" t="s">
        <v>149</v>
      </c>
      <c r="K505" t="s">
        <v>33</v>
      </c>
      <c r="L505" t="s">
        <v>34</v>
      </c>
      <c r="M505" t="s">
        <v>178</v>
      </c>
      <c r="N505" t="s">
        <v>179</v>
      </c>
      <c r="O505" t="s">
        <v>37</v>
      </c>
      <c r="P505" t="s">
        <v>38</v>
      </c>
      <c r="Q505" t="s">
        <v>39</v>
      </c>
      <c r="R505" t="s">
        <v>40</v>
      </c>
      <c r="S505" s="1">
        <v>155129.9</v>
      </c>
      <c r="T505" s="1">
        <v>35374.213799999998</v>
      </c>
      <c r="U505" s="1">
        <v>7852.1491999999998</v>
      </c>
      <c r="V505" s="1">
        <v>119755.6862</v>
      </c>
      <c r="W505">
        <v>23</v>
      </c>
    </row>
    <row r="506" spans="1:23" hidden="1" x14ac:dyDescent="0.35">
      <c r="A506" t="s">
        <v>33</v>
      </c>
      <c r="B506" t="s">
        <v>466</v>
      </c>
      <c r="C506" t="s">
        <v>182</v>
      </c>
      <c r="D506" t="s">
        <v>175</v>
      </c>
      <c r="E506" t="s">
        <v>145</v>
      </c>
      <c r="F506" t="s">
        <v>176</v>
      </c>
      <c r="G506" t="s">
        <v>177</v>
      </c>
      <c r="H506" t="s">
        <v>116</v>
      </c>
      <c r="I506" t="s">
        <v>148</v>
      </c>
      <c r="J506" t="s">
        <v>149</v>
      </c>
      <c r="K506" t="s">
        <v>33</v>
      </c>
      <c r="L506" t="s">
        <v>34</v>
      </c>
      <c r="M506" t="s">
        <v>178</v>
      </c>
      <c r="N506" t="s">
        <v>179</v>
      </c>
      <c r="O506" t="s">
        <v>42</v>
      </c>
      <c r="P506" t="s">
        <v>43</v>
      </c>
      <c r="Q506" t="s">
        <v>39</v>
      </c>
      <c r="R506" t="s">
        <v>40</v>
      </c>
      <c r="S506" s="1">
        <v>8102</v>
      </c>
      <c r="T506" s="1">
        <v>2691.2512000000002</v>
      </c>
      <c r="U506" s="1">
        <v>886.66200000000003</v>
      </c>
      <c r="V506" s="1">
        <v>5410.7488000000003</v>
      </c>
      <c r="W506">
        <v>33</v>
      </c>
    </row>
    <row r="507" spans="1:23" hidden="1" x14ac:dyDescent="0.35">
      <c r="A507" t="s">
        <v>33</v>
      </c>
      <c r="B507" t="s">
        <v>466</v>
      </c>
      <c r="C507" t="s">
        <v>183</v>
      </c>
      <c r="D507" t="s">
        <v>175</v>
      </c>
      <c r="E507" t="s">
        <v>145</v>
      </c>
      <c r="F507" t="s">
        <v>176</v>
      </c>
      <c r="G507" t="s">
        <v>177</v>
      </c>
      <c r="H507" t="s">
        <v>116</v>
      </c>
      <c r="I507" t="s">
        <v>148</v>
      </c>
      <c r="J507" t="s">
        <v>149</v>
      </c>
      <c r="K507" t="s">
        <v>33</v>
      </c>
      <c r="L507" t="s">
        <v>34</v>
      </c>
      <c r="M507" t="s">
        <v>178</v>
      </c>
      <c r="N507" t="s">
        <v>179</v>
      </c>
      <c r="O507" t="s">
        <v>122</v>
      </c>
      <c r="P507" t="s">
        <v>123</v>
      </c>
      <c r="Q507" t="s">
        <v>39</v>
      </c>
      <c r="R507" t="s">
        <v>40</v>
      </c>
      <c r="S507" s="1">
        <v>183.2</v>
      </c>
      <c r="T507" s="1">
        <v>89.35</v>
      </c>
      <c r="U507" s="1">
        <v>44.6</v>
      </c>
      <c r="V507" s="1">
        <v>93.85</v>
      </c>
      <c r="W507">
        <v>49</v>
      </c>
    </row>
    <row r="508" spans="1:23" hidden="1" x14ac:dyDescent="0.35">
      <c r="A508" t="s">
        <v>33</v>
      </c>
      <c r="B508" t="s">
        <v>466</v>
      </c>
      <c r="C508" t="s">
        <v>184</v>
      </c>
      <c r="D508" t="s">
        <v>175</v>
      </c>
      <c r="E508" t="s">
        <v>145</v>
      </c>
      <c r="F508" t="s">
        <v>176</v>
      </c>
      <c r="G508" t="s">
        <v>177</v>
      </c>
      <c r="H508" t="s">
        <v>116</v>
      </c>
      <c r="I508" t="s">
        <v>148</v>
      </c>
      <c r="J508" t="s">
        <v>149</v>
      </c>
      <c r="K508" t="s">
        <v>33</v>
      </c>
      <c r="L508" t="s">
        <v>34</v>
      </c>
      <c r="M508" t="s">
        <v>178</v>
      </c>
      <c r="N508" t="s">
        <v>179</v>
      </c>
      <c r="O508" t="s">
        <v>103</v>
      </c>
      <c r="P508" t="s">
        <v>104</v>
      </c>
      <c r="Q508" t="s">
        <v>39</v>
      </c>
      <c r="R508" t="s">
        <v>40</v>
      </c>
      <c r="S508" s="1">
        <v>661.4</v>
      </c>
      <c r="T508" s="1">
        <v>638.16399999999999</v>
      </c>
      <c r="U508" s="1">
        <v>30</v>
      </c>
      <c r="V508" s="1">
        <v>23.236000000000001</v>
      </c>
      <c r="W508">
        <v>96</v>
      </c>
    </row>
    <row r="509" spans="1:23" hidden="1" x14ac:dyDescent="0.35">
      <c r="A509" t="s">
        <v>33</v>
      </c>
      <c r="B509" t="s">
        <v>466</v>
      </c>
      <c r="C509" t="s">
        <v>473</v>
      </c>
      <c r="D509" t="s">
        <v>175</v>
      </c>
      <c r="E509" t="s">
        <v>145</v>
      </c>
      <c r="F509" t="s">
        <v>176</v>
      </c>
      <c r="G509" t="s">
        <v>177</v>
      </c>
      <c r="H509" t="s">
        <v>116</v>
      </c>
      <c r="I509" t="s">
        <v>148</v>
      </c>
      <c r="J509" t="s">
        <v>149</v>
      </c>
      <c r="K509" t="s">
        <v>33</v>
      </c>
      <c r="L509" t="s">
        <v>34</v>
      </c>
      <c r="M509" t="s">
        <v>474</v>
      </c>
      <c r="N509" t="s">
        <v>475</v>
      </c>
      <c r="O509" t="s">
        <v>37</v>
      </c>
      <c r="P509" t="s">
        <v>38</v>
      </c>
      <c r="Q509" t="s">
        <v>39</v>
      </c>
      <c r="R509" t="s">
        <v>40</v>
      </c>
      <c r="S509" s="1">
        <v>824.6</v>
      </c>
      <c r="T509" s="1">
        <v>0</v>
      </c>
      <c r="U509" s="1">
        <v>0</v>
      </c>
      <c r="V509" s="1">
        <v>824.6</v>
      </c>
      <c r="W509">
        <v>0</v>
      </c>
    </row>
    <row r="510" spans="1:23" x14ac:dyDescent="0.35">
      <c r="A510" s="3" t="s">
        <v>33</v>
      </c>
      <c r="B510" s="3" t="s">
        <v>466</v>
      </c>
      <c r="C510" s="3" t="s">
        <v>185</v>
      </c>
      <c r="D510" s="3" t="s">
        <v>186</v>
      </c>
      <c r="E510" s="3" t="s">
        <v>187</v>
      </c>
      <c r="F510" s="3" t="s">
        <v>146</v>
      </c>
      <c r="G510" s="3" t="s">
        <v>188</v>
      </c>
      <c r="H510" s="3" t="s">
        <v>189</v>
      </c>
      <c r="I510" s="3" t="s">
        <v>190</v>
      </c>
      <c r="J510" s="3" t="s">
        <v>191</v>
      </c>
      <c r="K510" s="3" t="s">
        <v>33</v>
      </c>
      <c r="L510" s="3" t="s">
        <v>34</v>
      </c>
      <c r="M510" s="3" t="s">
        <v>192</v>
      </c>
      <c r="N510" s="3" t="s">
        <v>193</v>
      </c>
      <c r="O510" s="3" t="s">
        <v>108</v>
      </c>
      <c r="P510" s="3" t="s">
        <v>109</v>
      </c>
      <c r="Q510" s="3" t="s">
        <v>39</v>
      </c>
      <c r="R510" s="3" t="s">
        <v>40</v>
      </c>
      <c r="S510" s="7">
        <v>5665542.5999999996</v>
      </c>
      <c r="T510" s="7">
        <v>2085913.0467999999</v>
      </c>
      <c r="U510" s="7">
        <v>575182.65749999997</v>
      </c>
      <c r="V510" s="7">
        <v>3579629.5532</v>
      </c>
      <c r="W510" s="3">
        <v>37</v>
      </c>
    </row>
    <row r="511" spans="1:23" x14ac:dyDescent="0.35">
      <c r="A511" s="3" t="s">
        <v>33</v>
      </c>
      <c r="B511" s="3" t="s">
        <v>466</v>
      </c>
      <c r="C511" s="3" t="s">
        <v>426</v>
      </c>
      <c r="D511" s="3" t="s">
        <v>186</v>
      </c>
      <c r="E511" s="3" t="s">
        <v>187</v>
      </c>
      <c r="F511" s="3" t="s">
        <v>146</v>
      </c>
      <c r="G511" s="3" t="s">
        <v>188</v>
      </c>
      <c r="H511" s="3" t="s">
        <v>189</v>
      </c>
      <c r="I511" s="3" t="s">
        <v>190</v>
      </c>
      <c r="J511" s="3" t="s">
        <v>191</v>
      </c>
      <c r="K511" s="3" t="s">
        <v>33</v>
      </c>
      <c r="L511" s="3" t="s">
        <v>34</v>
      </c>
      <c r="M511" s="3" t="s">
        <v>427</v>
      </c>
      <c r="N511" s="3" t="s">
        <v>428</v>
      </c>
      <c r="O511" s="3" t="s">
        <v>197</v>
      </c>
      <c r="P511" s="3" t="s">
        <v>198</v>
      </c>
      <c r="Q511" s="3" t="s">
        <v>39</v>
      </c>
      <c r="R511" s="3" t="s">
        <v>40</v>
      </c>
      <c r="S511" s="7">
        <v>4200</v>
      </c>
      <c r="T511" s="7">
        <v>0</v>
      </c>
      <c r="U511" s="7">
        <v>0</v>
      </c>
      <c r="V511" s="7">
        <v>4200</v>
      </c>
      <c r="W511" s="3">
        <v>0</v>
      </c>
    </row>
    <row r="512" spans="1:23" x14ac:dyDescent="0.35">
      <c r="A512" s="3" t="s">
        <v>33</v>
      </c>
      <c r="B512" s="3" t="s">
        <v>466</v>
      </c>
      <c r="C512" s="3" t="s">
        <v>194</v>
      </c>
      <c r="D512" s="3" t="s">
        <v>186</v>
      </c>
      <c r="E512" s="3" t="s">
        <v>187</v>
      </c>
      <c r="F512" s="3" t="s">
        <v>146</v>
      </c>
      <c r="G512" s="3" t="s">
        <v>188</v>
      </c>
      <c r="H512" s="3" t="s">
        <v>189</v>
      </c>
      <c r="I512" s="3" t="s">
        <v>190</v>
      </c>
      <c r="J512" s="3" t="s">
        <v>191</v>
      </c>
      <c r="K512" s="3" t="s">
        <v>33</v>
      </c>
      <c r="L512" s="3" t="s">
        <v>34</v>
      </c>
      <c r="M512" s="3" t="s">
        <v>195</v>
      </c>
      <c r="N512" s="3" t="s">
        <v>196</v>
      </c>
      <c r="O512" s="3" t="s">
        <v>197</v>
      </c>
      <c r="P512" s="3" t="s">
        <v>198</v>
      </c>
      <c r="Q512" s="3" t="s">
        <v>39</v>
      </c>
      <c r="R512" s="3" t="s">
        <v>40</v>
      </c>
      <c r="S512" s="7">
        <v>19486.7</v>
      </c>
      <c r="T512" s="7">
        <v>4731.9063999999998</v>
      </c>
      <c r="U512" s="7">
        <v>3351.2449999999999</v>
      </c>
      <c r="V512" s="7">
        <v>14754.793600000001</v>
      </c>
      <c r="W512" s="3">
        <v>24</v>
      </c>
    </row>
    <row r="513" spans="1:23" x14ac:dyDescent="0.35">
      <c r="A513" s="3" t="s">
        <v>33</v>
      </c>
      <c r="B513" s="3" t="s">
        <v>466</v>
      </c>
      <c r="C513" s="3" t="s">
        <v>449</v>
      </c>
      <c r="D513" s="3" t="s">
        <v>186</v>
      </c>
      <c r="E513" s="3" t="s">
        <v>187</v>
      </c>
      <c r="F513" s="3" t="s">
        <v>146</v>
      </c>
      <c r="G513" s="3" t="s">
        <v>188</v>
      </c>
      <c r="H513" s="3" t="s">
        <v>189</v>
      </c>
      <c r="I513" s="3" t="s">
        <v>190</v>
      </c>
      <c r="J513" s="3" t="s">
        <v>191</v>
      </c>
      <c r="K513" s="3" t="s">
        <v>33</v>
      </c>
      <c r="L513" s="3" t="s">
        <v>34</v>
      </c>
      <c r="M513" s="3" t="s">
        <v>450</v>
      </c>
      <c r="N513" s="3" t="s">
        <v>451</v>
      </c>
      <c r="O513" s="3" t="s">
        <v>197</v>
      </c>
      <c r="P513" s="3" t="s">
        <v>198</v>
      </c>
      <c r="Q513" s="3" t="s">
        <v>39</v>
      </c>
      <c r="R513" s="3" t="s">
        <v>40</v>
      </c>
      <c r="S513" s="7">
        <v>25400</v>
      </c>
      <c r="T513" s="7">
        <v>0</v>
      </c>
      <c r="U513" s="7">
        <v>0</v>
      </c>
      <c r="V513" s="7">
        <v>25400</v>
      </c>
      <c r="W513" s="3">
        <v>0</v>
      </c>
    </row>
    <row r="514" spans="1:23" x14ac:dyDescent="0.35">
      <c r="A514" s="3" t="s">
        <v>33</v>
      </c>
      <c r="B514" s="3" t="s">
        <v>466</v>
      </c>
      <c r="C514" s="3" t="s">
        <v>429</v>
      </c>
      <c r="D514" s="3" t="s">
        <v>200</v>
      </c>
      <c r="E514" s="3" t="s">
        <v>187</v>
      </c>
      <c r="F514" s="3" t="s">
        <v>189</v>
      </c>
      <c r="G514" s="3" t="s">
        <v>201</v>
      </c>
      <c r="H514" s="3" t="s">
        <v>189</v>
      </c>
      <c r="I514" s="3" t="s">
        <v>190</v>
      </c>
      <c r="J514" s="3" t="s">
        <v>202</v>
      </c>
      <c r="K514" s="3" t="s">
        <v>23</v>
      </c>
      <c r="L514" s="3" t="s">
        <v>203</v>
      </c>
      <c r="M514" s="3" t="s">
        <v>430</v>
      </c>
      <c r="N514" s="3" t="s">
        <v>431</v>
      </c>
      <c r="O514" s="3" t="s">
        <v>197</v>
      </c>
      <c r="P514" s="3" t="s">
        <v>198</v>
      </c>
      <c r="Q514" s="3" t="s">
        <v>39</v>
      </c>
      <c r="R514" s="3" t="s">
        <v>40</v>
      </c>
      <c r="S514" s="7">
        <v>6609.5</v>
      </c>
      <c r="T514" s="7">
        <v>6609.2277999999997</v>
      </c>
      <c r="U514" s="7">
        <v>0.02</v>
      </c>
      <c r="V514" s="7">
        <v>0.2722</v>
      </c>
      <c r="W514" s="3">
        <v>100</v>
      </c>
    </row>
    <row r="515" spans="1:23" x14ac:dyDescent="0.35">
      <c r="A515" s="3" t="s">
        <v>33</v>
      </c>
      <c r="B515" s="3" t="s">
        <v>466</v>
      </c>
      <c r="C515" s="3" t="s">
        <v>199</v>
      </c>
      <c r="D515" s="3" t="s">
        <v>200</v>
      </c>
      <c r="E515" s="3" t="s">
        <v>187</v>
      </c>
      <c r="F515" s="3" t="s">
        <v>189</v>
      </c>
      <c r="G515" s="3" t="s">
        <v>201</v>
      </c>
      <c r="H515" s="3" t="s">
        <v>189</v>
      </c>
      <c r="I515" s="3" t="s">
        <v>190</v>
      </c>
      <c r="J515" s="3" t="s">
        <v>202</v>
      </c>
      <c r="K515" s="3" t="s">
        <v>23</v>
      </c>
      <c r="L515" s="3" t="s">
        <v>203</v>
      </c>
      <c r="M515" s="3" t="s">
        <v>204</v>
      </c>
      <c r="N515" s="3" t="s">
        <v>205</v>
      </c>
      <c r="O515" s="3" t="s">
        <v>197</v>
      </c>
      <c r="P515" s="3" t="s">
        <v>198</v>
      </c>
      <c r="Q515" s="3" t="s">
        <v>39</v>
      </c>
      <c r="R515" s="3" t="s">
        <v>40</v>
      </c>
      <c r="S515" s="7">
        <v>19701.3</v>
      </c>
      <c r="T515" s="7">
        <v>13133.406199999999</v>
      </c>
      <c r="U515" s="7">
        <v>6566.8095000000003</v>
      </c>
      <c r="V515" s="7">
        <v>6567.8937999999998</v>
      </c>
      <c r="W515" s="3">
        <v>67</v>
      </c>
    </row>
    <row r="516" spans="1:23" x14ac:dyDescent="0.35">
      <c r="A516" s="3" t="s">
        <v>33</v>
      </c>
      <c r="B516" s="3" t="s">
        <v>466</v>
      </c>
      <c r="C516" s="3" t="s">
        <v>206</v>
      </c>
      <c r="D516" s="3" t="s">
        <v>200</v>
      </c>
      <c r="E516" s="3" t="s">
        <v>187</v>
      </c>
      <c r="F516" s="3" t="s">
        <v>189</v>
      </c>
      <c r="G516" s="3" t="s">
        <v>201</v>
      </c>
      <c r="H516" s="3" t="s">
        <v>189</v>
      </c>
      <c r="I516" s="3" t="s">
        <v>190</v>
      </c>
      <c r="J516" s="3" t="s">
        <v>202</v>
      </c>
      <c r="K516" s="3" t="s">
        <v>23</v>
      </c>
      <c r="L516" s="3" t="s">
        <v>203</v>
      </c>
      <c r="M516" s="3" t="s">
        <v>207</v>
      </c>
      <c r="N516" s="3" t="s">
        <v>208</v>
      </c>
      <c r="O516" s="3" t="s">
        <v>197</v>
      </c>
      <c r="P516" s="3" t="s">
        <v>198</v>
      </c>
      <c r="Q516" s="3" t="s">
        <v>39</v>
      </c>
      <c r="R516" s="3" t="s">
        <v>40</v>
      </c>
      <c r="S516" s="7">
        <v>98275</v>
      </c>
      <c r="T516" s="7">
        <v>66032.3</v>
      </c>
      <c r="U516" s="7">
        <v>29470.464</v>
      </c>
      <c r="V516" s="7">
        <v>32242.7</v>
      </c>
      <c r="W516" s="3">
        <v>67</v>
      </c>
    </row>
    <row r="517" spans="1:23" x14ac:dyDescent="0.35">
      <c r="A517" s="3" t="s">
        <v>33</v>
      </c>
      <c r="B517" s="3" t="s">
        <v>466</v>
      </c>
      <c r="C517" s="3" t="s">
        <v>209</v>
      </c>
      <c r="D517" s="3" t="s">
        <v>200</v>
      </c>
      <c r="E517" s="3" t="s">
        <v>187</v>
      </c>
      <c r="F517" s="3" t="s">
        <v>189</v>
      </c>
      <c r="G517" s="3" t="s">
        <v>201</v>
      </c>
      <c r="H517" s="3" t="s">
        <v>189</v>
      </c>
      <c r="I517" s="3" t="s">
        <v>190</v>
      </c>
      <c r="J517" s="3" t="s">
        <v>191</v>
      </c>
      <c r="K517" s="3" t="s">
        <v>33</v>
      </c>
      <c r="L517" s="3" t="s">
        <v>34</v>
      </c>
      <c r="M517" s="3" t="s">
        <v>210</v>
      </c>
      <c r="N517" s="3" t="s">
        <v>211</v>
      </c>
      <c r="O517" s="3" t="s">
        <v>108</v>
      </c>
      <c r="P517" s="3" t="s">
        <v>109</v>
      </c>
      <c r="Q517" s="3" t="s">
        <v>39</v>
      </c>
      <c r="R517" s="3" t="s">
        <v>40</v>
      </c>
      <c r="S517" s="7">
        <v>5474469.7000000002</v>
      </c>
      <c r="T517" s="7">
        <v>2094591.1384999999</v>
      </c>
      <c r="U517" s="7">
        <v>468174.73129999998</v>
      </c>
      <c r="V517" s="7">
        <v>3379878.5614999998</v>
      </c>
      <c r="W517" s="3">
        <v>38</v>
      </c>
    </row>
    <row r="518" spans="1:23" x14ac:dyDescent="0.35">
      <c r="A518" s="3" t="s">
        <v>33</v>
      </c>
      <c r="B518" s="3" t="s">
        <v>466</v>
      </c>
      <c r="C518" s="3" t="s">
        <v>212</v>
      </c>
      <c r="D518" s="3" t="s">
        <v>200</v>
      </c>
      <c r="E518" s="3" t="s">
        <v>187</v>
      </c>
      <c r="F518" s="3" t="s">
        <v>189</v>
      </c>
      <c r="G518" s="3" t="s">
        <v>201</v>
      </c>
      <c r="H518" s="3" t="s">
        <v>189</v>
      </c>
      <c r="I518" s="3" t="s">
        <v>190</v>
      </c>
      <c r="J518" s="3" t="s">
        <v>191</v>
      </c>
      <c r="K518" s="3" t="s">
        <v>33</v>
      </c>
      <c r="L518" s="3" t="s">
        <v>34</v>
      </c>
      <c r="M518" s="3" t="s">
        <v>213</v>
      </c>
      <c r="N518" s="3" t="s">
        <v>214</v>
      </c>
      <c r="O518" s="3" t="s">
        <v>108</v>
      </c>
      <c r="P518" s="3" t="s">
        <v>109</v>
      </c>
      <c r="Q518" s="3" t="s">
        <v>39</v>
      </c>
      <c r="R518" s="3" t="s">
        <v>40</v>
      </c>
      <c r="S518" s="7">
        <v>183013.6</v>
      </c>
      <c r="T518" s="7">
        <v>67176.137100000007</v>
      </c>
      <c r="U518" s="7">
        <v>19295.7863</v>
      </c>
      <c r="V518" s="7">
        <v>115837.4629</v>
      </c>
      <c r="W518" s="3">
        <v>37</v>
      </c>
    </row>
    <row r="519" spans="1:23" x14ac:dyDescent="0.35">
      <c r="A519" s="3" t="s">
        <v>33</v>
      </c>
      <c r="B519" s="3" t="s">
        <v>466</v>
      </c>
      <c r="C519" s="3" t="s">
        <v>215</v>
      </c>
      <c r="D519" s="3" t="s">
        <v>200</v>
      </c>
      <c r="E519" s="3" t="s">
        <v>187</v>
      </c>
      <c r="F519" s="3" t="s">
        <v>189</v>
      </c>
      <c r="G519" s="3" t="s">
        <v>201</v>
      </c>
      <c r="H519" s="3" t="s">
        <v>189</v>
      </c>
      <c r="I519" s="3" t="s">
        <v>190</v>
      </c>
      <c r="J519" s="3" t="s">
        <v>191</v>
      </c>
      <c r="K519" s="3" t="s">
        <v>33</v>
      </c>
      <c r="L519" s="3" t="s">
        <v>34</v>
      </c>
      <c r="M519" s="3" t="s">
        <v>216</v>
      </c>
      <c r="N519" s="3" t="s">
        <v>217</v>
      </c>
      <c r="O519" s="3" t="s">
        <v>108</v>
      </c>
      <c r="P519" s="3" t="s">
        <v>109</v>
      </c>
      <c r="Q519" s="3" t="s">
        <v>39</v>
      </c>
      <c r="R519" s="3" t="s">
        <v>40</v>
      </c>
      <c r="S519" s="7">
        <v>88494.399999999994</v>
      </c>
      <c r="T519" s="7">
        <v>36851.493199999997</v>
      </c>
      <c r="U519" s="7">
        <v>8670.2466999999997</v>
      </c>
      <c r="V519" s="7">
        <v>51642.906799999997</v>
      </c>
      <c r="W519" s="3">
        <v>42</v>
      </c>
    </row>
    <row r="520" spans="1:23" x14ac:dyDescent="0.35">
      <c r="A520" s="3" t="s">
        <v>33</v>
      </c>
      <c r="B520" s="3" t="s">
        <v>466</v>
      </c>
      <c r="C520" s="3" t="s">
        <v>476</v>
      </c>
      <c r="D520" s="3" t="s">
        <v>200</v>
      </c>
      <c r="E520" s="3" t="s">
        <v>187</v>
      </c>
      <c r="F520" s="3" t="s">
        <v>189</v>
      </c>
      <c r="G520" s="3" t="s">
        <v>201</v>
      </c>
      <c r="H520" s="3" t="s">
        <v>189</v>
      </c>
      <c r="I520" s="3" t="s">
        <v>190</v>
      </c>
      <c r="J520" s="3" t="s">
        <v>191</v>
      </c>
      <c r="K520" s="3" t="s">
        <v>33</v>
      </c>
      <c r="L520" s="3" t="s">
        <v>34</v>
      </c>
      <c r="M520" s="3" t="s">
        <v>219</v>
      </c>
      <c r="N520" s="3" t="s">
        <v>220</v>
      </c>
      <c r="O520" s="3" t="s">
        <v>477</v>
      </c>
      <c r="P520" s="3" t="s">
        <v>478</v>
      </c>
      <c r="Q520" s="3" t="s">
        <v>39</v>
      </c>
      <c r="R520" s="3" t="s">
        <v>40</v>
      </c>
      <c r="S520" s="7">
        <v>1102.9000000000001</v>
      </c>
      <c r="T520" s="7">
        <v>0</v>
      </c>
      <c r="U520" s="7">
        <v>0</v>
      </c>
      <c r="V520" s="7">
        <v>1102.9000000000001</v>
      </c>
      <c r="W520" s="3">
        <v>0</v>
      </c>
    </row>
    <row r="521" spans="1:23" x14ac:dyDescent="0.35">
      <c r="A521" s="3" t="s">
        <v>33</v>
      </c>
      <c r="B521" s="3" t="s">
        <v>466</v>
      </c>
      <c r="C521" s="3" t="s">
        <v>223</v>
      </c>
      <c r="D521" s="3" t="s">
        <v>200</v>
      </c>
      <c r="E521" s="3" t="s">
        <v>187</v>
      </c>
      <c r="F521" s="3" t="s">
        <v>189</v>
      </c>
      <c r="G521" s="3" t="s">
        <v>201</v>
      </c>
      <c r="H521" s="3" t="s">
        <v>189</v>
      </c>
      <c r="I521" s="3" t="s">
        <v>190</v>
      </c>
      <c r="J521" s="3" t="s">
        <v>191</v>
      </c>
      <c r="K521" s="3" t="s">
        <v>33</v>
      </c>
      <c r="L521" s="3" t="s">
        <v>34</v>
      </c>
      <c r="M521" s="3" t="s">
        <v>224</v>
      </c>
      <c r="N521" s="3" t="s">
        <v>225</v>
      </c>
      <c r="O521" s="3" t="s">
        <v>197</v>
      </c>
      <c r="P521" s="3" t="s">
        <v>198</v>
      </c>
      <c r="Q521" s="3" t="s">
        <v>39</v>
      </c>
      <c r="R521" s="3" t="s">
        <v>40</v>
      </c>
      <c r="S521" s="7">
        <v>123977.4</v>
      </c>
      <c r="T521" s="7">
        <v>61448.475400000003</v>
      </c>
      <c r="U521" s="7">
        <v>36059.110099999998</v>
      </c>
      <c r="V521" s="7">
        <v>62528.924599999998</v>
      </c>
      <c r="W521" s="3">
        <v>50</v>
      </c>
    </row>
    <row r="522" spans="1:23" x14ac:dyDescent="0.35">
      <c r="A522" s="3" t="s">
        <v>33</v>
      </c>
      <c r="B522" s="3" t="s">
        <v>466</v>
      </c>
      <c r="C522" s="3" t="s">
        <v>432</v>
      </c>
      <c r="D522" s="3" t="s">
        <v>200</v>
      </c>
      <c r="E522" s="3" t="s">
        <v>187</v>
      </c>
      <c r="F522" s="3" t="s">
        <v>189</v>
      </c>
      <c r="G522" s="3" t="s">
        <v>201</v>
      </c>
      <c r="H522" s="3" t="s">
        <v>189</v>
      </c>
      <c r="I522" s="3" t="s">
        <v>190</v>
      </c>
      <c r="J522" s="3" t="s">
        <v>191</v>
      </c>
      <c r="K522" s="3" t="s">
        <v>33</v>
      </c>
      <c r="L522" s="3" t="s">
        <v>34</v>
      </c>
      <c r="M522" s="3" t="s">
        <v>427</v>
      </c>
      <c r="N522" s="3" t="s">
        <v>428</v>
      </c>
      <c r="O522" s="3" t="s">
        <v>197</v>
      </c>
      <c r="P522" s="3" t="s">
        <v>198</v>
      </c>
      <c r="Q522" s="3" t="s">
        <v>39</v>
      </c>
      <c r="R522" s="3" t="s">
        <v>40</v>
      </c>
      <c r="S522" s="7">
        <v>23605.9</v>
      </c>
      <c r="T522" s="7">
        <v>7265.1641</v>
      </c>
      <c r="U522" s="7">
        <v>4097.5522000000001</v>
      </c>
      <c r="V522" s="7">
        <v>16340.7359</v>
      </c>
      <c r="W522" s="3">
        <v>31</v>
      </c>
    </row>
    <row r="523" spans="1:23" x14ac:dyDescent="0.35">
      <c r="A523" s="3" t="s">
        <v>33</v>
      </c>
      <c r="B523" s="3" t="s">
        <v>466</v>
      </c>
      <c r="C523" s="3" t="s">
        <v>226</v>
      </c>
      <c r="D523" s="3" t="s">
        <v>200</v>
      </c>
      <c r="E523" s="3" t="s">
        <v>187</v>
      </c>
      <c r="F523" s="3" t="s">
        <v>189</v>
      </c>
      <c r="G523" s="3" t="s">
        <v>201</v>
      </c>
      <c r="H523" s="3" t="s">
        <v>189</v>
      </c>
      <c r="I523" s="3" t="s">
        <v>190</v>
      </c>
      <c r="J523" s="3" t="s">
        <v>191</v>
      </c>
      <c r="K523" s="3" t="s">
        <v>33</v>
      </c>
      <c r="L523" s="3" t="s">
        <v>34</v>
      </c>
      <c r="M523" s="3" t="s">
        <v>227</v>
      </c>
      <c r="N523" s="3" t="s">
        <v>228</v>
      </c>
      <c r="O523" s="3" t="s">
        <v>197</v>
      </c>
      <c r="P523" s="3" t="s">
        <v>198</v>
      </c>
      <c r="Q523" s="3" t="s">
        <v>39</v>
      </c>
      <c r="R523" s="3" t="s">
        <v>40</v>
      </c>
      <c r="S523" s="7">
        <v>115733.1</v>
      </c>
      <c r="T523" s="7">
        <v>526.04999999999995</v>
      </c>
      <c r="U523" s="7">
        <v>0</v>
      </c>
      <c r="V523" s="7">
        <v>115207.05</v>
      </c>
      <c r="W523" s="3">
        <v>0</v>
      </c>
    </row>
    <row r="524" spans="1:23" x14ac:dyDescent="0.35">
      <c r="A524" s="3" t="s">
        <v>33</v>
      </c>
      <c r="B524" s="3" t="s">
        <v>466</v>
      </c>
      <c r="C524" s="3" t="s">
        <v>229</v>
      </c>
      <c r="D524" s="3" t="s">
        <v>200</v>
      </c>
      <c r="E524" s="3" t="s">
        <v>187</v>
      </c>
      <c r="F524" s="3" t="s">
        <v>189</v>
      </c>
      <c r="G524" s="3" t="s">
        <v>201</v>
      </c>
      <c r="H524" s="3" t="s">
        <v>189</v>
      </c>
      <c r="I524" s="3" t="s">
        <v>190</v>
      </c>
      <c r="J524" s="3" t="s">
        <v>191</v>
      </c>
      <c r="K524" s="3" t="s">
        <v>33</v>
      </c>
      <c r="L524" s="3" t="s">
        <v>34</v>
      </c>
      <c r="M524" s="3" t="s">
        <v>195</v>
      </c>
      <c r="N524" s="3" t="s">
        <v>196</v>
      </c>
      <c r="O524" s="3" t="s">
        <v>197</v>
      </c>
      <c r="P524" s="3" t="s">
        <v>198</v>
      </c>
      <c r="Q524" s="3" t="s">
        <v>39</v>
      </c>
      <c r="R524" s="3" t="s">
        <v>40</v>
      </c>
      <c r="S524" s="7">
        <v>29599.599999999999</v>
      </c>
      <c r="T524" s="7">
        <v>3886.4928</v>
      </c>
      <c r="U524" s="7">
        <v>3500.7869000000001</v>
      </c>
      <c r="V524" s="7">
        <v>25713.107199999999</v>
      </c>
      <c r="W524" s="3">
        <v>13</v>
      </c>
    </row>
    <row r="525" spans="1:23" x14ac:dyDescent="0.35">
      <c r="A525" s="3" t="s">
        <v>33</v>
      </c>
      <c r="B525" s="3" t="s">
        <v>466</v>
      </c>
      <c r="C525" s="3" t="s">
        <v>433</v>
      </c>
      <c r="D525" s="3" t="s">
        <v>200</v>
      </c>
      <c r="E525" s="3" t="s">
        <v>187</v>
      </c>
      <c r="F525" s="3" t="s">
        <v>189</v>
      </c>
      <c r="G525" s="3" t="s">
        <v>201</v>
      </c>
      <c r="H525" s="3" t="s">
        <v>189</v>
      </c>
      <c r="I525" s="3" t="s">
        <v>190</v>
      </c>
      <c r="J525" s="3" t="s">
        <v>191</v>
      </c>
      <c r="K525" s="3" t="s">
        <v>33</v>
      </c>
      <c r="L525" s="3" t="s">
        <v>34</v>
      </c>
      <c r="M525" s="3" t="s">
        <v>434</v>
      </c>
      <c r="N525" s="3" t="s">
        <v>435</v>
      </c>
      <c r="O525" s="3" t="s">
        <v>197</v>
      </c>
      <c r="P525" s="3" t="s">
        <v>198</v>
      </c>
      <c r="Q525" s="3" t="s">
        <v>39</v>
      </c>
      <c r="R525" s="3" t="s">
        <v>40</v>
      </c>
      <c r="S525" s="7">
        <v>14900</v>
      </c>
      <c r="T525" s="7">
        <v>1221.2822000000001</v>
      </c>
      <c r="U525" s="7">
        <v>1221.2822000000001</v>
      </c>
      <c r="V525" s="7">
        <v>13678.7178</v>
      </c>
      <c r="W525" s="3">
        <v>8</v>
      </c>
    </row>
    <row r="526" spans="1:23" x14ac:dyDescent="0.35">
      <c r="A526" s="3" t="s">
        <v>33</v>
      </c>
      <c r="B526" s="3" t="s">
        <v>466</v>
      </c>
      <c r="C526" s="3" t="s">
        <v>230</v>
      </c>
      <c r="D526" s="3" t="s">
        <v>200</v>
      </c>
      <c r="E526" s="3" t="s">
        <v>187</v>
      </c>
      <c r="F526" s="3" t="s">
        <v>189</v>
      </c>
      <c r="G526" s="3" t="s">
        <v>201</v>
      </c>
      <c r="H526" s="3" t="s">
        <v>28</v>
      </c>
      <c r="I526" s="3" t="s">
        <v>231</v>
      </c>
      <c r="J526" s="3" t="s">
        <v>232</v>
      </c>
      <c r="K526" s="3" t="s">
        <v>33</v>
      </c>
      <c r="L526" s="3" t="s">
        <v>51</v>
      </c>
      <c r="M526" s="3" t="s">
        <v>233</v>
      </c>
      <c r="N526" s="3" t="s">
        <v>234</v>
      </c>
      <c r="O526" s="3" t="s">
        <v>197</v>
      </c>
      <c r="P526" s="3" t="s">
        <v>198</v>
      </c>
      <c r="Q526" s="3" t="s">
        <v>39</v>
      </c>
      <c r="R526" s="3" t="s">
        <v>40</v>
      </c>
      <c r="S526" s="7">
        <v>340444.3</v>
      </c>
      <c r="T526" s="7">
        <v>142992.71040000001</v>
      </c>
      <c r="U526" s="7">
        <v>38383.0337</v>
      </c>
      <c r="V526" s="7">
        <v>197451.58960000001</v>
      </c>
      <c r="W526" s="3">
        <v>42</v>
      </c>
    </row>
    <row r="527" spans="1:23" x14ac:dyDescent="0.35">
      <c r="A527" s="3" t="s">
        <v>33</v>
      </c>
      <c r="B527" s="3" t="s">
        <v>466</v>
      </c>
      <c r="C527" s="3" t="s">
        <v>235</v>
      </c>
      <c r="D527" s="3" t="s">
        <v>200</v>
      </c>
      <c r="E527" s="3" t="s">
        <v>187</v>
      </c>
      <c r="F527" s="3" t="s">
        <v>189</v>
      </c>
      <c r="G527" s="3" t="s">
        <v>201</v>
      </c>
      <c r="H527" s="3" t="s">
        <v>28</v>
      </c>
      <c r="I527" s="3" t="s">
        <v>231</v>
      </c>
      <c r="J527" s="3" t="s">
        <v>232</v>
      </c>
      <c r="K527" s="3" t="s">
        <v>33</v>
      </c>
      <c r="L527" s="3" t="s">
        <v>51</v>
      </c>
      <c r="M527" s="3" t="s">
        <v>236</v>
      </c>
      <c r="N527" s="3" t="s">
        <v>237</v>
      </c>
      <c r="O527" s="3" t="s">
        <v>197</v>
      </c>
      <c r="P527" s="3" t="s">
        <v>198</v>
      </c>
      <c r="Q527" s="3" t="s">
        <v>39</v>
      </c>
      <c r="R527" s="3" t="s">
        <v>40</v>
      </c>
      <c r="S527" s="7">
        <v>188979.20000000001</v>
      </c>
      <c r="T527" s="7">
        <v>114564.7626</v>
      </c>
      <c r="U527" s="7">
        <v>27027.027300000002</v>
      </c>
      <c r="V527" s="7">
        <v>74414.437399999995</v>
      </c>
      <c r="W527" s="3">
        <v>61</v>
      </c>
    </row>
    <row r="528" spans="1:23" x14ac:dyDescent="0.35">
      <c r="A528" s="3" t="s">
        <v>33</v>
      </c>
      <c r="B528" s="3" t="s">
        <v>466</v>
      </c>
      <c r="C528" s="3" t="s">
        <v>238</v>
      </c>
      <c r="D528" s="3" t="s">
        <v>239</v>
      </c>
      <c r="E528" s="3" t="s">
        <v>187</v>
      </c>
      <c r="F528" s="3" t="s">
        <v>28</v>
      </c>
      <c r="G528" s="3" t="s">
        <v>240</v>
      </c>
      <c r="H528" s="3" t="s">
        <v>189</v>
      </c>
      <c r="I528" s="3" t="s">
        <v>190</v>
      </c>
      <c r="J528" s="3" t="s">
        <v>191</v>
      </c>
      <c r="K528" s="3" t="s">
        <v>33</v>
      </c>
      <c r="L528" s="3" t="s">
        <v>34</v>
      </c>
      <c r="M528" s="3" t="s">
        <v>241</v>
      </c>
      <c r="N528" s="3" t="s">
        <v>242</v>
      </c>
      <c r="O528" s="3" t="s">
        <v>108</v>
      </c>
      <c r="P528" s="3" t="s">
        <v>109</v>
      </c>
      <c r="Q528" s="3" t="s">
        <v>39</v>
      </c>
      <c r="R528" s="3" t="s">
        <v>40</v>
      </c>
      <c r="S528" s="7">
        <v>300340.90000000002</v>
      </c>
      <c r="T528" s="7">
        <v>103858.36229999999</v>
      </c>
      <c r="U528" s="7">
        <v>21240.540700000001</v>
      </c>
      <c r="V528" s="7">
        <v>196482.53769999999</v>
      </c>
      <c r="W528" s="3">
        <v>35</v>
      </c>
    </row>
    <row r="529" spans="1:23" x14ac:dyDescent="0.35">
      <c r="A529" s="3" t="s">
        <v>33</v>
      </c>
      <c r="B529" s="3" t="s">
        <v>466</v>
      </c>
      <c r="C529" s="3" t="s">
        <v>243</v>
      </c>
      <c r="D529" s="3" t="s">
        <v>244</v>
      </c>
      <c r="E529" s="3" t="s">
        <v>187</v>
      </c>
      <c r="F529" s="3" t="s">
        <v>245</v>
      </c>
      <c r="G529" s="3" t="s">
        <v>246</v>
      </c>
      <c r="H529" s="3" t="s">
        <v>66</v>
      </c>
      <c r="I529" s="3" t="s">
        <v>67</v>
      </c>
      <c r="J529" s="3" t="s">
        <v>68</v>
      </c>
      <c r="K529" s="3" t="s">
        <v>33</v>
      </c>
      <c r="L529" s="3" t="s">
        <v>51</v>
      </c>
      <c r="M529" s="3" t="s">
        <v>247</v>
      </c>
      <c r="N529" s="3" t="s">
        <v>248</v>
      </c>
      <c r="O529" s="3" t="s">
        <v>108</v>
      </c>
      <c r="P529" s="3" t="s">
        <v>109</v>
      </c>
      <c r="Q529" s="3" t="s">
        <v>39</v>
      </c>
      <c r="R529" s="3" t="s">
        <v>40</v>
      </c>
      <c r="S529" s="7">
        <v>241260.4</v>
      </c>
      <c r="T529" s="7">
        <v>59405.8776</v>
      </c>
      <c r="U529" s="7">
        <v>17357.537700000001</v>
      </c>
      <c r="V529" s="7">
        <v>181854.52239999999</v>
      </c>
      <c r="W529" s="3">
        <v>25</v>
      </c>
    </row>
    <row r="530" spans="1:23" x14ac:dyDescent="0.35">
      <c r="A530" s="3" t="s">
        <v>33</v>
      </c>
      <c r="B530" s="3" t="s">
        <v>466</v>
      </c>
      <c r="C530" s="3" t="s">
        <v>249</v>
      </c>
      <c r="D530" s="3" t="s">
        <v>244</v>
      </c>
      <c r="E530" s="3" t="s">
        <v>187</v>
      </c>
      <c r="F530" s="3" t="s">
        <v>245</v>
      </c>
      <c r="G530" s="3" t="s">
        <v>246</v>
      </c>
      <c r="H530" s="3" t="s">
        <v>66</v>
      </c>
      <c r="I530" s="3" t="s">
        <v>67</v>
      </c>
      <c r="J530" s="3" t="s">
        <v>68</v>
      </c>
      <c r="K530" s="3" t="s">
        <v>33</v>
      </c>
      <c r="L530" s="3" t="s">
        <v>51</v>
      </c>
      <c r="M530" s="3" t="s">
        <v>250</v>
      </c>
      <c r="N530" s="3" t="s">
        <v>251</v>
      </c>
      <c r="O530" s="3" t="s">
        <v>197</v>
      </c>
      <c r="P530" s="3" t="s">
        <v>198</v>
      </c>
      <c r="Q530" s="3" t="s">
        <v>39</v>
      </c>
      <c r="R530" s="3" t="s">
        <v>40</v>
      </c>
      <c r="S530" s="7">
        <v>82757.8</v>
      </c>
      <c r="T530" s="7">
        <v>0</v>
      </c>
      <c r="U530" s="7">
        <v>0</v>
      </c>
      <c r="V530" s="7">
        <v>82757.8</v>
      </c>
      <c r="W530" s="3">
        <v>0</v>
      </c>
    </row>
    <row r="531" spans="1:23" x14ac:dyDescent="0.35">
      <c r="A531" s="3" t="s">
        <v>33</v>
      </c>
      <c r="B531" s="3" t="s">
        <v>466</v>
      </c>
      <c r="C531" s="3" t="s">
        <v>252</v>
      </c>
      <c r="D531" s="3" t="s">
        <v>244</v>
      </c>
      <c r="E531" s="3" t="s">
        <v>187</v>
      </c>
      <c r="F531" s="3" t="s">
        <v>245</v>
      </c>
      <c r="G531" s="3" t="s">
        <v>246</v>
      </c>
      <c r="H531" s="3" t="s">
        <v>66</v>
      </c>
      <c r="I531" s="3" t="s">
        <v>67</v>
      </c>
      <c r="J531" s="3" t="s">
        <v>68</v>
      </c>
      <c r="K531" s="3" t="s">
        <v>33</v>
      </c>
      <c r="L531" s="3" t="s">
        <v>51</v>
      </c>
      <c r="M531" s="3" t="s">
        <v>253</v>
      </c>
      <c r="N531" s="3" t="s">
        <v>254</v>
      </c>
      <c r="O531" s="3" t="s">
        <v>197</v>
      </c>
      <c r="P531" s="3" t="s">
        <v>198</v>
      </c>
      <c r="Q531" s="3" t="s">
        <v>39</v>
      </c>
      <c r="R531" s="3" t="s">
        <v>40</v>
      </c>
      <c r="S531" s="7">
        <v>1724.3</v>
      </c>
      <c r="T531" s="7">
        <v>0</v>
      </c>
      <c r="U531" s="7">
        <v>0</v>
      </c>
      <c r="V531" s="7">
        <v>1724.3</v>
      </c>
      <c r="W531" s="3">
        <v>0</v>
      </c>
    </row>
    <row r="532" spans="1:23" x14ac:dyDescent="0.35">
      <c r="A532" s="3" t="s">
        <v>33</v>
      </c>
      <c r="B532" s="3" t="s">
        <v>466</v>
      </c>
      <c r="C532" s="3" t="s">
        <v>255</v>
      </c>
      <c r="D532" s="3" t="s">
        <v>244</v>
      </c>
      <c r="E532" s="3" t="s">
        <v>187</v>
      </c>
      <c r="F532" s="3" t="s">
        <v>245</v>
      </c>
      <c r="G532" s="3" t="s">
        <v>246</v>
      </c>
      <c r="H532" s="3" t="s">
        <v>66</v>
      </c>
      <c r="I532" s="3" t="s">
        <v>67</v>
      </c>
      <c r="J532" s="3" t="s">
        <v>68</v>
      </c>
      <c r="K532" s="3" t="s">
        <v>33</v>
      </c>
      <c r="L532" s="3" t="s">
        <v>51</v>
      </c>
      <c r="M532" s="3" t="s">
        <v>256</v>
      </c>
      <c r="N532" s="3" t="s">
        <v>257</v>
      </c>
      <c r="O532" s="3" t="s">
        <v>197</v>
      </c>
      <c r="P532" s="3" t="s">
        <v>198</v>
      </c>
      <c r="Q532" s="3" t="s">
        <v>39</v>
      </c>
      <c r="R532" s="3" t="s">
        <v>40</v>
      </c>
      <c r="S532" s="7">
        <v>23957.3</v>
      </c>
      <c r="T532" s="7">
        <v>1656.4585999999999</v>
      </c>
      <c r="U532" s="7">
        <v>1656.4585999999999</v>
      </c>
      <c r="V532" s="7">
        <v>22300.841400000001</v>
      </c>
      <c r="W532" s="3">
        <v>7</v>
      </c>
    </row>
    <row r="533" spans="1:23" x14ac:dyDescent="0.35">
      <c r="A533" s="3" t="s">
        <v>33</v>
      </c>
      <c r="B533" s="3" t="s">
        <v>466</v>
      </c>
      <c r="C533" s="3" t="s">
        <v>258</v>
      </c>
      <c r="D533" s="3" t="s">
        <v>259</v>
      </c>
      <c r="E533" s="3" t="s">
        <v>187</v>
      </c>
      <c r="F533" s="3" t="s">
        <v>116</v>
      </c>
      <c r="G533" s="3" t="s">
        <v>260</v>
      </c>
      <c r="H533" s="3" t="s">
        <v>189</v>
      </c>
      <c r="I533" s="3" t="s">
        <v>190</v>
      </c>
      <c r="J533" s="3" t="s">
        <v>202</v>
      </c>
      <c r="K533" s="3" t="s">
        <v>23</v>
      </c>
      <c r="L533" s="3" t="s">
        <v>203</v>
      </c>
      <c r="M533" s="3" t="s">
        <v>261</v>
      </c>
      <c r="N533" s="3" t="s">
        <v>262</v>
      </c>
      <c r="O533" s="3" t="s">
        <v>197</v>
      </c>
      <c r="P533" s="3" t="s">
        <v>198</v>
      </c>
      <c r="Q533" s="3" t="s">
        <v>39</v>
      </c>
      <c r="R533" s="3" t="s">
        <v>40</v>
      </c>
      <c r="S533" s="7">
        <v>3437.3</v>
      </c>
      <c r="T533" s="7">
        <v>2291.2800000000002</v>
      </c>
      <c r="U533" s="7">
        <v>1145.5999999999999</v>
      </c>
      <c r="V533" s="7">
        <v>1146.02</v>
      </c>
      <c r="W533" s="3">
        <v>67</v>
      </c>
    </row>
    <row r="534" spans="1:23" x14ac:dyDescent="0.35">
      <c r="A534" s="3" t="s">
        <v>33</v>
      </c>
      <c r="B534" s="3" t="s">
        <v>466</v>
      </c>
      <c r="C534" s="3" t="s">
        <v>263</v>
      </c>
      <c r="D534" s="3" t="s">
        <v>259</v>
      </c>
      <c r="E534" s="3" t="s">
        <v>187</v>
      </c>
      <c r="F534" s="3" t="s">
        <v>116</v>
      </c>
      <c r="G534" s="3" t="s">
        <v>260</v>
      </c>
      <c r="H534" s="3" t="s">
        <v>189</v>
      </c>
      <c r="I534" s="3" t="s">
        <v>190</v>
      </c>
      <c r="J534" s="3" t="s">
        <v>191</v>
      </c>
      <c r="K534" s="3" t="s">
        <v>33</v>
      </c>
      <c r="L534" s="3" t="s">
        <v>34</v>
      </c>
      <c r="M534" s="3" t="s">
        <v>264</v>
      </c>
      <c r="N534" s="3" t="s">
        <v>265</v>
      </c>
      <c r="O534" s="3" t="s">
        <v>197</v>
      </c>
      <c r="P534" s="3" t="s">
        <v>198</v>
      </c>
      <c r="Q534" s="3" t="s">
        <v>39</v>
      </c>
      <c r="R534" s="3" t="s">
        <v>40</v>
      </c>
      <c r="S534" s="7">
        <v>1718.3</v>
      </c>
      <c r="T534" s="7">
        <v>1718.3</v>
      </c>
      <c r="U534" s="7">
        <v>0</v>
      </c>
      <c r="V534" s="7">
        <v>0</v>
      </c>
      <c r="W534" s="3">
        <v>100</v>
      </c>
    </row>
    <row r="535" spans="1:23" x14ac:dyDescent="0.35">
      <c r="A535" s="3" t="s">
        <v>33</v>
      </c>
      <c r="B535" s="3" t="s">
        <v>466</v>
      </c>
      <c r="C535" s="3" t="s">
        <v>266</v>
      </c>
      <c r="D535" s="3" t="s">
        <v>259</v>
      </c>
      <c r="E535" s="3" t="s">
        <v>187</v>
      </c>
      <c r="F535" s="3" t="s">
        <v>116</v>
      </c>
      <c r="G535" s="3" t="s">
        <v>260</v>
      </c>
      <c r="H535" s="3" t="s">
        <v>189</v>
      </c>
      <c r="I535" s="3" t="s">
        <v>190</v>
      </c>
      <c r="J535" s="3" t="s">
        <v>191</v>
      </c>
      <c r="K535" s="3" t="s">
        <v>33</v>
      </c>
      <c r="L535" s="3" t="s">
        <v>34</v>
      </c>
      <c r="M535" s="3" t="s">
        <v>267</v>
      </c>
      <c r="N535" s="3" t="s">
        <v>268</v>
      </c>
      <c r="O535" s="3" t="s">
        <v>37</v>
      </c>
      <c r="P535" s="3" t="s">
        <v>38</v>
      </c>
      <c r="Q535" s="3" t="s">
        <v>39</v>
      </c>
      <c r="R535" s="3" t="s">
        <v>40</v>
      </c>
      <c r="S535" s="7">
        <v>95084.9</v>
      </c>
      <c r="T535" s="7">
        <v>2447.6</v>
      </c>
      <c r="U535" s="7">
        <v>0</v>
      </c>
      <c r="V535" s="7">
        <v>92637.3</v>
      </c>
      <c r="W535" s="3">
        <v>3</v>
      </c>
    </row>
    <row r="536" spans="1:23" x14ac:dyDescent="0.35">
      <c r="A536" s="3" t="s">
        <v>33</v>
      </c>
      <c r="B536" s="3" t="s">
        <v>466</v>
      </c>
      <c r="C536" s="3" t="s">
        <v>269</v>
      </c>
      <c r="D536" s="3" t="s">
        <v>259</v>
      </c>
      <c r="E536" s="3" t="s">
        <v>187</v>
      </c>
      <c r="F536" s="3" t="s">
        <v>116</v>
      </c>
      <c r="G536" s="3" t="s">
        <v>260</v>
      </c>
      <c r="H536" s="3" t="s">
        <v>189</v>
      </c>
      <c r="I536" s="3" t="s">
        <v>190</v>
      </c>
      <c r="J536" s="3" t="s">
        <v>191</v>
      </c>
      <c r="K536" s="3" t="s">
        <v>33</v>
      </c>
      <c r="L536" s="3" t="s">
        <v>34</v>
      </c>
      <c r="M536" s="3" t="s">
        <v>267</v>
      </c>
      <c r="N536" s="3" t="s">
        <v>268</v>
      </c>
      <c r="O536" s="3" t="s">
        <v>197</v>
      </c>
      <c r="P536" s="3" t="s">
        <v>198</v>
      </c>
      <c r="Q536" s="3" t="s">
        <v>39</v>
      </c>
      <c r="R536" s="3" t="s">
        <v>40</v>
      </c>
      <c r="S536" s="7">
        <v>14782.4</v>
      </c>
      <c r="T536" s="7">
        <v>502.04410000000001</v>
      </c>
      <c r="U536" s="7">
        <v>260.79000000000002</v>
      </c>
      <c r="V536" s="7">
        <v>14280.3559</v>
      </c>
      <c r="W536" s="3">
        <v>3</v>
      </c>
    </row>
    <row r="537" spans="1:23" x14ac:dyDescent="0.35">
      <c r="A537" s="3" t="s">
        <v>33</v>
      </c>
      <c r="B537" s="3" t="s">
        <v>466</v>
      </c>
      <c r="C537" s="3" t="s">
        <v>270</v>
      </c>
      <c r="D537" s="3" t="s">
        <v>259</v>
      </c>
      <c r="E537" s="3" t="s">
        <v>187</v>
      </c>
      <c r="F537" s="3" t="s">
        <v>116</v>
      </c>
      <c r="G537" s="3" t="s">
        <v>260</v>
      </c>
      <c r="H537" s="3" t="s">
        <v>189</v>
      </c>
      <c r="I537" s="3" t="s">
        <v>190</v>
      </c>
      <c r="J537" s="3" t="s">
        <v>191</v>
      </c>
      <c r="K537" s="3" t="s">
        <v>33</v>
      </c>
      <c r="L537" s="3" t="s">
        <v>34</v>
      </c>
      <c r="M537" s="3" t="s">
        <v>271</v>
      </c>
      <c r="N537" s="3" t="s">
        <v>272</v>
      </c>
      <c r="O537" s="3" t="s">
        <v>108</v>
      </c>
      <c r="P537" s="3" t="s">
        <v>109</v>
      </c>
      <c r="Q537" s="3" t="s">
        <v>39</v>
      </c>
      <c r="R537" s="3" t="s">
        <v>40</v>
      </c>
      <c r="S537" s="7">
        <v>46883.7</v>
      </c>
      <c r="T537" s="7">
        <v>21666.784599999999</v>
      </c>
      <c r="U537" s="7">
        <v>5234.1531000000004</v>
      </c>
      <c r="V537" s="7">
        <v>25216.915400000002</v>
      </c>
      <c r="W537" s="3">
        <v>46</v>
      </c>
    </row>
    <row r="538" spans="1:23" x14ac:dyDescent="0.35">
      <c r="A538" s="3" t="s">
        <v>33</v>
      </c>
      <c r="B538" s="3" t="s">
        <v>466</v>
      </c>
      <c r="C538" s="3" t="s">
        <v>273</v>
      </c>
      <c r="D538" s="3" t="s">
        <v>259</v>
      </c>
      <c r="E538" s="3" t="s">
        <v>187</v>
      </c>
      <c r="F538" s="3" t="s">
        <v>116</v>
      </c>
      <c r="G538" s="3" t="s">
        <v>260</v>
      </c>
      <c r="H538" s="3" t="s">
        <v>189</v>
      </c>
      <c r="I538" s="3" t="s">
        <v>190</v>
      </c>
      <c r="J538" s="3" t="s">
        <v>191</v>
      </c>
      <c r="K538" s="3" t="s">
        <v>33</v>
      </c>
      <c r="L538" s="3" t="s">
        <v>34</v>
      </c>
      <c r="M538" s="3" t="s">
        <v>274</v>
      </c>
      <c r="N538" s="3" t="s">
        <v>275</v>
      </c>
      <c r="O538" s="3" t="s">
        <v>108</v>
      </c>
      <c r="P538" s="3" t="s">
        <v>109</v>
      </c>
      <c r="Q538" s="3" t="s">
        <v>39</v>
      </c>
      <c r="R538" s="3" t="s">
        <v>40</v>
      </c>
      <c r="S538" s="7">
        <v>66303.8</v>
      </c>
      <c r="T538" s="7">
        <v>27412.064200000001</v>
      </c>
      <c r="U538" s="7">
        <v>6391.9438</v>
      </c>
      <c r="V538" s="7">
        <v>38891.735800000002</v>
      </c>
      <c r="W538" s="3">
        <v>41</v>
      </c>
    </row>
    <row r="539" spans="1:23" x14ac:dyDescent="0.35">
      <c r="A539" s="3" t="s">
        <v>33</v>
      </c>
      <c r="B539" s="3" t="s">
        <v>466</v>
      </c>
      <c r="C539" s="3" t="s">
        <v>460</v>
      </c>
      <c r="D539" s="3" t="s">
        <v>259</v>
      </c>
      <c r="E539" s="3" t="s">
        <v>187</v>
      </c>
      <c r="F539" s="3" t="s">
        <v>116</v>
      </c>
      <c r="G539" s="3" t="s">
        <v>260</v>
      </c>
      <c r="H539" s="3" t="s">
        <v>189</v>
      </c>
      <c r="I539" s="3" t="s">
        <v>190</v>
      </c>
      <c r="J539" s="3" t="s">
        <v>191</v>
      </c>
      <c r="K539" s="3" t="s">
        <v>33</v>
      </c>
      <c r="L539" s="3" t="s">
        <v>34</v>
      </c>
      <c r="M539" s="3" t="s">
        <v>461</v>
      </c>
      <c r="N539" s="3" t="s">
        <v>462</v>
      </c>
      <c r="O539" s="3" t="s">
        <v>197</v>
      </c>
      <c r="P539" s="3" t="s">
        <v>198</v>
      </c>
      <c r="Q539" s="3" t="s">
        <v>39</v>
      </c>
      <c r="R539" s="3" t="s">
        <v>40</v>
      </c>
      <c r="S539" s="7">
        <v>21095.5</v>
      </c>
      <c r="T539" s="7">
        <v>0</v>
      </c>
      <c r="U539" s="7">
        <v>0</v>
      </c>
      <c r="V539" s="7">
        <v>21095.5</v>
      </c>
      <c r="W539" s="3">
        <v>0</v>
      </c>
    </row>
    <row r="540" spans="1:23" x14ac:dyDescent="0.35">
      <c r="A540" s="3" t="s">
        <v>33</v>
      </c>
      <c r="B540" s="3" t="s">
        <v>466</v>
      </c>
      <c r="C540" s="3" t="s">
        <v>276</v>
      </c>
      <c r="D540" s="3" t="s">
        <v>259</v>
      </c>
      <c r="E540" s="3" t="s">
        <v>187</v>
      </c>
      <c r="F540" s="3" t="s">
        <v>116</v>
      </c>
      <c r="G540" s="3" t="s">
        <v>260</v>
      </c>
      <c r="H540" s="3" t="s">
        <v>189</v>
      </c>
      <c r="I540" s="3" t="s">
        <v>190</v>
      </c>
      <c r="J540" s="3" t="s">
        <v>191</v>
      </c>
      <c r="K540" s="3" t="s">
        <v>33</v>
      </c>
      <c r="L540" s="3" t="s">
        <v>34</v>
      </c>
      <c r="M540" s="3" t="s">
        <v>277</v>
      </c>
      <c r="N540" s="3" t="s">
        <v>278</v>
      </c>
      <c r="O540" s="3" t="s">
        <v>197</v>
      </c>
      <c r="P540" s="3" t="s">
        <v>198</v>
      </c>
      <c r="Q540" s="3" t="s">
        <v>39</v>
      </c>
      <c r="R540" s="3" t="s">
        <v>40</v>
      </c>
      <c r="S540" s="7">
        <v>5928.5</v>
      </c>
      <c r="T540" s="7">
        <v>0</v>
      </c>
      <c r="U540" s="7">
        <v>0</v>
      </c>
      <c r="V540" s="7">
        <v>5928.5</v>
      </c>
      <c r="W540" s="3">
        <v>0</v>
      </c>
    </row>
    <row r="541" spans="1:23" x14ac:dyDescent="0.35">
      <c r="A541" s="3" t="s">
        <v>33</v>
      </c>
      <c r="B541" s="3" t="s">
        <v>466</v>
      </c>
      <c r="C541" s="3" t="s">
        <v>279</v>
      </c>
      <c r="D541" s="3" t="s">
        <v>259</v>
      </c>
      <c r="E541" s="3" t="s">
        <v>187</v>
      </c>
      <c r="F541" s="3" t="s">
        <v>116</v>
      </c>
      <c r="G541" s="3" t="s">
        <v>260</v>
      </c>
      <c r="H541" s="3" t="s">
        <v>189</v>
      </c>
      <c r="I541" s="3" t="s">
        <v>190</v>
      </c>
      <c r="J541" s="3" t="s">
        <v>191</v>
      </c>
      <c r="K541" s="3" t="s">
        <v>33</v>
      </c>
      <c r="L541" s="3" t="s">
        <v>34</v>
      </c>
      <c r="M541" s="3" t="s">
        <v>280</v>
      </c>
      <c r="N541" s="3" t="s">
        <v>281</v>
      </c>
      <c r="O541" s="3" t="s">
        <v>197</v>
      </c>
      <c r="P541" s="3" t="s">
        <v>198</v>
      </c>
      <c r="Q541" s="3" t="s">
        <v>39</v>
      </c>
      <c r="R541" s="3" t="s">
        <v>40</v>
      </c>
      <c r="S541" s="7">
        <v>7523.1</v>
      </c>
      <c r="T541" s="7">
        <v>0</v>
      </c>
      <c r="U541" s="7">
        <v>0</v>
      </c>
      <c r="V541" s="7">
        <v>7523.1</v>
      </c>
      <c r="W541" s="3">
        <v>0</v>
      </c>
    </row>
    <row r="542" spans="1:23" x14ac:dyDescent="0.35">
      <c r="A542" s="3" t="s">
        <v>33</v>
      </c>
      <c r="B542" s="3" t="s">
        <v>466</v>
      </c>
      <c r="C542" s="3" t="s">
        <v>282</v>
      </c>
      <c r="D542" s="3" t="s">
        <v>259</v>
      </c>
      <c r="E542" s="3" t="s">
        <v>187</v>
      </c>
      <c r="F542" s="3" t="s">
        <v>116</v>
      </c>
      <c r="G542" s="3" t="s">
        <v>260</v>
      </c>
      <c r="H542" s="3" t="s">
        <v>66</v>
      </c>
      <c r="I542" s="3" t="s">
        <v>67</v>
      </c>
      <c r="J542" s="3" t="s">
        <v>68</v>
      </c>
      <c r="K542" s="3" t="s">
        <v>33</v>
      </c>
      <c r="L542" s="3" t="s">
        <v>51</v>
      </c>
      <c r="M542" s="3" t="s">
        <v>283</v>
      </c>
      <c r="N542" s="3" t="s">
        <v>284</v>
      </c>
      <c r="O542" s="3" t="s">
        <v>197</v>
      </c>
      <c r="P542" s="3" t="s">
        <v>198</v>
      </c>
      <c r="Q542" s="3" t="s">
        <v>39</v>
      </c>
      <c r="R542" s="3" t="s">
        <v>40</v>
      </c>
      <c r="S542" s="7">
        <v>500</v>
      </c>
      <c r="T542" s="7">
        <v>48</v>
      </c>
      <c r="U542" s="7">
        <v>8</v>
      </c>
      <c r="V542" s="7">
        <v>452</v>
      </c>
      <c r="W542" s="3">
        <v>10</v>
      </c>
    </row>
    <row r="543" spans="1:23" x14ac:dyDescent="0.35">
      <c r="A543" s="3" t="s">
        <v>33</v>
      </c>
      <c r="B543" s="3" t="s">
        <v>466</v>
      </c>
      <c r="C543" s="3" t="s">
        <v>285</v>
      </c>
      <c r="D543" s="3" t="s">
        <v>259</v>
      </c>
      <c r="E543" s="3" t="s">
        <v>187</v>
      </c>
      <c r="F543" s="3" t="s">
        <v>116</v>
      </c>
      <c r="G543" s="3" t="s">
        <v>260</v>
      </c>
      <c r="H543" s="3" t="s">
        <v>30</v>
      </c>
      <c r="I543" s="3" t="s">
        <v>31</v>
      </c>
      <c r="J543" s="3" t="s">
        <v>32</v>
      </c>
      <c r="K543" s="3" t="s">
        <v>33</v>
      </c>
      <c r="L543" s="3" t="s">
        <v>34</v>
      </c>
      <c r="M543" s="3" t="s">
        <v>286</v>
      </c>
      <c r="N543" s="3" t="s">
        <v>287</v>
      </c>
      <c r="O543" s="3" t="s">
        <v>37</v>
      </c>
      <c r="P543" s="3" t="s">
        <v>38</v>
      </c>
      <c r="Q543" s="3" t="s">
        <v>39</v>
      </c>
      <c r="R543" s="3" t="s">
        <v>40</v>
      </c>
      <c r="S543" s="7">
        <v>900.4</v>
      </c>
      <c r="T543" s="7">
        <v>0</v>
      </c>
      <c r="U543" s="7">
        <v>0</v>
      </c>
      <c r="V543" s="7">
        <v>900.4</v>
      </c>
      <c r="W543" s="3">
        <v>0</v>
      </c>
    </row>
    <row r="544" spans="1:23" x14ac:dyDescent="0.35">
      <c r="A544" s="3" t="s">
        <v>33</v>
      </c>
      <c r="B544" s="3" t="s">
        <v>466</v>
      </c>
      <c r="C544" s="3" t="s">
        <v>288</v>
      </c>
      <c r="D544" s="3" t="s">
        <v>259</v>
      </c>
      <c r="E544" s="3" t="s">
        <v>187</v>
      </c>
      <c r="F544" s="3" t="s">
        <v>116</v>
      </c>
      <c r="G544" s="3" t="s">
        <v>260</v>
      </c>
      <c r="H544" s="3" t="s">
        <v>30</v>
      </c>
      <c r="I544" s="3" t="s">
        <v>31</v>
      </c>
      <c r="J544" s="3" t="s">
        <v>32</v>
      </c>
      <c r="K544" s="3" t="s">
        <v>33</v>
      </c>
      <c r="L544" s="3" t="s">
        <v>34</v>
      </c>
      <c r="M544" s="3" t="s">
        <v>286</v>
      </c>
      <c r="N544" s="3" t="s">
        <v>287</v>
      </c>
      <c r="O544" s="3" t="s">
        <v>42</v>
      </c>
      <c r="P544" s="3" t="s">
        <v>43</v>
      </c>
      <c r="Q544" s="3" t="s">
        <v>39</v>
      </c>
      <c r="R544" s="3" t="s">
        <v>40</v>
      </c>
      <c r="S544" s="7">
        <v>67.400000000000006</v>
      </c>
      <c r="T544" s="7">
        <v>0</v>
      </c>
      <c r="U544" s="7">
        <v>0</v>
      </c>
      <c r="V544" s="7">
        <v>67.400000000000006</v>
      </c>
      <c r="W544" s="3">
        <v>0</v>
      </c>
    </row>
    <row r="545" spans="1:23" hidden="1" x14ac:dyDescent="0.35">
      <c r="A545" t="s">
        <v>33</v>
      </c>
      <c r="B545" t="s">
        <v>466</v>
      </c>
      <c r="C545" t="s">
        <v>289</v>
      </c>
      <c r="D545" t="s">
        <v>290</v>
      </c>
      <c r="E545" t="s">
        <v>291</v>
      </c>
      <c r="F545" t="s">
        <v>146</v>
      </c>
      <c r="G545" t="s">
        <v>292</v>
      </c>
      <c r="H545" t="s">
        <v>293</v>
      </c>
      <c r="I545" t="s">
        <v>294</v>
      </c>
      <c r="J545" t="s">
        <v>295</v>
      </c>
      <c r="K545" t="s">
        <v>33</v>
      </c>
      <c r="L545" t="s">
        <v>51</v>
      </c>
      <c r="M545" t="s">
        <v>296</v>
      </c>
      <c r="N545" t="s">
        <v>297</v>
      </c>
      <c r="O545" t="s">
        <v>108</v>
      </c>
      <c r="P545" t="s">
        <v>109</v>
      </c>
      <c r="Q545" t="s">
        <v>39</v>
      </c>
      <c r="R545" t="s">
        <v>40</v>
      </c>
      <c r="S545" s="1">
        <v>263750</v>
      </c>
      <c r="T545" s="1">
        <v>103821.28019999999</v>
      </c>
      <c r="U545" s="1">
        <v>20792.412199999999</v>
      </c>
      <c r="V545" s="1">
        <v>159928.71979999999</v>
      </c>
      <c r="W545">
        <v>39</v>
      </c>
    </row>
    <row r="546" spans="1:23" hidden="1" x14ac:dyDescent="0.35">
      <c r="A546" t="s">
        <v>33</v>
      </c>
      <c r="B546" t="s">
        <v>466</v>
      </c>
      <c r="C546" t="s">
        <v>298</v>
      </c>
      <c r="D546" t="s">
        <v>290</v>
      </c>
      <c r="E546" t="s">
        <v>291</v>
      </c>
      <c r="F546" t="s">
        <v>146</v>
      </c>
      <c r="G546" t="s">
        <v>292</v>
      </c>
      <c r="H546" t="s">
        <v>293</v>
      </c>
      <c r="I546" t="s">
        <v>294</v>
      </c>
      <c r="J546" t="s">
        <v>295</v>
      </c>
      <c r="K546" t="s">
        <v>33</v>
      </c>
      <c r="L546" t="s">
        <v>51</v>
      </c>
      <c r="M546" t="s">
        <v>299</v>
      </c>
      <c r="N546" t="s">
        <v>300</v>
      </c>
      <c r="O546" t="s">
        <v>108</v>
      </c>
      <c r="P546" t="s">
        <v>109</v>
      </c>
      <c r="Q546" t="s">
        <v>39</v>
      </c>
      <c r="R546" t="s">
        <v>40</v>
      </c>
      <c r="S546" s="1">
        <v>93678.1</v>
      </c>
      <c r="T546" s="1">
        <v>34750.208500000001</v>
      </c>
      <c r="U546" s="1">
        <v>6364.8850000000002</v>
      </c>
      <c r="V546" s="1">
        <v>58927.891499999998</v>
      </c>
      <c r="W546">
        <v>37</v>
      </c>
    </row>
    <row r="547" spans="1:23" hidden="1" x14ac:dyDescent="0.35">
      <c r="A547" t="s">
        <v>33</v>
      </c>
      <c r="B547" t="s">
        <v>466</v>
      </c>
      <c r="C547" t="s">
        <v>301</v>
      </c>
      <c r="D547" t="s">
        <v>290</v>
      </c>
      <c r="E547" t="s">
        <v>291</v>
      </c>
      <c r="F547" t="s">
        <v>146</v>
      </c>
      <c r="G547" t="s">
        <v>292</v>
      </c>
      <c r="H547" t="s">
        <v>293</v>
      </c>
      <c r="I547" t="s">
        <v>294</v>
      </c>
      <c r="J547" t="s">
        <v>295</v>
      </c>
      <c r="K547" t="s">
        <v>33</v>
      </c>
      <c r="L547" t="s">
        <v>51</v>
      </c>
      <c r="M547" t="s">
        <v>302</v>
      </c>
      <c r="N547" t="s">
        <v>303</v>
      </c>
      <c r="O547" t="s">
        <v>108</v>
      </c>
      <c r="P547" t="s">
        <v>109</v>
      </c>
      <c r="Q547" t="s">
        <v>39</v>
      </c>
      <c r="R547" t="s">
        <v>40</v>
      </c>
      <c r="S547" s="1">
        <v>207715.20000000001</v>
      </c>
      <c r="T547" s="1">
        <v>90245.331999999995</v>
      </c>
      <c r="U547" s="1">
        <v>19217.194500000001</v>
      </c>
      <c r="V547" s="1">
        <v>117469.868</v>
      </c>
      <c r="W547">
        <v>43</v>
      </c>
    </row>
    <row r="548" spans="1:23" hidden="1" x14ac:dyDescent="0.35">
      <c r="A548" t="s">
        <v>33</v>
      </c>
      <c r="B548" t="s">
        <v>466</v>
      </c>
      <c r="C548" t="s">
        <v>304</v>
      </c>
      <c r="D548" t="s">
        <v>290</v>
      </c>
      <c r="E548" t="s">
        <v>291</v>
      </c>
      <c r="F548" t="s">
        <v>146</v>
      </c>
      <c r="G548" t="s">
        <v>292</v>
      </c>
      <c r="H548" t="s">
        <v>293</v>
      </c>
      <c r="I548" t="s">
        <v>294</v>
      </c>
      <c r="J548" t="s">
        <v>295</v>
      </c>
      <c r="K548" t="s">
        <v>33</v>
      </c>
      <c r="L548" t="s">
        <v>51</v>
      </c>
      <c r="M548" t="s">
        <v>305</v>
      </c>
      <c r="N548" t="s">
        <v>306</v>
      </c>
      <c r="O548" t="s">
        <v>108</v>
      </c>
      <c r="P548" t="s">
        <v>109</v>
      </c>
      <c r="Q548" t="s">
        <v>39</v>
      </c>
      <c r="R548" t="s">
        <v>40</v>
      </c>
      <c r="S548" s="1">
        <v>87050.7</v>
      </c>
      <c r="T548" s="1">
        <v>32361.605899999999</v>
      </c>
      <c r="U548" s="1">
        <v>6426.8847999999998</v>
      </c>
      <c r="V548" s="1">
        <v>54689.094100000002</v>
      </c>
      <c r="W548">
        <v>37</v>
      </c>
    </row>
    <row r="549" spans="1:23" hidden="1" x14ac:dyDescent="0.35">
      <c r="A549" t="s">
        <v>33</v>
      </c>
      <c r="B549" t="s">
        <v>466</v>
      </c>
      <c r="C549" t="s">
        <v>307</v>
      </c>
      <c r="D549" t="s">
        <v>290</v>
      </c>
      <c r="E549" t="s">
        <v>291</v>
      </c>
      <c r="F549" t="s">
        <v>146</v>
      </c>
      <c r="G549" t="s">
        <v>292</v>
      </c>
      <c r="H549" t="s">
        <v>293</v>
      </c>
      <c r="I549" t="s">
        <v>294</v>
      </c>
      <c r="J549" t="s">
        <v>295</v>
      </c>
      <c r="K549" t="s">
        <v>33</v>
      </c>
      <c r="L549" t="s">
        <v>51</v>
      </c>
      <c r="M549" t="s">
        <v>308</v>
      </c>
      <c r="N549" t="s">
        <v>309</v>
      </c>
      <c r="O549" t="s">
        <v>37</v>
      </c>
      <c r="P549" t="s">
        <v>38</v>
      </c>
      <c r="Q549" t="s">
        <v>39</v>
      </c>
      <c r="R549" t="s">
        <v>40</v>
      </c>
      <c r="S549" s="1">
        <v>9529.5</v>
      </c>
      <c r="T549" s="1">
        <v>3980.9816999999998</v>
      </c>
      <c r="U549" s="1">
        <v>2361.9083999999998</v>
      </c>
      <c r="V549" s="1">
        <v>5548.5182999999997</v>
      </c>
      <c r="W549">
        <v>42</v>
      </c>
    </row>
    <row r="550" spans="1:23" hidden="1" x14ac:dyDescent="0.35">
      <c r="A550" t="s">
        <v>33</v>
      </c>
      <c r="B550" t="s">
        <v>466</v>
      </c>
      <c r="C550" t="s">
        <v>436</v>
      </c>
      <c r="D550" t="s">
        <v>290</v>
      </c>
      <c r="E550" t="s">
        <v>291</v>
      </c>
      <c r="F550" t="s">
        <v>146</v>
      </c>
      <c r="G550" t="s">
        <v>292</v>
      </c>
      <c r="H550" t="s">
        <v>293</v>
      </c>
      <c r="I550" t="s">
        <v>294</v>
      </c>
      <c r="J550" t="s">
        <v>295</v>
      </c>
      <c r="K550" t="s">
        <v>33</v>
      </c>
      <c r="L550" t="s">
        <v>51</v>
      </c>
      <c r="M550" t="s">
        <v>308</v>
      </c>
      <c r="N550" t="s">
        <v>309</v>
      </c>
      <c r="O550" t="s">
        <v>197</v>
      </c>
      <c r="P550" t="s">
        <v>198</v>
      </c>
      <c r="Q550" t="s">
        <v>39</v>
      </c>
      <c r="R550" t="s">
        <v>40</v>
      </c>
      <c r="S550" s="1">
        <v>2252</v>
      </c>
      <c r="T550" s="1">
        <v>0</v>
      </c>
      <c r="U550" s="1">
        <v>0</v>
      </c>
      <c r="V550" s="1">
        <v>2252</v>
      </c>
      <c r="W550">
        <v>0</v>
      </c>
    </row>
    <row r="551" spans="1:23" hidden="1" x14ac:dyDescent="0.35">
      <c r="A551" t="s">
        <v>33</v>
      </c>
      <c r="B551" t="s">
        <v>466</v>
      </c>
      <c r="C551" t="s">
        <v>310</v>
      </c>
      <c r="D551" t="s">
        <v>290</v>
      </c>
      <c r="E551" t="s">
        <v>291</v>
      </c>
      <c r="F551" t="s">
        <v>146</v>
      </c>
      <c r="G551" t="s">
        <v>292</v>
      </c>
      <c r="H551" t="s">
        <v>293</v>
      </c>
      <c r="I551" t="s">
        <v>294</v>
      </c>
      <c r="J551" t="s">
        <v>295</v>
      </c>
      <c r="K551" t="s">
        <v>33</v>
      </c>
      <c r="L551" t="s">
        <v>51</v>
      </c>
      <c r="M551" t="s">
        <v>311</v>
      </c>
      <c r="N551" t="s">
        <v>312</v>
      </c>
      <c r="O551" t="s">
        <v>197</v>
      </c>
      <c r="P551" t="s">
        <v>198</v>
      </c>
      <c r="Q551" t="s">
        <v>39</v>
      </c>
      <c r="R551" t="s">
        <v>40</v>
      </c>
      <c r="S551" s="1">
        <v>10264.799999999999</v>
      </c>
      <c r="T551" s="1">
        <v>0</v>
      </c>
      <c r="U551" s="1">
        <v>0</v>
      </c>
      <c r="V551" s="1">
        <v>10264.799999999999</v>
      </c>
      <c r="W551">
        <v>0</v>
      </c>
    </row>
    <row r="552" spans="1:23" hidden="1" x14ac:dyDescent="0.35">
      <c r="A552" t="s">
        <v>33</v>
      </c>
      <c r="B552" t="s">
        <v>466</v>
      </c>
      <c r="C552" t="s">
        <v>313</v>
      </c>
      <c r="D552" t="s">
        <v>290</v>
      </c>
      <c r="E552" t="s">
        <v>291</v>
      </c>
      <c r="F552" t="s">
        <v>146</v>
      </c>
      <c r="G552" t="s">
        <v>292</v>
      </c>
      <c r="H552" t="s">
        <v>293</v>
      </c>
      <c r="I552" t="s">
        <v>294</v>
      </c>
      <c r="J552" t="s">
        <v>295</v>
      </c>
      <c r="K552" t="s">
        <v>33</v>
      </c>
      <c r="L552" t="s">
        <v>51</v>
      </c>
      <c r="M552" t="s">
        <v>314</v>
      </c>
      <c r="N552" t="s">
        <v>315</v>
      </c>
      <c r="O552" t="s">
        <v>197</v>
      </c>
      <c r="P552" t="s">
        <v>198</v>
      </c>
      <c r="Q552" t="s">
        <v>39</v>
      </c>
      <c r="R552" t="s">
        <v>40</v>
      </c>
      <c r="S552" s="1">
        <v>128.69999999999999</v>
      </c>
      <c r="T552" s="1">
        <v>128.69999999999999</v>
      </c>
      <c r="U552" s="1">
        <v>128.69999999999999</v>
      </c>
      <c r="V552" s="1">
        <v>0</v>
      </c>
      <c r="W552">
        <v>100</v>
      </c>
    </row>
    <row r="553" spans="1:23" hidden="1" x14ac:dyDescent="0.35">
      <c r="A553" t="s">
        <v>33</v>
      </c>
      <c r="B553" t="s">
        <v>466</v>
      </c>
      <c r="C553" t="s">
        <v>316</v>
      </c>
      <c r="D553" t="s">
        <v>317</v>
      </c>
      <c r="E553" t="s">
        <v>291</v>
      </c>
      <c r="F553" t="s">
        <v>318</v>
      </c>
      <c r="G553" t="s">
        <v>319</v>
      </c>
      <c r="H553" t="s">
        <v>293</v>
      </c>
      <c r="I553" t="s">
        <v>294</v>
      </c>
      <c r="J553" t="s">
        <v>295</v>
      </c>
      <c r="K553" t="s">
        <v>33</v>
      </c>
      <c r="L553" t="s">
        <v>51</v>
      </c>
      <c r="M553" t="s">
        <v>320</v>
      </c>
      <c r="N553" t="s">
        <v>321</v>
      </c>
      <c r="O553" t="s">
        <v>37</v>
      </c>
      <c r="P553" t="s">
        <v>38</v>
      </c>
      <c r="Q553" t="s">
        <v>39</v>
      </c>
      <c r="R553" t="s">
        <v>40</v>
      </c>
      <c r="S553" s="1">
        <v>16495.3</v>
      </c>
      <c r="T553" s="1">
        <v>0</v>
      </c>
      <c r="U553" s="1">
        <v>0</v>
      </c>
      <c r="V553" s="1">
        <v>16495.3</v>
      </c>
      <c r="W553">
        <v>0</v>
      </c>
    </row>
    <row r="554" spans="1:23" hidden="1" x14ac:dyDescent="0.35">
      <c r="A554" t="s">
        <v>33</v>
      </c>
      <c r="B554" t="s">
        <v>466</v>
      </c>
      <c r="C554" t="s">
        <v>322</v>
      </c>
      <c r="D554" t="s">
        <v>317</v>
      </c>
      <c r="E554" t="s">
        <v>291</v>
      </c>
      <c r="F554" t="s">
        <v>318</v>
      </c>
      <c r="G554" t="s">
        <v>319</v>
      </c>
      <c r="H554" t="s">
        <v>293</v>
      </c>
      <c r="I554" t="s">
        <v>294</v>
      </c>
      <c r="J554" t="s">
        <v>295</v>
      </c>
      <c r="K554" t="s">
        <v>33</v>
      </c>
      <c r="L554" t="s">
        <v>51</v>
      </c>
      <c r="M554" t="s">
        <v>323</v>
      </c>
      <c r="N554" t="s">
        <v>324</v>
      </c>
      <c r="O554" t="s">
        <v>197</v>
      </c>
      <c r="P554" t="s">
        <v>198</v>
      </c>
      <c r="Q554" t="s">
        <v>39</v>
      </c>
      <c r="R554" t="s">
        <v>40</v>
      </c>
      <c r="S554" s="1">
        <v>8766.7000000000007</v>
      </c>
      <c r="T554" s="1">
        <v>0</v>
      </c>
      <c r="U554" s="1">
        <v>0</v>
      </c>
      <c r="V554" s="1">
        <v>8766.7000000000007</v>
      </c>
      <c r="W554">
        <v>0</v>
      </c>
    </row>
    <row r="555" spans="1:23" hidden="1" x14ac:dyDescent="0.35">
      <c r="A555" t="s">
        <v>33</v>
      </c>
      <c r="B555" t="s">
        <v>466</v>
      </c>
      <c r="C555" t="s">
        <v>325</v>
      </c>
      <c r="D555" t="s">
        <v>326</v>
      </c>
      <c r="E555" t="s">
        <v>327</v>
      </c>
      <c r="F555" t="s">
        <v>189</v>
      </c>
      <c r="G555" t="s">
        <v>328</v>
      </c>
      <c r="H555" t="s">
        <v>146</v>
      </c>
      <c r="I555" t="s">
        <v>329</v>
      </c>
      <c r="J555" t="s">
        <v>330</v>
      </c>
      <c r="K555" t="s">
        <v>33</v>
      </c>
      <c r="L555" t="s">
        <v>34</v>
      </c>
      <c r="M555" t="s">
        <v>331</v>
      </c>
      <c r="N555" t="s">
        <v>332</v>
      </c>
      <c r="O555" t="s">
        <v>108</v>
      </c>
      <c r="P555" t="s">
        <v>109</v>
      </c>
      <c r="Q555" t="s">
        <v>39</v>
      </c>
      <c r="R555" t="s">
        <v>40</v>
      </c>
      <c r="S555" s="1">
        <v>662520.5</v>
      </c>
      <c r="T555" s="1">
        <v>250171.83739999999</v>
      </c>
      <c r="U555" s="1">
        <v>51579.099600000001</v>
      </c>
      <c r="V555" s="1">
        <v>412348.66259999998</v>
      </c>
      <c r="W555">
        <v>38</v>
      </c>
    </row>
    <row r="556" spans="1:23" hidden="1" x14ac:dyDescent="0.35">
      <c r="A556" t="s">
        <v>33</v>
      </c>
      <c r="B556" t="s">
        <v>466</v>
      </c>
      <c r="C556" t="s">
        <v>333</v>
      </c>
      <c r="D556" t="s">
        <v>326</v>
      </c>
      <c r="E556" t="s">
        <v>327</v>
      </c>
      <c r="F556" t="s">
        <v>189</v>
      </c>
      <c r="G556" t="s">
        <v>328</v>
      </c>
      <c r="H556" t="s">
        <v>146</v>
      </c>
      <c r="I556" t="s">
        <v>329</v>
      </c>
      <c r="J556" t="s">
        <v>330</v>
      </c>
      <c r="K556" t="s">
        <v>33</v>
      </c>
      <c r="L556" t="s">
        <v>34</v>
      </c>
      <c r="M556" t="s">
        <v>331</v>
      </c>
      <c r="N556" t="s">
        <v>332</v>
      </c>
      <c r="O556" t="s">
        <v>334</v>
      </c>
      <c r="P556" t="s">
        <v>335</v>
      </c>
      <c r="Q556" t="s">
        <v>39</v>
      </c>
      <c r="R556" t="s">
        <v>40</v>
      </c>
      <c r="S556" s="1">
        <v>5379.7</v>
      </c>
      <c r="T556" s="1">
        <v>1371.0073</v>
      </c>
      <c r="U556" s="1">
        <v>504.0521</v>
      </c>
      <c r="V556" s="1">
        <v>4008.6927000000001</v>
      </c>
      <c r="W556">
        <v>25</v>
      </c>
    </row>
    <row r="557" spans="1:23" hidden="1" x14ac:dyDescent="0.35">
      <c r="A557" t="s">
        <v>33</v>
      </c>
      <c r="B557" t="s">
        <v>466</v>
      </c>
      <c r="C557" t="s">
        <v>336</v>
      </c>
      <c r="D557" t="s">
        <v>337</v>
      </c>
      <c r="E557" t="s">
        <v>327</v>
      </c>
      <c r="F557" t="s">
        <v>116</v>
      </c>
      <c r="G557" t="s">
        <v>338</v>
      </c>
      <c r="H557" t="s">
        <v>146</v>
      </c>
      <c r="I557" t="s">
        <v>329</v>
      </c>
      <c r="J557" t="s">
        <v>339</v>
      </c>
      <c r="K557" t="s">
        <v>23</v>
      </c>
      <c r="L557" t="s">
        <v>203</v>
      </c>
      <c r="M557" t="s">
        <v>340</v>
      </c>
      <c r="N557" t="s">
        <v>341</v>
      </c>
      <c r="O557" t="s">
        <v>197</v>
      </c>
      <c r="P557" t="s">
        <v>198</v>
      </c>
      <c r="Q557" t="s">
        <v>39</v>
      </c>
      <c r="R557" t="s">
        <v>40</v>
      </c>
      <c r="S557" s="1">
        <v>104471.3</v>
      </c>
      <c r="T557" s="1">
        <v>88428.677200000006</v>
      </c>
      <c r="U557" s="1">
        <v>10399.997300000001</v>
      </c>
      <c r="V557" s="1">
        <v>16042.622799999999</v>
      </c>
      <c r="W557">
        <v>85</v>
      </c>
    </row>
    <row r="558" spans="1:23" hidden="1" x14ac:dyDescent="0.35">
      <c r="A558" t="s">
        <v>33</v>
      </c>
      <c r="B558" t="s">
        <v>466</v>
      </c>
      <c r="C558" t="s">
        <v>452</v>
      </c>
      <c r="D558" t="s">
        <v>337</v>
      </c>
      <c r="E558" t="s">
        <v>327</v>
      </c>
      <c r="F558" t="s">
        <v>116</v>
      </c>
      <c r="G558" t="s">
        <v>338</v>
      </c>
      <c r="H558" t="s">
        <v>146</v>
      </c>
      <c r="I558" t="s">
        <v>329</v>
      </c>
      <c r="J558" t="s">
        <v>339</v>
      </c>
      <c r="K558" t="s">
        <v>23</v>
      </c>
      <c r="L558" t="s">
        <v>203</v>
      </c>
      <c r="M558" t="s">
        <v>453</v>
      </c>
      <c r="N558" t="s">
        <v>454</v>
      </c>
      <c r="O558" t="s">
        <v>197</v>
      </c>
      <c r="P558" t="s">
        <v>198</v>
      </c>
      <c r="Q558" t="s">
        <v>39</v>
      </c>
      <c r="R558" t="s">
        <v>40</v>
      </c>
      <c r="S558" s="1">
        <v>12819.6</v>
      </c>
      <c r="T558" s="1">
        <v>0</v>
      </c>
      <c r="U558" s="1">
        <v>0</v>
      </c>
      <c r="V558" s="1">
        <v>12819.6</v>
      </c>
      <c r="W558">
        <v>0</v>
      </c>
    </row>
    <row r="559" spans="1:23" hidden="1" x14ac:dyDescent="0.35">
      <c r="A559" t="s">
        <v>33</v>
      </c>
      <c r="B559" t="s">
        <v>466</v>
      </c>
      <c r="C559" t="s">
        <v>437</v>
      </c>
      <c r="D559" t="s">
        <v>337</v>
      </c>
      <c r="E559" t="s">
        <v>327</v>
      </c>
      <c r="F559" t="s">
        <v>116</v>
      </c>
      <c r="G559" t="s">
        <v>338</v>
      </c>
      <c r="H559" t="s">
        <v>146</v>
      </c>
      <c r="I559" t="s">
        <v>329</v>
      </c>
      <c r="J559" t="s">
        <v>330</v>
      </c>
      <c r="K559" t="s">
        <v>33</v>
      </c>
      <c r="L559" t="s">
        <v>34</v>
      </c>
      <c r="M559" t="s">
        <v>438</v>
      </c>
      <c r="N559" t="s">
        <v>439</v>
      </c>
      <c r="O559" t="s">
        <v>197</v>
      </c>
      <c r="P559" t="s">
        <v>198</v>
      </c>
      <c r="Q559" t="s">
        <v>39</v>
      </c>
      <c r="R559" t="s">
        <v>40</v>
      </c>
      <c r="S559" s="1">
        <v>34518.6</v>
      </c>
      <c r="T559" s="1">
        <v>8605.0833000000002</v>
      </c>
      <c r="U559" s="1">
        <v>3900.3703999999998</v>
      </c>
      <c r="V559" s="1">
        <v>25913.5167</v>
      </c>
      <c r="W559">
        <v>25</v>
      </c>
    </row>
    <row r="560" spans="1:23" hidden="1" x14ac:dyDescent="0.35">
      <c r="A560" t="s">
        <v>33</v>
      </c>
      <c r="B560" t="s">
        <v>466</v>
      </c>
      <c r="C560" t="s">
        <v>342</v>
      </c>
      <c r="D560" t="s">
        <v>337</v>
      </c>
      <c r="E560" t="s">
        <v>327</v>
      </c>
      <c r="F560" t="s">
        <v>116</v>
      </c>
      <c r="G560" t="s">
        <v>338</v>
      </c>
      <c r="H560" t="s">
        <v>146</v>
      </c>
      <c r="I560" t="s">
        <v>329</v>
      </c>
      <c r="J560" t="s">
        <v>330</v>
      </c>
      <c r="K560" t="s">
        <v>33</v>
      </c>
      <c r="L560" t="s">
        <v>34</v>
      </c>
      <c r="M560" t="s">
        <v>343</v>
      </c>
      <c r="N560" t="s">
        <v>344</v>
      </c>
      <c r="O560" t="s">
        <v>37</v>
      </c>
      <c r="P560" t="s">
        <v>38</v>
      </c>
      <c r="Q560" t="s">
        <v>39</v>
      </c>
      <c r="R560" t="s">
        <v>40</v>
      </c>
      <c r="S560" s="1">
        <v>48.2</v>
      </c>
      <c r="T560" s="1">
        <v>0</v>
      </c>
      <c r="U560" s="1">
        <v>0</v>
      </c>
      <c r="V560" s="1">
        <v>48.2</v>
      </c>
      <c r="W560">
        <v>0</v>
      </c>
    </row>
    <row r="561" spans="1:23" hidden="1" x14ac:dyDescent="0.35">
      <c r="A561" t="s">
        <v>33</v>
      </c>
      <c r="B561" t="s">
        <v>466</v>
      </c>
      <c r="C561" t="s">
        <v>345</v>
      </c>
      <c r="D561" t="s">
        <v>337</v>
      </c>
      <c r="E561" t="s">
        <v>327</v>
      </c>
      <c r="F561" t="s">
        <v>116</v>
      </c>
      <c r="G561" t="s">
        <v>338</v>
      </c>
      <c r="H561" t="s">
        <v>146</v>
      </c>
      <c r="I561" t="s">
        <v>329</v>
      </c>
      <c r="J561" t="s">
        <v>330</v>
      </c>
      <c r="K561" t="s">
        <v>33</v>
      </c>
      <c r="L561" t="s">
        <v>34</v>
      </c>
      <c r="M561" t="s">
        <v>346</v>
      </c>
      <c r="N561" t="s">
        <v>347</v>
      </c>
      <c r="O561" t="s">
        <v>197</v>
      </c>
      <c r="P561" t="s">
        <v>198</v>
      </c>
      <c r="Q561" t="s">
        <v>39</v>
      </c>
      <c r="R561" t="s">
        <v>40</v>
      </c>
      <c r="S561" s="1">
        <v>223871.4</v>
      </c>
      <c r="T561" s="1">
        <v>42226.438099999999</v>
      </c>
      <c r="U561" s="1">
        <v>21704.329000000002</v>
      </c>
      <c r="V561" s="1">
        <v>181644.96189999999</v>
      </c>
      <c r="W561">
        <v>19</v>
      </c>
    </row>
    <row r="562" spans="1:23" hidden="1" x14ac:dyDescent="0.35">
      <c r="A562" t="s">
        <v>33</v>
      </c>
      <c r="B562" t="s">
        <v>466</v>
      </c>
      <c r="C562" t="s">
        <v>348</v>
      </c>
      <c r="D562" t="s">
        <v>337</v>
      </c>
      <c r="E562" t="s">
        <v>327</v>
      </c>
      <c r="F562" t="s">
        <v>116</v>
      </c>
      <c r="G562" t="s">
        <v>338</v>
      </c>
      <c r="H562" t="s">
        <v>146</v>
      </c>
      <c r="I562" t="s">
        <v>329</v>
      </c>
      <c r="J562" t="s">
        <v>330</v>
      </c>
      <c r="K562" t="s">
        <v>33</v>
      </c>
      <c r="L562" t="s">
        <v>34</v>
      </c>
      <c r="M562" t="s">
        <v>349</v>
      </c>
      <c r="N562" t="s">
        <v>350</v>
      </c>
      <c r="O562" t="s">
        <v>197</v>
      </c>
      <c r="P562" t="s">
        <v>198</v>
      </c>
      <c r="Q562" t="s">
        <v>39</v>
      </c>
      <c r="R562" t="s">
        <v>40</v>
      </c>
      <c r="S562" s="1">
        <v>29779.9</v>
      </c>
      <c r="T562" s="1">
        <v>0</v>
      </c>
      <c r="U562" s="1">
        <v>0</v>
      </c>
      <c r="V562" s="1">
        <v>29779.9</v>
      </c>
      <c r="W562">
        <v>0</v>
      </c>
    </row>
    <row r="563" spans="1:23" hidden="1" x14ac:dyDescent="0.35">
      <c r="A563" t="s">
        <v>33</v>
      </c>
      <c r="B563" t="s">
        <v>466</v>
      </c>
      <c r="C563" t="s">
        <v>351</v>
      </c>
      <c r="D563" t="s">
        <v>337</v>
      </c>
      <c r="E563" t="s">
        <v>327</v>
      </c>
      <c r="F563" t="s">
        <v>116</v>
      </c>
      <c r="G563" t="s">
        <v>338</v>
      </c>
      <c r="H563" t="s">
        <v>146</v>
      </c>
      <c r="I563" t="s">
        <v>329</v>
      </c>
      <c r="J563" t="s">
        <v>330</v>
      </c>
      <c r="K563" t="s">
        <v>33</v>
      </c>
      <c r="L563" t="s">
        <v>34</v>
      </c>
      <c r="M563" t="s">
        <v>352</v>
      </c>
      <c r="N563" t="s">
        <v>353</v>
      </c>
      <c r="O563" t="s">
        <v>197</v>
      </c>
      <c r="P563" t="s">
        <v>198</v>
      </c>
      <c r="Q563" t="s">
        <v>39</v>
      </c>
      <c r="R563" t="s">
        <v>40</v>
      </c>
      <c r="S563" s="1">
        <v>7460.5</v>
      </c>
      <c r="T563" s="1">
        <v>0</v>
      </c>
      <c r="U563" s="1">
        <v>0</v>
      </c>
      <c r="V563" s="1">
        <v>7460.5</v>
      </c>
      <c r="W563">
        <v>0</v>
      </c>
    </row>
    <row r="564" spans="1:23" hidden="1" x14ac:dyDescent="0.35">
      <c r="A564" t="s">
        <v>33</v>
      </c>
      <c r="B564" t="s">
        <v>466</v>
      </c>
      <c r="C564" t="s">
        <v>455</v>
      </c>
      <c r="D564" t="s">
        <v>337</v>
      </c>
      <c r="E564" t="s">
        <v>327</v>
      </c>
      <c r="F564" t="s">
        <v>116</v>
      </c>
      <c r="G564" t="s">
        <v>338</v>
      </c>
      <c r="H564" t="s">
        <v>146</v>
      </c>
      <c r="I564" t="s">
        <v>329</v>
      </c>
      <c r="J564" t="s">
        <v>330</v>
      </c>
      <c r="K564" t="s">
        <v>33</v>
      </c>
      <c r="L564" t="s">
        <v>34</v>
      </c>
      <c r="M564" t="s">
        <v>456</v>
      </c>
      <c r="N564" t="s">
        <v>457</v>
      </c>
      <c r="O564" t="s">
        <v>197</v>
      </c>
      <c r="P564" t="s">
        <v>198</v>
      </c>
      <c r="Q564" t="s">
        <v>39</v>
      </c>
      <c r="R564" t="s">
        <v>40</v>
      </c>
      <c r="S564" s="1">
        <v>1889.2</v>
      </c>
      <c r="T564" s="1">
        <v>0</v>
      </c>
      <c r="U564" s="1">
        <v>0</v>
      </c>
      <c r="V564" s="1">
        <v>1889.2</v>
      </c>
      <c r="W564">
        <v>0</v>
      </c>
    </row>
    <row r="565" spans="1:23" hidden="1" x14ac:dyDescent="0.35">
      <c r="A565" t="s">
        <v>33</v>
      </c>
      <c r="B565" t="s">
        <v>466</v>
      </c>
      <c r="C565" t="s">
        <v>354</v>
      </c>
      <c r="D565" t="s">
        <v>337</v>
      </c>
      <c r="E565" t="s">
        <v>327</v>
      </c>
      <c r="F565" t="s">
        <v>116</v>
      </c>
      <c r="G565" t="s">
        <v>338</v>
      </c>
      <c r="H565" t="s">
        <v>146</v>
      </c>
      <c r="I565" t="s">
        <v>329</v>
      </c>
      <c r="J565" t="s">
        <v>330</v>
      </c>
      <c r="K565" t="s">
        <v>33</v>
      </c>
      <c r="L565" t="s">
        <v>34</v>
      </c>
      <c r="M565" t="s">
        <v>355</v>
      </c>
      <c r="N565" t="s">
        <v>356</v>
      </c>
      <c r="O565" t="s">
        <v>197</v>
      </c>
      <c r="P565" t="s">
        <v>198</v>
      </c>
      <c r="Q565" t="s">
        <v>39</v>
      </c>
      <c r="R565" t="s">
        <v>40</v>
      </c>
      <c r="S565" s="1">
        <v>45132.3</v>
      </c>
      <c r="T565" s="1">
        <v>11562.393899999999</v>
      </c>
      <c r="U565" s="1">
        <v>2911.4861999999998</v>
      </c>
      <c r="V565" s="1">
        <v>33569.9061</v>
      </c>
      <c r="W565">
        <v>26</v>
      </c>
    </row>
    <row r="566" spans="1:23" hidden="1" x14ac:dyDescent="0.35">
      <c r="A566" t="s">
        <v>33</v>
      </c>
      <c r="B566" t="s">
        <v>466</v>
      </c>
      <c r="C566" t="s">
        <v>463</v>
      </c>
      <c r="D566" t="s">
        <v>337</v>
      </c>
      <c r="E566" t="s">
        <v>327</v>
      </c>
      <c r="F566" t="s">
        <v>116</v>
      </c>
      <c r="G566" t="s">
        <v>338</v>
      </c>
      <c r="H566" t="s">
        <v>146</v>
      </c>
      <c r="I566" t="s">
        <v>329</v>
      </c>
      <c r="J566" t="s">
        <v>330</v>
      </c>
      <c r="K566" t="s">
        <v>33</v>
      </c>
      <c r="L566" t="s">
        <v>34</v>
      </c>
      <c r="M566" t="s">
        <v>464</v>
      </c>
      <c r="N566" t="s">
        <v>465</v>
      </c>
      <c r="O566" t="s">
        <v>197</v>
      </c>
      <c r="P566" t="s">
        <v>198</v>
      </c>
      <c r="Q566" t="s">
        <v>39</v>
      </c>
      <c r="R566" t="s">
        <v>40</v>
      </c>
      <c r="S566" s="1">
        <v>5997.5</v>
      </c>
      <c r="T566" s="1">
        <v>0</v>
      </c>
      <c r="U566" s="1">
        <v>0</v>
      </c>
      <c r="V566" s="1">
        <v>5997.5</v>
      </c>
      <c r="W566">
        <v>0</v>
      </c>
    </row>
    <row r="567" spans="1:23" hidden="1" x14ac:dyDescent="0.35">
      <c r="A567" t="s">
        <v>33</v>
      </c>
      <c r="B567" t="s">
        <v>466</v>
      </c>
      <c r="C567" t="s">
        <v>357</v>
      </c>
      <c r="D567" t="s">
        <v>337</v>
      </c>
      <c r="E567" t="s">
        <v>327</v>
      </c>
      <c r="F567" t="s">
        <v>116</v>
      </c>
      <c r="G567" t="s">
        <v>338</v>
      </c>
      <c r="H567" t="s">
        <v>146</v>
      </c>
      <c r="I567" t="s">
        <v>329</v>
      </c>
      <c r="J567" t="s">
        <v>330</v>
      </c>
      <c r="K567" t="s">
        <v>33</v>
      </c>
      <c r="L567" t="s">
        <v>34</v>
      </c>
      <c r="M567" t="s">
        <v>358</v>
      </c>
      <c r="N567" t="s">
        <v>359</v>
      </c>
      <c r="O567" t="s">
        <v>197</v>
      </c>
      <c r="P567" t="s">
        <v>198</v>
      </c>
      <c r="Q567" t="s">
        <v>39</v>
      </c>
      <c r="R567" t="s">
        <v>40</v>
      </c>
      <c r="S567" s="1">
        <v>100.2</v>
      </c>
      <c r="T567" s="1">
        <v>100.11799999999999</v>
      </c>
      <c r="U567" s="1">
        <v>0</v>
      </c>
      <c r="V567" s="1">
        <v>8.2000000000000003E-2</v>
      </c>
      <c r="W567">
        <v>100</v>
      </c>
    </row>
    <row r="568" spans="1:23" hidden="1" x14ac:dyDescent="0.35">
      <c r="A568" t="s">
        <v>33</v>
      </c>
      <c r="B568" t="s">
        <v>466</v>
      </c>
      <c r="C568" t="s">
        <v>360</v>
      </c>
      <c r="D568" t="s">
        <v>337</v>
      </c>
      <c r="E568" t="s">
        <v>327</v>
      </c>
      <c r="F568" t="s">
        <v>116</v>
      </c>
      <c r="G568" t="s">
        <v>338</v>
      </c>
      <c r="H568" t="s">
        <v>48</v>
      </c>
      <c r="I568" t="s">
        <v>49</v>
      </c>
      <c r="J568" t="s">
        <v>50</v>
      </c>
      <c r="K568" t="s">
        <v>33</v>
      </c>
      <c r="L568" t="s">
        <v>51</v>
      </c>
      <c r="M568" t="s">
        <v>361</v>
      </c>
      <c r="N568" t="s">
        <v>362</v>
      </c>
      <c r="O568" t="s">
        <v>197</v>
      </c>
      <c r="P568" t="s">
        <v>198</v>
      </c>
      <c r="Q568" t="s">
        <v>39</v>
      </c>
      <c r="R568" t="s">
        <v>40</v>
      </c>
      <c r="S568" s="1">
        <v>3155.1</v>
      </c>
      <c r="T568" s="1">
        <v>179.7971</v>
      </c>
      <c r="U568" s="1">
        <v>179.7971</v>
      </c>
      <c r="V568" s="1">
        <v>2975.3029000000001</v>
      </c>
      <c r="W568">
        <v>6</v>
      </c>
    </row>
    <row r="569" spans="1:23" hidden="1" x14ac:dyDescent="0.35">
      <c r="A569" t="s">
        <v>33</v>
      </c>
      <c r="B569" t="s">
        <v>466</v>
      </c>
      <c r="C569" t="s">
        <v>363</v>
      </c>
      <c r="D569" t="s">
        <v>364</v>
      </c>
      <c r="E569" t="s">
        <v>365</v>
      </c>
      <c r="F569" t="s">
        <v>189</v>
      </c>
      <c r="G569" t="s">
        <v>366</v>
      </c>
      <c r="H569" t="s">
        <v>28</v>
      </c>
      <c r="I569" t="s">
        <v>231</v>
      </c>
      <c r="J569" t="s">
        <v>232</v>
      </c>
      <c r="K569" t="s">
        <v>33</v>
      </c>
      <c r="L569" t="s">
        <v>51</v>
      </c>
      <c r="M569" t="s">
        <v>367</v>
      </c>
      <c r="N569" t="s">
        <v>368</v>
      </c>
      <c r="O569" t="s">
        <v>108</v>
      </c>
      <c r="P569" t="s">
        <v>109</v>
      </c>
      <c r="Q569" t="s">
        <v>39</v>
      </c>
      <c r="R569" t="s">
        <v>40</v>
      </c>
      <c r="S569" s="1">
        <v>211289.8</v>
      </c>
      <c r="T569" s="1">
        <v>84654.713600000003</v>
      </c>
      <c r="U569" s="1">
        <v>17594.038700000001</v>
      </c>
      <c r="V569" s="1">
        <v>126635.0864</v>
      </c>
      <c r="W569">
        <v>40</v>
      </c>
    </row>
    <row r="570" spans="1:23" hidden="1" x14ac:dyDescent="0.35">
      <c r="A570" t="s">
        <v>33</v>
      </c>
      <c r="B570" t="s">
        <v>466</v>
      </c>
      <c r="C570" t="s">
        <v>369</v>
      </c>
      <c r="D570" t="s">
        <v>364</v>
      </c>
      <c r="E570" t="s">
        <v>365</v>
      </c>
      <c r="F570" t="s">
        <v>189</v>
      </c>
      <c r="G570" t="s">
        <v>366</v>
      </c>
      <c r="H570" t="s">
        <v>28</v>
      </c>
      <c r="I570" t="s">
        <v>231</v>
      </c>
      <c r="J570" t="s">
        <v>232</v>
      </c>
      <c r="K570" t="s">
        <v>33</v>
      </c>
      <c r="L570" t="s">
        <v>51</v>
      </c>
      <c r="M570" t="s">
        <v>367</v>
      </c>
      <c r="N570" t="s">
        <v>368</v>
      </c>
      <c r="O570" t="s">
        <v>334</v>
      </c>
      <c r="P570" t="s">
        <v>335</v>
      </c>
      <c r="Q570" t="s">
        <v>39</v>
      </c>
      <c r="R570" t="s">
        <v>40</v>
      </c>
      <c r="S570" s="1">
        <v>21225</v>
      </c>
      <c r="T570" s="1">
        <v>7693.6974</v>
      </c>
      <c r="U570" s="1">
        <v>2949.3420999999998</v>
      </c>
      <c r="V570" s="1">
        <v>13531.302600000001</v>
      </c>
      <c r="W570">
        <v>36</v>
      </c>
    </row>
    <row r="571" spans="1:23" hidden="1" x14ac:dyDescent="0.35">
      <c r="A571" t="s">
        <v>33</v>
      </c>
      <c r="B571" t="s">
        <v>466</v>
      </c>
      <c r="C571" t="s">
        <v>370</v>
      </c>
      <c r="D571" t="s">
        <v>364</v>
      </c>
      <c r="E571" t="s">
        <v>365</v>
      </c>
      <c r="F571" t="s">
        <v>189</v>
      </c>
      <c r="G571" t="s">
        <v>366</v>
      </c>
      <c r="H571" t="s">
        <v>28</v>
      </c>
      <c r="I571" t="s">
        <v>231</v>
      </c>
      <c r="J571" t="s">
        <v>232</v>
      </c>
      <c r="K571" t="s">
        <v>33</v>
      </c>
      <c r="L571" t="s">
        <v>51</v>
      </c>
      <c r="M571" t="s">
        <v>371</v>
      </c>
      <c r="N571" t="s">
        <v>372</v>
      </c>
      <c r="O571" t="s">
        <v>108</v>
      </c>
      <c r="P571" t="s">
        <v>109</v>
      </c>
      <c r="Q571" t="s">
        <v>39</v>
      </c>
      <c r="R571" t="s">
        <v>40</v>
      </c>
      <c r="S571" s="1">
        <v>3994.2</v>
      </c>
      <c r="T571" s="1">
        <v>1576.2246</v>
      </c>
      <c r="U571" s="1">
        <v>269.88850000000002</v>
      </c>
      <c r="V571" s="1">
        <v>2417.9753999999998</v>
      </c>
      <c r="W571">
        <v>39</v>
      </c>
    </row>
    <row r="572" spans="1:23" hidden="1" x14ac:dyDescent="0.35">
      <c r="A572" t="s">
        <v>33</v>
      </c>
      <c r="B572" t="s">
        <v>466</v>
      </c>
      <c r="C572" t="s">
        <v>373</v>
      </c>
      <c r="D572" t="s">
        <v>364</v>
      </c>
      <c r="E572" t="s">
        <v>365</v>
      </c>
      <c r="F572" t="s">
        <v>189</v>
      </c>
      <c r="G572" t="s">
        <v>366</v>
      </c>
      <c r="H572" t="s">
        <v>28</v>
      </c>
      <c r="I572" t="s">
        <v>231</v>
      </c>
      <c r="J572" t="s">
        <v>232</v>
      </c>
      <c r="K572" t="s">
        <v>33</v>
      </c>
      <c r="L572" t="s">
        <v>51</v>
      </c>
      <c r="M572" t="s">
        <v>371</v>
      </c>
      <c r="N572" t="s">
        <v>372</v>
      </c>
      <c r="O572" t="s">
        <v>334</v>
      </c>
      <c r="P572" t="s">
        <v>335</v>
      </c>
      <c r="Q572" t="s">
        <v>39</v>
      </c>
      <c r="R572" t="s">
        <v>40</v>
      </c>
      <c r="S572" s="1">
        <v>128356.9</v>
      </c>
      <c r="T572" s="1">
        <v>55163.075100000002</v>
      </c>
      <c r="U572" s="1">
        <v>11333.6463</v>
      </c>
      <c r="V572" s="1">
        <v>73193.824900000007</v>
      </c>
      <c r="W572">
        <v>43</v>
      </c>
    </row>
    <row r="573" spans="1:23" hidden="1" x14ac:dyDescent="0.35">
      <c r="A573" t="s">
        <v>33</v>
      </c>
      <c r="B573" t="s">
        <v>466</v>
      </c>
      <c r="C573" t="s">
        <v>374</v>
      </c>
      <c r="D573" t="s">
        <v>364</v>
      </c>
      <c r="E573" t="s">
        <v>365</v>
      </c>
      <c r="F573" t="s">
        <v>189</v>
      </c>
      <c r="G573" t="s">
        <v>366</v>
      </c>
      <c r="H573" t="s">
        <v>28</v>
      </c>
      <c r="I573" t="s">
        <v>231</v>
      </c>
      <c r="J573" t="s">
        <v>232</v>
      </c>
      <c r="K573" t="s">
        <v>33</v>
      </c>
      <c r="L573" t="s">
        <v>51</v>
      </c>
      <c r="M573" t="s">
        <v>375</v>
      </c>
      <c r="N573" t="s">
        <v>376</v>
      </c>
      <c r="O573" t="s">
        <v>197</v>
      </c>
      <c r="P573" t="s">
        <v>198</v>
      </c>
      <c r="Q573" t="s">
        <v>39</v>
      </c>
      <c r="R573" t="s">
        <v>40</v>
      </c>
      <c r="S573" s="1">
        <v>21376.1</v>
      </c>
      <c r="T573" s="1">
        <v>18259.561099999999</v>
      </c>
      <c r="U573" s="1">
        <v>18259.561099999999</v>
      </c>
      <c r="V573" s="1">
        <v>3116.5389</v>
      </c>
      <c r="W573">
        <v>85</v>
      </c>
    </row>
    <row r="574" spans="1:23" hidden="1" x14ac:dyDescent="0.35">
      <c r="A574" t="s">
        <v>33</v>
      </c>
      <c r="B574" t="s">
        <v>466</v>
      </c>
      <c r="C574" t="s">
        <v>377</v>
      </c>
      <c r="D574" t="s">
        <v>364</v>
      </c>
      <c r="E574" t="s">
        <v>365</v>
      </c>
      <c r="F574" t="s">
        <v>189</v>
      </c>
      <c r="G574" t="s">
        <v>366</v>
      </c>
      <c r="H574" t="s">
        <v>28</v>
      </c>
      <c r="I574" t="s">
        <v>231</v>
      </c>
      <c r="J574" t="s">
        <v>232</v>
      </c>
      <c r="K574" t="s">
        <v>33</v>
      </c>
      <c r="L574" t="s">
        <v>51</v>
      </c>
      <c r="M574" t="s">
        <v>378</v>
      </c>
      <c r="N574" t="s">
        <v>379</v>
      </c>
      <c r="O574" t="s">
        <v>108</v>
      </c>
      <c r="P574" t="s">
        <v>109</v>
      </c>
      <c r="Q574" t="s">
        <v>39</v>
      </c>
      <c r="R574" t="s">
        <v>40</v>
      </c>
      <c r="S574" s="1">
        <v>15133.5</v>
      </c>
      <c r="T574" s="1">
        <v>5216.6211000000003</v>
      </c>
      <c r="U574" s="1">
        <v>3164.6736999999998</v>
      </c>
      <c r="V574" s="1">
        <v>9916.8788999999997</v>
      </c>
      <c r="W574">
        <v>34</v>
      </c>
    </row>
    <row r="575" spans="1:23" hidden="1" x14ac:dyDescent="0.35">
      <c r="A575" t="s">
        <v>33</v>
      </c>
      <c r="B575" t="s">
        <v>466</v>
      </c>
      <c r="C575" t="s">
        <v>380</v>
      </c>
      <c r="D575" t="s">
        <v>364</v>
      </c>
      <c r="E575" t="s">
        <v>365</v>
      </c>
      <c r="F575" t="s">
        <v>189</v>
      </c>
      <c r="G575" t="s">
        <v>366</v>
      </c>
      <c r="H575" t="s">
        <v>28</v>
      </c>
      <c r="I575" t="s">
        <v>231</v>
      </c>
      <c r="J575" t="s">
        <v>232</v>
      </c>
      <c r="K575" t="s">
        <v>33</v>
      </c>
      <c r="L575" t="s">
        <v>51</v>
      </c>
      <c r="M575" t="s">
        <v>378</v>
      </c>
      <c r="N575" t="s">
        <v>379</v>
      </c>
      <c r="O575" t="s">
        <v>334</v>
      </c>
      <c r="P575" t="s">
        <v>335</v>
      </c>
      <c r="Q575" t="s">
        <v>39</v>
      </c>
      <c r="R575" t="s">
        <v>40</v>
      </c>
      <c r="S575" s="1">
        <v>509027.5</v>
      </c>
      <c r="T575" s="1">
        <v>216500.18830000001</v>
      </c>
      <c r="U575" s="1">
        <v>46269.845800000003</v>
      </c>
      <c r="V575" s="1">
        <v>292527.31170000002</v>
      </c>
      <c r="W575">
        <v>43</v>
      </c>
    </row>
    <row r="576" spans="1:23" hidden="1" x14ac:dyDescent="0.35">
      <c r="A576" t="s">
        <v>33</v>
      </c>
      <c r="B576" t="s">
        <v>466</v>
      </c>
      <c r="C576" t="s">
        <v>381</v>
      </c>
      <c r="D576" t="s">
        <v>364</v>
      </c>
      <c r="E576" t="s">
        <v>365</v>
      </c>
      <c r="F576" t="s">
        <v>189</v>
      </c>
      <c r="G576" t="s">
        <v>366</v>
      </c>
      <c r="H576" t="s">
        <v>28</v>
      </c>
      <c r="I576" t="s">
        <v>231</v>
      </c>
      <c r="J576" t="s">
        <v>232</v>
      </c>
      <c r="K576" t="s">
        <v>33</v>
      </c>
      <c r="L576" t="s">
        <v>51</v>
      </c>
      <c r="M576" t="s">
        <v>382</v>
      </c>
      <c r="N576" t="s">
        <v>383</v>
      </c>
      <c r="O576" t="s">
        <v>108</v>
      </c>
      <c r="P576" t="s">
        <v>109</v>
      </c>
      <c r="Q576" t="s">
        <v>39</v>
      </c>
      <c r="R576" t="s">
        <v>40</v>
      </c>
      <c r="S576" s="1">
        <v>4541.7</v>
      </c>
      <c r="T576" s="1">
        <v>1510.5424</v>
      </c>
      <c r="U576" s="1">
        <v>384.6223</v>
      </c>
      <c r="V576" s="1">
        <v>3031.1576</v>
      </c>
      <c r="W576">
        <v>33</v>
      </c>
    </row>
    <row r="577" spans="1:23" hidden="1" x14ac:dyDescent="0.35">
      <c r="A577" t="s">
        <v>33</v>
      </c>
      <c r="B577" t="s">
        <v>466</v>
      </c>
      <c r="C577" t="s">
        <v>384</v>
      </c>
      <c r="D577" t="s">
        <v>364</v>
      </c>
      <c r="E577" t="s">
        <v>365</v>
      </c>
      <c r="F577" t="s">
        <v>189</v>
      </c>
      <c r="G577" t="s">
        <v>366</v>
      </c>
      <c r="H577" t="s">
        <v>28</v>
      </c>
      <c r="I577" t="s">
        <v>231</v>
      </c>
      <c r="J577" t="s">
        <v>232</v>
      </c>
      <c r="K577" t="s">
        <v>33</v>
      </c>
      <c r="L577" t="s">
        <v>51</v>
      </c>
      <c r="M577" t="s">
        <v>382</v>
      </c>
      <c r="N577" t="s">
        <v>383</v>
      </c>
      <c r="O577" t="s">
        <v>334</v>
      </c>
      <c r="P577" t="s">
        <v>335</v>
      </c>
      <c r="Q577" t="s">
        <v>39</v>
      </c>
      <c r="R577" t="s">
        <v>40</v>
      </c>
      <c r="S577" s="1">
        <v>59802</v>
      </c>
      <c r="T577" s="1">
        <v>22782.485799999999</v>
      </c>
      <c r="U577" s="1">
        <v>4496.1469999999999</v>
      </c>
      <c r="V577" s="1">
        <v>37019.514199999998</v>
      </c>
      <c r="W577">
        <v>38</v>
      </c>
    </row>
    <row r="578" spans="1:23" hidden="1" x14ac:dyDescent="0.35">
      <c r="A578" t="s">
        <v>33</v>
      </c>
      <c r="B578" t="s">
        <v>466</v>
      </c>
      <c r="C578" t="s">
        <v>385</v>
      </c>
      <c r="D578" t="s">
        <v>364</v>
      </c>
      <c r="E578" t="s">
        <v>365</v>
      </c>
      <c r="F578" t="s">
        <v>189</v>
      </c>
      <c r="G578" t="s">
        <v>366</v>
      </c>
      <c r="H578" t="s">
        <v>28</v>
      </c>
      <c r="I578" t="s">
        <v>231</v>
      </c>
      <c r="J578" t="s">
        <v>232</v>
      </c>
      <c r="K578" t="s">
        <v>33</v>
      </c>
      <c r="L578" t="s">
        <v>51</v>
      </c>
      <c r="M578" t="s">
        <v>386</v>
      </c>
      <c r="N578" t="s">
        <v>387</v>
      </c>
      <c r="O578" t="s">
        <v>197</v>
      </c>
      <c r="P578" t="s">
        <v>198</v>
      </c>
      <c r="Q578" t="s">
        <v>39</v>
      </c>
      <c r="R578" t="s">
        <v>40</v>
      </c>
      <c r="S578" s="1">
        <v>3856.7</v>
      </c>
      <c r="T578" s="1">
        <v>847.63739999999996</v>
      </c>
      <c r="U578" s="1">
        <v>847.63739999999996</v>
      </c>
      <c r="V578" s="1">
        <v>3009.0626000000002</v>
      </c>
      <c r="W578">
        <v>22</v>
      </c>
    </row>
    <row r="579" spans="1:23" hidden="1" x14ac:dyDescent="0.35">
      <c r="A579" t="s">
        <v>33</v>
      </c>
      <c r="B579" t="s">
        <v>466</v>
      </c>
      <c r="C579" t="s">
        <v>388</v>
      </c>
      <c r="D579" t="s">
        <v>364</v>
      </c>
      <c r="E579" t="s">
        <v>365</v>
      </c>
      <c r="F579" t="s">
        <v>189</v>
      </c>
      <c r="G579" t="s">
        <v>366</v>
      </c>
      <c r="H579" t="s">
        <v>28</v>
      </c>
      <c r="I579" t="s">
        <v>231</v>
      </c>
      <c r="J579" t="s">
        <v>232</v>
      </c>
      <c r="K579" t="s">
        <v>33</v>
      </c>
      <c r="L579" t="s">
        <v>51</v>
      </c>
      <c r="M579" t="s">
        <v>389</v>
      </c>
      <c r="N579" t="s">
        <v>390</v>
      </c>
      <c r="O579" t="s">
        <v>197</v>
      </c>
      <c r="P579" t="s">
        <v>198</v>
      </c>
      <c r="Q579" t="s">
        <v>39</v>
      </c>
      <c r="R579" t="s">
        <v>40</v>
      </c>
      <c r="S579" s="1">
        <v>2500</v>
      </c>
      <c r="T579" s="1">
        <v>0</v>
      </c>
      <c r="U579" s="1">
        <v>0</v>
      </c>
      <c r="V579" s="1">
        <v>2500</v>
      </c>
      <c r="W579">
        <v>0</v>
      </c>
    </row>
    <row r="580" spans="1:23" hidden="1" x14ac:dyDescent="0.35">
      <c r="A580" t="s">
        <v>33</v>
      </c>
      <c r="B580" t="s">
        <v>466</v>
      </c>
      <c r="C580" t="s">
        <v>391</v>
      </c>
      <c r="D580" t="s">
        <v>392</v>
      </c>
      <c r="E580" t="s">
        <v>365</v>
      </c>
      <c r="F580" t="s">
        <v>28</v>
      </c>
      <c r="G580" t="s">
        <v>393</v>
      </c>
      <c r="H580" t="s">
        <v>28</v>
      </c>
      <c r="I580" t="s">
        <v>231</v>
      </c>
      <c r="J580" t="s">
        <v>232</v>
      </c>
      <c r="K580" t="s">
        <v>33</v>
      </c>
      <c r="L580" t="s">
        <v>51</v>
      </c>
      <c r="M580" t="s">
        <v>394</v>
      </c>
      <c r="N580" t="s">
        <v>395</v>
      </c>
      <c r="O580" t="s">
        <v>197</v>
      </c>
      <c r="P580" t="s">
        <v>198</v>
      </c>
      <c r="Q580" t="s">
        <v>39</v>
      </c>
      <c r="R580" t="s">
        <v>40</v>
      </c>
      <c r="S580" s="1">
        <v>51205.3</v>
      </c>
      <c r="T580" s="1">
        <v>38435.2235</v>
      </c>
      <c r="U580" s="1">
        <v>5232.7635</v>
      </c>
      <c r="V580" s="1">
        <v>12770.076499999999</v>
      </c>
      <c r="W580">
        <v>75</v>
      </c>
    </row>
    <row r="581" spans="1:23" hidden="1" x14ac:dyDescent="0.35">
      <c r="A581" t="s">
        <v>33</v>
      </c>
      <c r="B581" t="s">
        <v>466</v>
      </c>
      <c r="C581" t="s">
        <v>479</v>
      </c>
      <c r="D581" t="s">
        <v>397</v>
      </c>
      <c r="E581" t="s">
        <v>365</v>
      </c>
      <c r="F581" t="s">
        <v>318</v>
      </c>
      <c r="G581" t="s">
        <v>398</v>
      </c>
      <c r="H581" t="s">
        <v>28</v>
      </c>
      <c r="I581" t="s">
        <v>231</v>
      </c>
      <c r="J581" t="s">
        <v>480</v>
      </c>
      <c r="K581" t="s">
        <v>23</v>
      </c>
      <c r="L581" t="s">
        <v>203</v>
      </c>
      <c r="M581" t="s">
        <v>481</v>
      </c>
      <c r="N581" t="s">
        <v>482</v>
      </c>
      <c r="O581" t="s">
        <v>197</v>
      </c>
      <c r="P581" t="s">
        <v>198</v>
      </c>
      <c r="Q581" t="s">
        <v>39</v>
      </c>
      <c r="R581" t="s">
        <v>40</v>
      </c>
      <c r="S581" s="1">
        <v>11784.4</v>
      </c>
      <c r="T581" s="1">
        <v>0</v>
      </c>
      <c r="U581" s="1">
        <v>0</v>
      </c>
      <c r="V581" s="1">
        <v>11784.4</v>
      </c>
      <c r="W581">
        <v>0</v>
      </c>
    </row>
    <row r="582" spans="1:23" hidden="1" x14ac:dyDescent="0.35">
      <c r="A582" t="s">
        <v>33</v>
      </c>
      <c r="B582" t="s">
        <v>466</v>
      </c>
      <c r="C582" t="s">
        <v>396</v>
      </c>
      <c r="D582" t="s">
        <v>397</v>
      </c>
      <c r="E582" t="s">
        <v>365</v>
      </c>
      <c r="F582" t="s">
        <v>318</v>
      </c>
      <c r="G582" t="s">
        <v>398</v>
      </c>
      <c r="H582" t="s">
        <v>116</v>
      </c>
      <c r="I582" t="s">
        <v>148</v>
      </c>
      <c r="J582" t="s">
        <v>149</v>
      </c>
      <c r="K582" t="s">
        <v>33</v>
      </c>
      <c r="L582" t="s">
        <v>34</v>
      </c>
      <c r="M582" t="s">
        <v>399</v>
      </c>
      <c r="N582" t="s">
        <v>400</v>
      </c>
      <c r="O582" t="s">
        <v>401</v>
      </c>
      <c r="P582" t="s">
        <v>402</v>
      </c>
      <c r="Q582" t="s">
        <v>39</v>
      </c>
      <c r="R582" t="s">
        <v>40</v>
      </c>
      <c r="S582" s="1">
        <v>1328.7</v>
      </c>
      <c r="T582" s="1">
        <v>658.73329999999999</v>
      </c>
      <c r="U582" s="1">
        <v>309.5</v>
      </c>
      <c r="V582" s="1">
        <v>669.96669999999995</v>
      </c>
      <c r="W582">
        <v>50</v>
      </c>
    </row>
    <row r="583" spans="1:23" hidden="1" x14ac:dyDescent="0.35">
      <c r="A583" t="s">
        <v>33</v>
      </c>
      <c r="B583" t="s">
        <v>466</v>
      </c>
      <c r="C583" t="s">
        <v>403</v>
      </c>
      <c r="D583" t="s">
        <v>404</v>
      </c>
      <c r="E583" t="s">
        <v>405</v>
      </c>
      <c r="F583" t="s">
        <v>146</v>
      </c>
      <c r="G583" t="s">
        <v>406</v>
      </c>
      <c r="H583" t="s">
        <v>318</v>
      </c>
      <c r="I583" t="s">
        <v>407</v>
      </c>
      <c r="J583" t="s">
        <v>408</v>
      </c>
      <c r="K583" t="s">
        <v>33</v>
      </c>
      <c r="L583" t="s">
        <v>51</v>
      </c>
      <c r="M583" t="s">
        <v>409</v>
      </c>
      <c r="N583" t="s">
        <v>410</v>
      </c>
      <c r="O583" t="s">
        <v>108</v>
      </c>
      <c r="P583" t="s">
        <v>109</v>
      </c>
      <c r="Q583" t="s">
        <v>39</v>
      </c>
      <c r="R583" t="s">
        <v>40</v>
      </c>
      <c r="S583" s="1">
        <v>191160.4</v>
      </c>
      <c r="T583" s="1">
        <v>71697.000700000004</v>
      </c>
      <c r="U583" s="1">
        <v>13753.739299999999</v>
      </c>
      <c r="V583" s="1">
        <v>119463.3993</v>
      </c>
      <c r="W583">
        <v>38</v>
      </c>
    </row>
    <row r="584" spans="1:23" hidden="1" x14ac:dyDescent="0.35">
      <c r="A584" t="s">
        <v>33</v>
      </c>
      <c r="B584" t="s">
        <v>466</v>
      </c>
      <c r="C584" t="s">
        <v>440</v>
      </c>
      <c r="D584" t="s">
        <v>404</v>
      </c>
      <c r="E584" t="s">
        <v>405</v>
      </c>
      <c r="F584" t="s">
        <v>146</v>
      </c>
      <c r="G584" t="s">
        <v>406</v>
      </c>
      <c r="H584" t="s">
        <v>318</v>
      </c>
      <c r="I584" t="s">
        <v>407</v>
      </c>
      <c r="J584" t="s">
        <v>408</v>
      </c>
      <c r="K584" t="s">
        <v>33</v>
      </c>
      <c r="L584" t="s">
        <v>51</v>
      </c>
      <c r="M584" t="s">
        <v>441</v>
      </c>
      <c r="N584" t="s">
        <v>442</v>
      </c>
      <c r="O584" t="s">
        <v>197</v>
      </c>
      <c r="P584" t="s">
        <v>198</v>
      </c>
      <c r="Q584" t="s">
        <v>39</v>
      </c>
      <c r="R584" t="s">
        <v>40</v>
      </c>
      <c r="S584" s="1">
        <v>35508.9</v>
      </c>
      <c r="T584" s="1">
        <v>57</v>
      </c>
      <c r="U584" s="1">
        <v>57</v>
      </c>
      <c r="V584" s="1">
        <v>35451.9</v>
      </c>
      <c r="W584">
        <v>0</v>
      </c>
    </row>
    <row r="585" spans="1:23" hidden="1" x14ac:dyDescent="0.35">
      <c r="A585" t="s">
        <v>33</v>
      </c>
      <c r="B585" t="s">
        <v>466</v>
      </c>
      <c r="C585" t="s">
        <v>411</v>
      </c>
      <c r="D585" t="s">
        <v>412</v>
      </c>
      <c r="E585" t="s">
        <v>405</v>
      </c>
      <c r="F585" t="s">
        <v>189</v>
      </c>
      <c r="G585" t="s">
        <v>413</v>
      </c>
      <c r="H585" t="s">
        <v>318</v>
      </c>
      <c r="I585" t="s">
        <v>407</v>
      </c>
      <c r="J585" t="s">
        <v>408</v>
      </c>
      <c r="K585" t="s">
        <v>33</v>
      </c>
      <c r="L585" t="s">
        <v>51</v>
      </c>
      <c r="M585" t="s">
        <v>414</v>
      </c>
      <c r="N585" t="s">
        <v>415</v>
      </c>
      <c r="O585" t="s">
        <v>197</v>
      </c>
      <c r="P585" t="s">
        <v>198</v>
      </c>
      <c r="Q585" t="s">
        <v>39</v>
      </c>
      <c r="R585" t="s">
        <v>40</v>
      </c>
      <c r="S585" s="1">
        <v>3693.1</v>
      </c>
      <c r="T585" s="1">
        <v>789.55</v>
      </c>
      <c r="U585" s="1">
        <v>789.55</v>
      </c>
      <c r="V585" s="1">
        <v>2903.55</v>
      </c>
      <c r="W585">
        <v>21</v>
      </c>
    </row>
    <row r="586" spans="1:23" hidden="1" x14ac:dyDescent="0.35">
      <c r="A586" t="s">
        <v>33</v>
      </c>
      <c r="B586" t="s">
        <v>466</v>
      </c>
      <c r="C586" t="s">
        <v>416</v>
      </c>
      <c r="D586" t="s">
        <v>417</v>
      </c>
      <c r="E586" t="s">
        <v>405</v>
      </c>
      <c r="F586" t="s">
        <v>28</v>
      </c>
      <c r="G586" t="s">
        <v>418</v>
      </c>
      <c r="H586" t="s">
        <v>318</v>
      </c>
      <c r="I586" t="s">
        <v>407</v>
      </c>
      <c r="J586" t="s">
        <v>408</v>
      </c>
      <c r="K586" t="s">
        <v>33</v>
      </c>
      <c r="L586" t="s">
        <v>51</v>
      </c>
      <c r="M586" t="s">
        <v>419</v>
      </c>
      <c r="N586" t="s">
        <v>420</v>
      </c>
      <c r="O586" t="s">
        <v>108</v>
      </c>
      <c r="P586" t="s">
        <v>109</v>
      </c>
      <c r="Q586" t="s">
        <v>39</v>
      </c>
      <c r="R586" t="s">
        <v>40</v>
      </c>
      <c r="S586" s="1">
        <v>356415.3</v>
      </c>
      <c r="T586" s="1">
        <v>111770.6061</v>
      </c>
      <c r="U586" s="1">
        <v>22517.488700000002</v>
      </c>
      <c r="V586" s="1">
        <v>244644.69390000001</v>
      </c>
      <c r="W586">
        <v>31</v>
      </c>
    </row>
    <row r="587" spans="1:23" hidden="1" x14ac:dyDescent="0.35">
      <c r="A587" t="s">
        <v>483</v>
      </c>
      <c r="B587" t="s">
        <v>484</v>
      </c>
      <c r="C587" t="s">
        <v>25</v>
      </c>
      <c r="D587" t="s">
        <v>26</v>
      </c>
      <c r="E587" t="s">
        <v>27</v>
      </c>
      <c r="F587" t="s">
        <v>28</v>
      </c>
      <c r="G587" t="s">
        <v>29</v>
      </c>
      <c r="H587" t="s">
        <v>30</v>
      </c>
      <c r="I587" t="s">
        <v>31</v>
      </c>
      <c r="J587" t="s">
        <v>32</v>
      </c>
      <c r="K587" t="s">
        <v>33</v>
      </c>
      <c r="L587" t="s">
        <v>34</v>
      </c>
      <c r="M587" t="s">
        <v>35</v>
      </c>
      <c r="N587" t="s">
        <v>36</v>
      </c>
      <c r="O587" t="s">
        <v>37</v>
      </c>
      <c r="P587" t="s">
        <v>38</v>
      </c>
      <c r="Q587" t="s">
        <v>39</v>
      </c>
      <c r="R587" t="s">
        <v>40</v>
      </c>
      <c r="S587" s="1">
        <v>597.70000000000005</v>
      </c>
      <c r="T587" s="1">
        <v>111.57550000000001</v>
      </c>
      <c r="U587" s="1">
        <v>22.315100000000001</v>
      </c>
      <c r="V587" s="1">
        <v>486.12450000000001</v>
      </c>
      <c r="W587">
        <v>19</v>
      </c>
    </row>
    <row r="588" spans="1:23" hidden="1" x14ac:dyDescent="0.35">
      <c r="A588" t="s">
        <v>483</v>
      </c>
      <c r="B588" t="s">
        <v>484</v>
      </c>
      <c r="C588" t="s">
        <v>41</v>
      </c>
      <c r="D588" t="s">
        <v>26</v>
      </c>
      <c r="E588" t="s">
        <v>27</v>
      </c>
      <c r="F588" t="s">
        <v>28</v>
      </c>
      <c r="G588" t="s">
        <v>29</v>
      </c>
      <c r="H588" t="s">
        <v>30</v>
      </c>
      <c r="I588" t="s">
        <v>31</v>
      </c>
      <c r="J588" t="s">
        <v>32</v>
      </c>
      <c r="K588" t="s">
        <v>33</v>
      </c>
      <c r="L588" t="s">
        <v>34</v>
      </c>
      <c r="M588" t="s">
        <v>35</v>
      </c>
      <c r="N588" t="s">
        <v>36</v>
      </c>
      <c r="O588" t="s">
        <v>42</v>
      </c>
      <c r="P588" t="s">
        <v>43</v>
      </c>
      <c r="Q588" t="s">
        <v>39</v>
      </c>
      <c r="R588" t="s">
        <v>40</v>
      </c>
      <c r="S588" s="1">
        <v>165.3</v>
      </c>
      <c r="T588" s="1">
        <v>123.1195</v>
      </c>
      <c r="U588" s="1">
        <v>6.9538000000000002</v>
      </c>
      <c r="V588" s="1">
        <v>42.180500000000002</v>
      </c>
      <c r="W588">
        <v>74</v>
      </c>
    </row>
    <row r="589" spans="1:23" hidden="1" x14ac:dyDescent="0.35">
      <c r="A589" t="s">
        <v>483</v>
      </c>
      <c r="B589" t="s">
        <v>484</v>
      </c>
      <c r="C589" t="s">
        <v>44</v>
      </c>
      <c r="D589" t="s">
        <v>45</v>
      </c>
      <c r="E589" t="s">
        <v>27</v>
      </c>
      <c r="F589" t="s">
        <v>46</v>
      </c>
      <c r="G589" t="s">
        <v>47</v>
      </c>
      <c r="H589" t="s">
        <v>48</v>
      </c>
      <c r="I589" t="s">
        <v>49</v>
      </c>
      <c r="J589" t="s">
        <v>50</v>
      </c>
      <c r="K589" t="s">
        <v>33</v>
      </c>
      <c r="L589" t="s">
        <v>51</v>
      </c>
      <c r="M589" t="s">
        <v>52</v>
      </c>
      <c r="N589" t="s">
        <v>53</v>
      </c>
      <c r="O589" t="s">
        <v>54</v>
      </c>
      <c r="P589" t="s">
        <v>55</v>
      </c>
      <c r="Q589" t="s">
        <v>39</v>
      </c>
      <c r="R589" t="s">
        <v>40</v>
      </c>
      <c r="S589" s="1">
        <v>67.2</v>
      </c>
      <c r="T589" s="1">
        <v>0</v>
      </c>
      <c r="U589" s="1">
        <v>0</v>
      </c>
      <c r="V589" s="1">
        <v>67.2</v>
      </c>
      <c r="W589">
        <v>0</v>
      </c>
    </row>
    <row r="590" spans="1:23" hidden="1" x14ac:dyDescent="0.35">
      <c r="A590" t="s">
        <v>483</v>
      </c>
      <c r="B590" t="s">
        <v>484</v>
      </c>
      <c r="C590" t="s">
        <v>56</v>
      </c>
      <c r="D590" t="s">
        <v>45</v>
      </c>
      <c r="E590" t="s">
        <v>27</v>
      </c>
      <c r="F590" t="s">
        <v>46</v>
      </c>
      <c r="G590" t="s">
        <v>47</v>
      </c>
      <c r="H590" t="s">
        <v>48</v>
      </c>
      <c r="I590" t="s">
        <v>49</v>
      </c>
      <c r="J590" t="s">
        <v>50</v>
      </c>
      <c r="K590" t="s">
        <v>33</v>
      </c>
      <c r="L590" t="s">
        <v>51</v>
      </c>
      <c r="M590" t="s">
        <v>57</v>
      </c>
      <c r="N590" t="s">
        <v>58</v>
      </c>
      <c r="O590" t="s">
        <v>37</v>
      </c>
      <c r="P590" t="s">
        <v>38</v>
      </c>
      <c r="Q590" t="s">
        <v>39</v>
      </c>
      <c r="R590" t="s">
        <v>40</v>
      </c>
      <c r="S590" s="1">
        <v>61.9</v>
      </c>
      <c r="T590" s="1">
        <v>0</v>
      </c>
      <c r="U590" s="1">
        <v>0</v>
      </c>
      <c r="V590" s="1">
        <v>61.9</v>
      </c>
      <c r="W590">
        <v>0</v>
      </c>
    </row>
    <row r="591" spans="1:23" hidden="1" x14ac:dyDescent="0.35">
      <c r="A591" t="s">
        <v>483</v>
      </c>
      <c r="B591" t="s">
        <v>484</v>
      </c>
      <c r="C591" t="s">
        <v>59</v>
      </c>
      <c r="D591" t="s">
        <v>45</v>
      </c>
      <c r="E591" t="s">
        <v>27</v>
      </c>
      <c r="F591" t="s">
        <v>46</v>
      </c>
      <c r="G591" t="s">
        <v>47</v>
      </c>
      <c r="H591" t="s">
        <v>60</v>
      </c>
      <c r="I591" t="s">
        <v>61</v>
      </c>
      <c r="J591" t="s">
        <v>62</v>
      </c>
      <c r="K591" t="s">
        <v>33</v>
      </c>
      <c r="L591" t="s">
        <v>51</v>
      </c>
      <c r="M591" t="s">
        <v>63</v>
      </c>
      <c r="N591" t="s">
        <v>64</v>
      </c>
      <c r="O591" t="s">
        <v>37</v>
      </c>
      <c r="P591" t="s">
        <v>38</v>
      </c>
      <c r="Q591" t="s">
        <v>39</v>
      </c>
      <c r="R591" t="s">
        <v>40</v>
      </c>
      <c r="S591" s="1">
        <v>216.9</v>
      </c>
      <c r="T591" s="1">
        <v>115.1</v>
      </c>
      <c r="U591" s="1">
        <v>21</v>
      </c>
      <c r="V591" s="1">
        <v>101.8</v>
      </c>
      <c r="W591">
        <v>53</v>
      </c>
    </row>
    <row r="592" spans="1:23" hidden="1" x14ac:dyDescent="0.35">
      <c r="A592" t="s">
        <v>483</v>
      </c>
      <c r="B592" t="s">
        <v>484</v>
      </c>
      <c r="C592" t="s">
        <v>65</v>
      </c>
      <c r="D592" t="s">
        <v>45</v>
      </c>
      <c r="E592" t="s">
        <v>27</v>
      </c>
      <c r="F592" t="s">
        <v>46</v>
      </c>
      <c r="G592" t="s">
        <v>47</v>
      </c>
      <c r="H592" t="s">
        <v>66</v>
      </c>
      <c r="I592" t="s">
        <v>67</v>
      </c>
      <c r="J592" t="s">
        <v>68</v>
      </c>
      <c r="K592" t="s">
        <v>33</v>
      </c>
      <c r="L592" t="s">
        <v>51</v>
      </c>
      <c r="M592" t="s">
        <v>69</v>
      </c>
      <c r="N592" t="s">
        <v>70</v>
      </c>
      <c r="O592" t="s">
        <v>37</v>
      </c>
      <c r="P592" t="s">
        <v>38</v>
      </c>
      <c r="Q592" t="s">
        <v>39</v>
      </c>
      <c r="R592" t="s">
        <v>40</v>
      </c>
      <c r="S592" s="1">
        <v>557.5</v>
      </c>
      <c r="T592" s="1">
        <v>340.46629999999999</v>
      </c>
      <c r="U592" s="1">
        <v>100.5471</v>
      </c>
      <c r="V592" s="1">
        <v>217.03370000000001</v>
      </c>
      <c r="W592">
        <v>61</v>
      </c>
    </row>
    <row r="593" spans="1:23" hidden="1" x14ac:dyDescent="0.35">
      <c r="A593" t="s">
        <v>483</v>
      </c>
      <c r="B593" t="s">
        <v>484</v>
      </c>
      <c r="C593" t="s">
        <v>71</v>
      </c>
      <c r="D593" t="s">
        <v>45</v>
      </c>
      <c r="E593" t="s">
        <v>27</v>
      </c>
      <c r="F593" t="s">
        <v>46</v>
      </c>
      <c r="G593" t="s">
        <v>47</v>
      </c>
      <c r="H593" t="s">
        <v>30</v>
      </c>
      <c r="I593" t="s">
        <v>31</v>
      </c>
      <c r="J593" t="s">
        <v>32</v>
      </c>
      <c r="K593" t="s">
        <v>33</v>
      </c>
      <c r="L593" t="s">
        <v>34</v>
      </c>
      <c r="M593" t="s">
        <v>72</v>
      </c>
      <c r="N593" t="s">
        <v>73</v>
      </c>
      <c r="O593" t="s">
        <v>74</v>
      </c>
      <c r="P593" t="s">
        <v>75</v>
      </c>
      <c r="Q593" t="s">
        <v>39</v>
      </c>
      <c r="R593" t="s">
        <v>40</v>
      </c>
      <c r="S593" s="1">
        <v>349800.7</v>
      </c>
      <c r="T593" s="1">
        <v>149222.5704</v>
      </c>
      <c r="U593" s="1">
        <v>27357.034199999998</v>
      </c>
      <c r="V593" s="1">
        <v>200578.12959999999</v>
      </c>
      <c r="W593">
        <v>43</v>
      </c>
    </row>
    <row r="594" spans="1:23" hidden="1" x14ac:dyDescent="0.35">
      <c r="A594" t="s">
        <v>483</v>
      </c>
      <c r="B594" t="s">
        <v>484</v>
      </c>
      <c r="C594" t="s">
        <v>76</v>
      </c>
      <c r="D594" t="s">
        <v>45</v>
      </c>
      <c r="E594" t="s">
        <v>27</v>
      </c>
      <c r="F594" t="s">
        <v>46</v>
      </c>
      <c r="G594" t="s">
        <v>47</v>
      </c>
      <c r="H594" t="s">
        <v>30</v>
      </c>
      <c r="I594" t="s">
        <v>31</v>
      </c>
      <c r="J594" t="s">
        <v>32</v>
      </c>
      <c r="K594" t="s">
        <v>33</v>
      </c>
      <c r="L594" t="s">
        <v>34</v>
      </c>
      <c r="M594" t="s">
        <v>72</v>
      </c>
      <c r="N594" t="s">
        <v>73</v>
      </c>
      <c r="O594" t="s">
        <v>77</v>
      </c>
      <c r="P594" t="s">
        <v>78</v>
      </c>
      <c r="Q594" t="s">
        <v>39</v>
      </c>
      <c r="R594" t="s">
        <v>40</v>
      </c>
      <c r="S594" s="1">
        <v>100.2</v>
      </c>
      <c r="T594" s="1">
        <v>9.4619999999999997</v>
      </c>
      <c r="U594" s="1">
        <v>1.4690000000000001</v>
      </c>
      <c r="V594" s="1">
        <v>90.738</v>
      </c>
      <c r="W594">
        <v>9</v>
      </c>
    </row>
    <row r="595" spans="1:23" hidden="1" x14ac:dyDescent="0.35">
      <c r="A595" t="s">
        <v>483</v>
      </c>
      <c r="B595" t="s">
        <v>484</v>
      </c>
      <c r="C595" t="s">
        <v>79</v>
      </c>
      <c r="D595" t="s">
        <v>45</v>
      </c>
      <c r="E595" t="s">
        <v>27</v>
      </c>
      <c r="F595" t="s">
        <v>46</v>
      </c>
      <c r="G595" t="s">
        <v>47</v>
      </c>
      <c r="H595" t="s">
        <v>30</v>
      </c>
      <c r="I595" t="s">
        <v>31</v>
      </c>
      <c r="J595" t="s">
        <v>32</v>
      </c>
      <c r="K595" t="s">
        <v>33</v>
      </c>
      <c r="L595" t="s">
        <v>34</v>
      </c>
      <c r="M595" t="s">
        <v>72</v>
      </c>
      <c r="N595" t="s">
        <v>73</v>
      </c>
      <c r="O595" t="s">
        <v>80</v>
      </c>
      <c r="P595" t="s">
        <v>81</v>
      </c>
      <c r="Q595" t="s">
        <v>39</v>
      </c>
      <c r="R595" t="s">
        <v>40</v>
      </c>
      <c r="S595" s="1">
        <v>105260</v>
      </c>
      <c r="T595" s="1">
        <v>46702.732300000003</v>
      </c>
      <c r="U595" s="1">
        <v>7957.8175000000001</v>
      </c>
      <c r="V595" s="1">
        <v>58557.267699999997</v>
      </c>
      <c r="W595">
        <v>44</v>
      </c>
    </row>
    <row r="596" spans="1:23" hidden="1" x14ac:dyDescent="0.35">
      <c r="A596" t="s">
        <v>483</v>
      </c>
      <c r="B596" t="s">
        <v>484</v>
      </c>
      <c r="C596" t="s">
        <v>82</v>
      </c>
      <c r="D596" t="s">
        <v>45</v>
      </c>
      <c r="E596" t="s">
        <v>27</v>
      </c>
      <c r="F596" t="s">
        <v>46</v>
      </c>
      <c r="G596" t="s">
        <v>47</v>
      </c>
      <c r="H596" t="s">
        <v>30</v>
      </c>
      <c r="I596" t="s">
        <v>31</v>
      </c>
      <c r="J596" t="s">
        <v>32</v>
      </c>
      <c r="K596" t="s">
        <v>33</v>
      </c>
      <c r="L596" t="s">
        <v>34</v>
      </c>
      <c r="M596" t="s">
        <v>72</v>
      </c>
      <c r="N596" t="s">
        <v>73</v>
      </c>
      <c r="O596" t="s">
        <v>83</v>
      </c>
      <c r="P596" t="s">
        <v>84</v>
      </c>
      <c r="Q596" t="s">
        <v>39</v>
      </c>
      <c r="R596" t="s">
        <v>40</v>
      </c>
      <c r="S596" s="1">
        <v>300</v>
      </c>
      <c r="T596" s="1">
        <v>102.33669999999999</v>
      </c>
      <c r="U596" s="1">
        <v>10.626099999999999</v>
      </c>
      <c r="V596" s="1">
        <v>197.66329999999999</v>
      </c>
      <c r="W596">
        <v>34</v>
      </c>
    </row>
    <row r="597" spans="1:23" hidden="1" x14ac:dyDescent="0.35">
      <c r="A597" t="s">
        <v>483</v>
      </c>
      <c r="B597" t="s">
        <v>484</v>
      </c>
      <c r="C597" t="s">
        <v>85</v>
      </c>
      <c r="D597" t="s">
        <v>45</v>
      </c>
      <c r="E597" t="s">
        <v>27</v>
      </c>
      <c r="F597" t="s">
        <v>46</v>
      </c>
      <c r="G597" t="s">
        <v>47</v>
      </c>
      <c r="H597" t="s">
        <v>30</v>
      </c>
      <c r="I597" t="s">
        <v>31</v>
      </c>
      <c r="J597" t="s">
        <v>32</v>
      </c>
      <c r="K597" t="s">
        <v>33</v>
      </c>
      <c r="L597" t="s">
        <v>34</v>
      </c>
      <c r="M597" t="s">
        <v>72</v>
      </c>
      <c r="N597" t="s">
        <v>73</v>
      </c>
      <c r="O597" t="s">
        <v>86</v>
      </c>
      <c r="P597" t="s">
        <v>87</v>
      </c>
      <c r="Q597" t="s">
        <v>39</v>
      </c>
      <c r="R597" t="s">
        <v>40</v>
      </c>
      <c r="S597" s="1">
        <v>31341.1</v>
      </c>
      <c r="T597" s="1">
        <v>4636.8482000000004</v>
      </c>
      <c r="U597" s="1">
        <v>0</v>
      </c>
      <c r="V597" s="1">
        <v>26704.251799999998</v>
      </c>
      <c r="W597">
        <v>15</v>
      </c>
    </row>
    <row r="598" spans="1:23" hidden="1" x14ac:dyDescent="0.35">
      <c r="A598" t="s">
        <v>483</v>
      </c>
      <c r="B598" t="s">
        <v>484</v>
      </c>
      <c r="C598" t="s">
        <v>88</v>
      </c>
      <c r="D598" t="s">
        <v>45</v>
      </c>
      <c r="E598" t="s">
        <v>27</v>
      </c>
      <c r="F598" t="s">
        <v>46</v>
      </c>
      <c r="G598" t="s">
        <v>47</v>
      </c>
      <c r="H598" t="s">
        <v>30</v>
      </c>
      <c r="I598" t="s">
        <v>31</v>
      </c>
      <c r="J598" t="s">
        <v>32</v>
      </c>
      <c r="K598" t="s">
        <v>33</v>
      </c>
      <c r="L598" t="s">
        <v>34</v>
      </c>
      <c r="M598" t="s">
        <v>72</v>
      </c>
      <c r="N598" t="s">
        <v>73</v>
      </c>
      <c r="O598" t="s">
        <v>37</v>
      </c>
      <c r="P598" t="s">
        <v>38</v>
      </c>
      <c r="Q598" t="s">
        <v>39</v>
      </c>
      <c r="R598" t="s">
        <v>40</v>
      </c>
      <c r="S598" s="1">
        <v>68304.899999999994</v>
      </c>
      <c r="T598" s="1">
        <v>12781.4254</v>
      </c>
      <c r="U598" s="1">
        <v>2515.3476000000001</v>
      </c>
      <c r="V598" s="1">
        <v>55523.474600000001</v>
      </c>
      <c r="W598">
        <v>19</v>
      </c>
    </row>
    <row r="599" spans="1:23" hidden="1" x14ac:dyDescent="0.35">
      <c r="A599" t="s">
        <v>483</v>
      </c>
      <c r="B599" t="s">
        <v>484</v>
      </c>
      <c r="C599" t="s">
        <v>89</v>
      </c>
      <c r="D599" t="s">
        <v>45</v>
      </c>
      <c r="E599" t="s">
        <v>27</v>
      </c>
      <c r="F599" t="s">
        <v>46</v>
      </c>
      <c r="G599" t="s">
        <v>47</v>
      </c>
      <c r="H599" t="s">
        <v>30</v>
      </c>
      <c r="I599" t="s">
        <v>31</v>
      </c>
      <c r="J599" t="s">
        <v>32</v>
      </c>
      <c r="K599" t="s">
        <v>33</v>
      </c>
      <c r="L599" t="s">
        <v>34</v>
      </c>
      <c r="M599" t="s">
        <v>72</v>
      </c>
      <c r="N599" t="s">
        <v>73</v>
      </c>
      <c r="O599" t="s">
        <v>42</v>
      </c>
      <c r="P599" t="s">
        <v>43</v>
      </c>
      <c r="Q599" t="s">
        <v>39</v>
      </c>
      <c r="R599" t="s">
        <v>40</v>
      </c>
      <c r="S599" s="1">
        <v>16962</v>
      </c>
      <c r="T599" s="1">
        <v>8839.3812999999991</v>
      </c>
      <c r="U599" s="1">
        <v>964.76869999999997</v>
      </c>
      <c r="V599" s="1">
        <v>8122.6187</v>
      </c>
      <c r="W599">
        <v>52</v>
      </c>
    </row>
    <row r="600" spans="1:23" hidden="1" x14ac:dyDescent="0.35">
      <c r="A600" t="s">
        <v>483</v>
      </c>
      <c r="B600" t="s">
        <v>484</v>
      </c>
      <c r="C600" t="s">
        <v>90</v>
      </c>
      <c r="D600" t="s">
        <v>45</v>
      </c>
      <c r="E600" t="s">
        <v>27</v>
      </c>
      <c r="F600" t="s">
        <v>46</v>
      </c>
      <c r="G600" t="s">
        <v>47</v>
      </c>
      <c r="H600" t="s">
        <v>30</v>
      </c>
      <c r="I600" t="s">
        <v>31</v>
      </c>
      <c r="J600" t="s">
        <v>32</v>
      </c>
      <c r="K600" t="s">
        <v>33</v>
      </c>
      <c r="L600" t="s">
        <v>34</v>
      </c>
      <c r="M600" t="s">
        <v>72</v>
      </c>
      <c r="N600" t="s">
        <v>73</v>
      </c>
      <c r="O600" t="s">
        <v>91</v>
      </c>
      <c r="P600" t="s">
        <v>92</v>
      </c>
      <c r="Q600" t="s">
        <v>39</v>
      </c>
      <c r="R600" t="s">
        <v>40</v>
      </c>
      <c r="S600" s="1">
        <v>112109.2</v>
      </c>
      <c r="T600" s="1">
        <v>112108.8128</v>
      </c>
      <c r="U600" s="1">
        <v>111627.94040000001</v>
      </c>
      <c r="V600" s="1">
        <v>0.38719999999999999</v>
      </c>
      <c r="W600">
        <v>100</v>
      </c>
    </row>
    <row r="601" spans="1:23" hidden="1" x14ac:dyDescent="0.35">
      <c r="A601" t="s">
        <v>483</v>
      </c>
      <c r="B601" t="s">
        <v>484</v>
      </c>
      <c r="C601" t="s">
        <v>93</v>
      </c>
      <c r="D601" t="s">
        <v>45</v>
      </c>
      <c r="E601" t="s">
        <v>27</v>
      </c>
      <c r="F601" t="s">
        <v>46</v>
      </c>
      <c r="G601" t="s">
        <v>47</v>
      </c>
      <c r="H601" t="s">
        <v>30</v>
      </c>
      <c r="I601" t="s">
        <v>31</v>
      </c>
      <c r="J601" t="s">
        <v>32</v>
      </c>
      <c r="K601" t="s">
        <v>33</v>
      </c>
      <c r="L601" t="s">
        <v>34</v>
      </c>
      <c r="M601" t="s">
        <v>94</v>
      </c>
      <c r="N601" t="s">
        <v>95</v>
      </c>
      <c r="O601" t="s">
        <v>96</v>
      </c>
      <c r="P601" t="s">
        <v>97</v>
      </c>
      <c r="Q601" t="s">
        <v>39</v>
      </c>
      <c r="R601" t="s">
        <v>40</v>
      </c>
      <c r="S601" s="1">
        <v>216958.1</v>
      </c>
      <c r="T601" s="1">
        <v>101604.9287</v>
      </c>
      <c r="U601" s="1">
        <v>17975.778300000002</v>
      </c>
      <c r="V601" s="1">
        <v>115353.1713</v>
      </c>
      <c r="W601">
        <v>47</v>
      </c>
    </row>
    <row r="602" spans="1:23" hidden="1" x14ac:dyDescent="0.35">
      <c r="A602" t="s">
        <v>483</v>
      </c>
      <c r="B602" t="s">
        <v>484</v>
      </c>
      <c r="C602" t="s">
        <v>98</v>
      </c>
      <c r="D602" t="s">
        <v>45</v>
      </c>
      <c r="E602" t="s">
        <v>27</v>
      </c>
      <c r="F602" t="s">
        <v>46</v>
      </c>
      <c r="G602" t="s">
        <v>47</v>
      </c>
      <c r="H602" t="s">
        <v>30</v>
      </c>
      <c r="I602" t="s">
        <v>31</v>
      </c>
      <c r="J602" t="s">
        <v>32</v>
      </c>
      <c r="K602" t="s">
        <v>33</v>
      </c>
      <c r="L602" t="s">
        <v>34</v>
      </c>
      <c r="M602" t="s">
        <v>94</v>
      </c>
      <c r="N602" t="s">
        <v>95</v>
      </c>
      <c r="O602" t="s">
        <v>99</v>
      </c>
      <c r="P602" t="s">
        <v>100</v>
      </c>
      <c r="Q602" t="s">
        <v>39</v>
      </c>
      <c r="R602" t="s">
        <v>40</v>
      </c>
      <c r="S602" s="1">
        <v>65398.5</v>
      </c>
      <c r="T602" s="1">
        <v>27283.575499999999</v>
      </c>
      <c r="U602" s="1">
        <v>4526.5587999999998</v>
      </c>
      <c r="V602" s="1">
        <v>38114.924500000001</v>
      </c>
      <c r="W602">
        <v>42</v>
      </c>
    </row>
    <row r="603" spans="1:23" hidden="1" x14ac:dyDescent="0.35">
      <c r="A603" t="s">
        <v>483</v>
      </c>
      <c r="B603" t="s">
        <v>484</v>
      </c>
      <c r="C603" t="s">
        <v>101</v>
      </c>
      <c r="D603" t="s">
        <v>45</v>
      </c>
      <c r="E603" t="s">
        <v>27</v>
      </c>
      <c r="F603" t="s">
        <v>46</v>
      </c>
      <c r="G603" t="s">
        <v>47</v>
      </c>
      <c r="H603" t="s">
        <v>30</v>
      </c>
      <c r="I603" t="s">
        <v>31</v>
      </c>
      <c r="J603" t="s">
        <v>32</v>
      </c>
      <c r="K603" t="s">
        <v>33</v>
      </c>
      <c r="L603" t="s">
        <v>34</v>
      </c>
      <c r="M603" t="s">
        <v>94</v>
      </c>
      <c r="N603" t="s">
        <v>95</v>
      </c>
      <c r="O603" t="s">
        <v>37</v>
      </c>
      <c r="P603" t="s">
        <v>38</v>
      </c>
      <c r="Q603" t="s">
        <v>39</v>
      </c>
      <c r="R603" t="s">
        <v>40</v>
      </c>
      <c r="S603" s="1">
        <v>4394</v>
      </c>
      <c r="T603" s="1">
        <v>2793.3845999999999</v>
      </c>
      <c r="U603" s="1">
        <v>597.66279999999995</v>
      </c>
      <c r="V603" s="1">
        <v>1600.6153999999999</v>
      </c>
      <c r="W603">
        <v>64</v>
      </c>
    </row>
    <row r="604" spans="1:23" hidden="1" x14ac:dyDescent="0.35">
      <c r="A604" t="s">
        <v>483</v>
      </c>
      <c r="B604" t="s">
        <v>484</v>
      </c>
      <c r="C604" t="s">
        <v>467</v>
      </c>
      <c r="D604" t="s">
        <v>45</v>
      </c>
      <c r="E604" t="s">
        <v>27</v>
      </c>
      <c r="F604" t="s">
        <v>46</v>
      </c>
      <c r="G604" t="s">
        <v>47</v>
      </c>
      <c r="H604" t="s">
        <v>30</v>
      </c>
      <c r="I604" t="s">
        <v>31</v>
      </c>
      <c r="J604" t="s">
        <v>32</v>
      </c>
      <c r="K604" t="s">
        <v>33</v>
      </c>
      <c r="L604" t="s">
        <v>34</v>
      </c>
      <c r="M604" t="s">
        <v>94</v>
      </c>
      <c r="N604" t="s">
        <v>95</v>
      </c>
      <c r="O604" t="s">
        <v>468</v>
      </c>
      <c r="P604" t="s">
        <v>469</v>
      </c>
      <c r="Q604" t="s">
        <v>39</v>
      </c>
      <c r="R604" t="s">
        <v>40</v>
      </c>
      <c r="S604" s="1">
        <v>2.2000000000000002</v>
      </c>
      <c r="T604" s="1">
        <v>2.1716000000000002</v>
      </c>
      <c r="U604" s="1">
        <v>0</v>
      </c>
      <c r="V604" s="1">
        <v>2.8400000000000002E-2</v>
      </c>
      <c r="W604">
        <v>99</v>
      </c>
    </row>
    <row r="605" spans="1:23" hidden="1" x14ac:dyDescent="0.35">
      <c r="A605" t="s">
        <v>483</v>
      </c>
      <c r="B605" t="s">
        <v>484</v>
      </c>
      <c r="C605" t="s">
        <v>102</v>
      </c>
      <c r="D605" t="s">
        <v>45</v>
      </c>
      <c r="E605" t="s">
        <v>27</v>
      </c>
      <c r="F605" t="s">
        <v>46</v>
      </c>
      <c r="G605" t="s">
        <v>47</v>
      </c>
      <c r="H605" t="s">
        <v>30</v>
      </c>
      <c r="I605" t="s">
        <v>31</v>
      </c>
      <c r="J605" t="s">
        <v>32</v>
      </c>
      <c r="K605" t="s">
        <v>33</v>
      </c>
      <c r="L605" t="s">
        <v>34</v>
      </c>
      <c r="M605" t="s">
        <v>94</v>
      </c>
      <c r="N605" t="s">
        <v>95</v>
      </c>
      <c r="O605" t="s">
        <v>103</v>
      </c>
      <c r="P605" t="s">
        <v>104</v>
      </c>
      <c r="Q605" t="s">
        <v>39</v>
      </c>
      <c r="R605" t="s">
        <v>40</v>
      </c>
      <c r="S605" s="1">
        <v>3.7</v>
      </c>
      <c r="T605" s="1">
        <v>1.8320000000000001</v>
      </c>
      <c r="U605" s="1">
        <v>0</v>
      </c>
      <c r="V605" s="1">
        <v>1.8680000000000001</v>
      </c>
      <c r="W605">
        <v>50</v>
      </c>
    </row>
    <row r="606" spans="1:23" hidden="1" x14ac:dyDescent="0.35">
      <c r="A606" t="s">
        <v>483</v>
      </c>
      <c r="B606" t="s">
        <v>484</v>
      </c>
      <c r="C606" t="s">
        <v>105</v>
      </c>
      <c r="D606" t="s">
        <v>45</v>
      </c>
      <c r="E606" t="s">
        <v>27</v>
      </c>
      <c r="F606" t="s">
        <v>46</v>
      </c>
      <c r="G606" t="s">
        <v>47</v>
      </c>
      <c r="H606" t="s">
        <v>30</v>
      </c>
      <c r="I606" t="s">
        <v>31</v>
      </c>
      <c r="J606" t="s">
        <v>32</v>
      </c>
      <c r="K606" t="s">
        <v>33</v>
      </c>
      <c r="L606" t="s">
        <v>34</v>
      </c>
      <c r="M606" t="s">
        <v>106</v>
      </c>
      <c r="N606" t="s">
        <v>107</v>
      </c>
      <c r="O606" t="s">
        <v>108</v>
      </c>
      <c r="P606" t="s">
        <v>109</v>
      </c>
      <c r="Q606" t="s">
        <v>39</v>
      </c>
      <c r="R606" t="s">
        <v>40</v>
      </c>
      <c r="S606" s="1">
        <v>81533.600000000006</v>
      </c>
      <c r="T606" s="1">
        <v>37250.641000000003</v>
      </c>
      <c r="U606" s="1">
        <v>6649.9845999999998</v>
      </c>
      <c r="V606" s="1">
        <v>44282.959000000003</v>
      </c>
      <c r="W606">
        <v>46</v>
      </c>
    </row>
    <row r="607" spans="1:23" hidden="1" x14ac:dyDescent="0.35">
      <c r="A607" t="s">
        <v>483</v>
      </c>
      <c r="B607" t="s">
        <v>484</v>
      </c>
      <c r="C607" t="s">
        <v>110</v>
      </c>
      <c r="D607" t="s">
        <v>45</v>
      </c>
      <c r="E607" t="s">
        <v>27</v>
      </c>
      <c r="F607" t="s">
        <v>46</v>
      </c>
      <c r="G607" t="s">
        <v>47</v>
      </c>
      <c r="H607" t="s">
        <v>30</v>
      </c>
      <c r="I607" t="s">
        <v>31</v>
      </c>
      <c r="J607" t="s">
        <v>32</v>
      </c>
      <c r="K607" t="s">
        <v>33</v>
      </c>
      <c r="L607" t="s">
        <v>34</v>
      </c>
      <c r="M607" t="s">
        <v>111</v>
      </c>
      <c r="N607" t="s">
        <v>112</v>
      </c>
      <c r="O607" t="s">
        <v>37</v>
      </c>
      <c r="P607" t="s">
        <v>38</v>
      </c>
      <c r="Q607" t="s">
        <v>39</v>
      </c>
      <c r="R607" t="s">
        <v>40</v>
      </c>
      <c r="S607" s="1">
        <v>6096.1</v>
      </c>
      <c r="T607" s="1">
        <v>3454.0772999999999</v>
      </c>
      <c r="U607" s="1">
        <v>367.19420000000002</v>
      </c>
      <c r="V607" s="1">
        <v>2642.0227</v>
      </c>
      <c r="W607">
        <v>57</v>
      </c>
    </row>
    <row r="608" spans="1:23" hidden="1" x14ac:dyDescent="0.35">
      <c r="A608" t="s">
        <v>483</v>
      </c>
      <c r="B608" t="s">
        <v>484</v>
      </c>
      <c r="C608" t="s">
        <v>485</v>
      </c>
      <c r="D608" t="s">
        <v>45</v>
      </c>
      <c r="E608" t="s">
        <v>27</v>
      </c>
      <c r="F608" t="s">
        <v>46</v>
      </c>
      <c r="G608" t="s">
        <v>47</v>
      </c>
      <c r="H608" t="s">
        <v>30</v>
      </c>
      <c r="I608" t="s">
        <v>31</v>
      </c>
      <c r="J608" t="s">
        <v>32</v>
      </c>
      <c r="K608" t="s">
        <v>33</v>
      </c>
      <c r="L608" t="s">
        <v>34</v>
      </c>
      <c r="M608" t="s">
        <v>111</v>
      </c>
      <c r="N608" t="s">
        <v>112</v>
      </c>
      <c r="O608" t="s">
        <v>42</v>
      </c>
      <c r="P608" t="s">
        <v>43</v>
      </c>
      <c r="Q608" t="s">
        <v>39</v>
      </c>
      <c r="R608" t="s">
        <v>40</v>
      </c>
      <c r="S608" s="1">
        <v>97.5</v>
      </c>
      <c r="T608" s="1">
        <v>0</v>
      </c>
      <c r="U608" s="1">
        <v>0</v>
      </c>
      <c r="V608" s="1">
        <v>97.5</v>
      </c>
      <c r="W608">
        <v>0</v>
      </c>
    </row>
    <row r="609" spans="1:23" hidden="1" x14ac:dyDescent="0.35">
      <c r="A609" t="s">
        <v>483</v>
      </c>
      <c r="B609" t="s">
        <v>484</v>
      </c>
      <c r="C609" t="s">
        <v>113</v>
      </c>
      <c r="D609" t="s">
        <v>114</v>
      </c>
      <c r="E609" t="s">
        <v>115</v>
      </c>
      <c r="F609" t="s">
        <v>116</v>
      </c>
      <c r="G609" t="s">
        <v>117</v>
      </c>
      <c r="H609" t="s">
        <v>48</v>
      </c>
      <c r="I609" t="s">
        <v>49</v>
      </c>
      <c r="J609" t="s">
        <v>50</v>
      </c>
      <c r="K609" t="s">
        <v>33</v>
      </c>
      <c r="L609" t="s">
        <v>51</v>
      </c>
      <c r="M609" t="s">
        <v>118</v>
      </c>
      <c r="N609" t="s">
        <v>119</v>
      </c>
      <c r="O609" t="s">
        <v>37</v>
      </c>
      <c r="P609" t="s">
        <v>38</v>
      </c>
      <c r="Q609" t="s">
        <v>39</v>
      </c>
      <c r="R609" t="s">
        <v>40</v>
      </c>
      <c r="S609" s="1">
        <v>7193.2</v>
      </c>
      <c r="T609" s="1">
        <v>4625.8110999999999</v>
      </c>
      <c r="U609" s="1">
        <v>168.66890000000001</v>
      </c>
      <c r="V609" s="1">
        <v>2567.3888999999999</v>
      </c>
      <c r="W609">
        <v>64</v>
      </c>
    </row>
    <row r="610" spans="1:23" hidden="1" x14ac:dyDescent="0.35">
      <c r="A610" t="s">
        <v>483</v>
      </c>
      <c r="B610" t="s">
        <v>484</v>
      </c>
      <c r="C610" t="s">
        <v>120</v>
      </c>
      <c r="D610" t="s">
        <v>114</v>
      </c>
      <c r="E610" t="s">
        <v>115</v>
      </c>
      <c r="F610" t="s">
        <v>116</v>
      </c>
      <c r="G610" t="s">
        <v>117</v>
      </c>
      <c r="H610" t="s">
        <v>48</v>
      </c>
      <c r="I610" t="s">
        <v>49</v>
      </c>
      <c r="J610" t="s">
        <v>50</v>
      </c>
      <c r="K610" t="s">
        <v>33</v>
      </c>
      <c r="L610" t="s">
        <v>51</v>
      </c>
      <c r="M610" t="s">
        <v>118</v>
      </c>
      <c r="N610" t="s">
        <v>119</v>
      </c>
      <c r="O610" t="s">
        <v>42</v>
      </c>
      <c r="P610" t="s">
        <v>43</v>
      </c>
      <c r="Q610" t="s">
        <v>39</v>
      </c>
      <c r="R610" t="s">
        <v>40</v>
      </c>
      <c r="S610" s="1">
        <v>9131.9</v>
      </c>
      <c r="T610" s="1">
        <v>5367.4305999999997</v>
      </c>
      <c r="U610" s="1">
        <v>849.69200000000001</v>
      </c>
      <c r="V610" s="1">
        <v>3764.4694</v>
      </c>
      <c r="W610">
        <v>59</v>
      </c>
    </row>
    <row r="611" spans="1:23" hidden="1" x14ac:dyDescent="0.35">
      <c r="A611" t="s">
        <v>483</v>
      </c>
      <c r="B611" t="s">
        <v>484</v>
      </c>
      <c r="C611" t="s">
        <v>121</v>
      </c>
      <c r="D611" t="s">
        <v>114</v>
      </c>
      <c r="E611" t="s">
        <v>115</v>
      </c>
      <c r="F611" t="s">
        <v>116</v>
      </c>
      <c r="G611" t="s">
        <v>117</v>
      </c>
      <c r="H611" t="s">
        <v>48</v>
      </c>
      <c r="I611" t="s">
        <v>49</v>
      </c>
      <c r="J611" t="s">
        <v>50</v>
      </c>
      <c r="K611" t="s">
        <v>33</v>
      </c>
      <c r="L611" t="s">
        <v>51</v>
      </c>
      <c r="M611" t="s">
        <v>118</v>
      </c>
      <c r="N611" t="s">
        <v>119</v>
      </c>
      <c r="O611" t="s">
        <v>122</v>
      </c>
      <c r="P611" t="s">
        <v>123</v>
      </c>
      <c r="Q611" t="s">
        <v>39</v>
      </c>
      <c r="R611" t="s">
        <v>40</v>
      </c>
      <c r="S611" s="1">
        <v>7025.2</v>
      </c>
      <c r="T611" s="1">
        <v>5608.3874999999998</v>
      </c>
      <c r="U611" s="1">
        <v>0</v>
      </c>
      <c r="V611" s="1">
        <v>1416.8125</v>
      </c>
      <c r="W611">
        <v>80</v>
      </c>
    </row>
    <row r="612" spans="1:23" hidden="1" x14ac:dyDescent="0.35">
      <c r="A612" t="s">
        <v>483</v>
      </c>
      <c r="B612" t="s">
        <v>484</v>
      </c>
      <c r="C612" t="s">
        <v>124</v>
      </c>
      <c r="D612" t="s">
        <v>114</v>
      </c>
      <c r="E612" t="s">
        <v>115</v>
      </c>
      <c r="F612" t="s">
        <v>116</v>
      </c>
      <c r="G612" t="s">
        <v>117</v>
      </c>
      <c r="H612" t="s">
        <v>48</v>
      </c>
      <c r="I612" t="s">
        <v>49</v>
      </c>
      <c r="J612" t="s">
        <v>50</v>
      </c>
      <c r="K612" t="s">
        <v>33</v>
      </c>
      <c r="L612" t="s">
        <v>51</v>
      </c>
      <c r="M612" t="s">
        <v>118</v>
      </c>
      <c r="N612" t="s">
        <v>119</v>
      </c>
      <c r="O612" t="s">
        <v>125</v>
      </c>
      <c r="P612" t="s">
        <v>126</v>
      </c>
      <c r="Q612" t="s">
        <v>39</v>
      </c>
      <c r="R612" t="s">
        <v>40</v>
      </c>
      <c r="S612" s="1">
        <v>3050</v>
      </c>
      <c r="T612" s="1">
        <v>1878.0241000000001</v>
      </c>
      <c r="U612" s="1">
        <v>282.70510000000002</v>
      </c>
      <c r="V612" s="1">
        <v>1171.9758999999999</v>
      </c>
      <c r="W612">
        <v>62</v>
      </c>
    </row>
    <row r="613" spans="1:23" hidden="1" x14ac:dyDescent="0.35">
      <c r="A613" t="s">
        <v>483</v>
      </c>
      <c r="B613" t="s">
        <v>484</v>
      </c>
      <c r="C613" t="s">
        <v>127</v>
      </c>
      <c r="D613" t="s">
        <v>114</v>
      </c>
      <c r="E613" t="s">
        <v>115</v>
      </c>
      <c r="F613" t="s">
        <v>116</v>
      </c>
      <c r="G613" t="s">
        <v>117</v>
      </c>
      <c r="H613" t="s">
        <v>48</v>
      </c>
      <c r="I613" t="s">
        <v>49</v>
      </c>
      <c r="J613" t="s">
        <v>50</v>
      </c>
      <c r="K613" t="s">
        <v>33</v>
      </c>
      <c r="L613" t="s">
        <v>51</v>
      </c>
      <c r="M613" t="s">
        <v>128</v>
      </c>
      <c r="N613" t="s">
        <v>129</v>
      </c>
      <c r="O613" t="s">
        <v>86</v>
      </c>
      <c r="P613" t="s">
        <v>87</v>
      </c>
      <c r="Q613" t="s">
        <v>39</v>
      </c>
      <c r="R613" t="s">
        <v>40</v>
      </c>
      <c r="S613" s="1">
        <v>19375.7</v>
      </c>
      <c r="T613" s="1">
        <v>0</v>
      </c>
      <c r="U613" s="1">
        <v>0</v>
      </c>
      <c r="V613" s="1">
        <v>19375.7</v>
      </c>
      <c r="W613">
        <v>0</v>
      </c>
    </row>
    <row r="614" spans="1:23" hidden="1" x14ac:dyDescent="0.35">
      <c r="A614" t="s">
        <v>483</v>
      </c>
      <c r="B614" t="s">
        <v>484</v>
      </c>
      <c r="C614" t="s">
        <v>130</v>
      </c>
      <c r="D614" t="s">
        <v>131</v>
      </c>
      <c r="E614" t="s">
        <v>115</v>
      </c>
      <c r="F614" t="s">
        <v>132</v>
      </c>
      <c r="G614" t="s">
        <v>133</v>
      </c>
      <c r="H614" t="s">
        <v>48</v>
      </c>
      <c r="I614" t="s">
        <v>49</v>
      </c>
      <c r="J614" t="s">
        <v>50</v>
      </c>
      <c r="K614" t="s">
        <v>33</v>
      </c>
      <c r="L614" t="s">
        <v>51</v>
      </c>
      <c r="M614" t="s">
        <v>134</v>
      </c>
      <c r="N614" t="s">
        <v>135</v>
      </c>
      <c r="O614" t="s">
        <v>37</v>
      </c>
      <c r="P614" t="s">
        <v>38</v>
      </c>
      <c r="Q614" t="s">
        <v>39</v>
      </c>
      <c r="R614" t="s">
        <v>40</v>
      </c>
      <c r="S614" s="1">
        <v>23.1</v>
      </c>
      <c r="T614" s="1">
        <v>0</v>
      </c>
      <c r="U614" s="1">
        <v>0</v>
      </c>
      <c r="V614" s="1">
        <v>23.1</v>
      </c>
      <c r="W614">
        <v>0</v>
      </c>
    </row>
    <row r="615" spans="1:23" hidden="1" x14ac:dyDescent="0.35">
      <c r="A615" t="s">
        <v>483</v>
      </c>
      <c r="B615" t="s">
        <v>484</v>
      </c>
      <c r="C615" t="s">
        <v>445</v>
      </c>
      <c r="D615" t="s">
        <v>137</v>
      </c>
      <c r="E615" t="s">
        <v>138</v>
      </c>
      <c r="F615" t="s">
        <v>139</v>
      </c>
      <c r="G615" t="s">
        <v>140</v>
      </c>
      <c r="H615" t="s">
        <v>48</v>
      </c>
      <c r="I615" t="s">
        <v>49</v>
      </c>
      <c r="J615" t="s">
        <v>50</v>
      </c>
      <c r="K615" t="s">
        <v>33</v>
      </c>
      <c r="L615" t="s">
        <v>51</v>
      </c>
      <c r="M615" t="s">
        <v>446</v>
      </c>
      <c r="N615" t="s">
        <v>447</v>
      </c>
      <c r="O615" t="s">
        <v>37</v>
      </c>
      <c r="P615" t="s">
        <v>38</v>
      </c>
      <c r="Q615" t="s">
        <v>39</v>
      </c>
      <c r="R615" t="s">
        <v>40</v>
      </c>
      <c r="S615" s="1">
        <v>455.4</v>
      </c>
      <c r="T615" s="1">
        <v>0</v>
      </c>
      <c r="U615" s="1">
        <v>0</v>
      </c>
      <c r="V615" s="1">
        <v>455.4</v>
      </c>
      <c r="W615">
        <v>0</v>
      </c>
    </row>
    <row r="616" spans="1:23" hidden="1" x14ac:dyDescent="0.35">
      <c r="A616" t="s">
        <v>483</v>
      </c>
      <c r="B616" t="s">
        <v>484</v>
      </c>
      <c r="C616" t="s">
        <v>448</v>
      </c>
      <c r="D616" t="s">
        <v>137</v>
      </c>
      <c r="E616" t="s">
        <v>138</v>
      </c>
      <c r="F616" t="s">
        <v>139</v>
      </c>
      <c r="G616" t="s">
        <v>140</v>
      </c>
      <c r="H616" t="s">
        <v>48</v>
      </c>
      <c r="I616" t="s">
        <v>49</v>
      </c>
      <c r="J616" t="s">
        <v>50</v>
      </c>
      <c r="K616" t="s">
        <v>33</v>
      </c>
      <c r="L616" t="s">
        <v>51</v>
      </c>
      <c r="M616" t="s">
        <v>446</v>
      </c>
      <c r="N616" t="s">
        <v>447</v>
      </c>
      <c r="O616" t="s">
        <v>197</v>
      </c>
      <c r="P616" t="s">
        <v>198</v>
      </c>
      <c r="Q616" t="s">
        <v>39</v>
      </c>
      <c r="R616" t="s">
        <v>40</v>
      </c>
      <c r="S616" s="1">
        <v>36425.800000000003</v>
      </c>
      <c r="T616" s="1">
        <v>1047.9381000000001</v>
      </c>
      <c r="U616" s="1">
        <v>0</v>
      </c>
      <c r="V616" s="1">
        <v>35377.861900000004</v>
      </c>
      <c r="W616">
        <v>3</v>
      </c>
    </row>
    <row r="617" spans="1:23" hidden="1" x14ac:dyDescent="0.35">
      <c r="A617" t="s">
        <v>483</v>
      </c>
      <c r="B617" t="s">
        <v>484</v>
      </c>
      <c r="C617" t="s">
        <v>136</v>
      </c>
      <c r="D617" t="s">
        <v>137</v>
      </c>
      <c r="E617" t="s">
        <v>138</v>
      </c>
      <c r="F617" t="s">
        <v>139</v>
      </c>
      <c r="G617" t="s">
        <v>140</v>
      </c>
      <c r="H617" t="s">
        <v>30</v>
      </c>
      <c r="I617" t="s">
        <v>31</v>
      </c>
      <c r="J617" t="s">
        <v>32</v>
      </c>
      <c r="K617" t="s">
        <v>33</v>
      </c>
      <c r="L617" t="s">
        <v>34</v>
      </c>
      <c r="M617" t="s">
        <v>141</v>
      </c>
      <c r="N617" t="s">
        <v>142</v>
      </c>
      <c r="O617" t="s">
        <v>83</v>
      </c>
      <c r="P617" t="s">
        <v>84</v>
      </c>
      <c r="Q617" t="s">
        <v>39</v>
      </c>
      <c r="R617" t="s">
        <v>40</v>
      </c>
      <c r="S617" s="1">
        <v>5651.9</v>
      </c>
      <c r="T617" s="1">
        <v>930.10730000000001</v>
      </c>
      <c r="U617" s="1">
        <v>0</v>
      </c>
      <c r="V617" s="1">
        <v>4721.7927</v>
      </c>
      <c r="W617">
        <v>16</v>
      </c>
    </row>
    <row r="618" spans="1:23" hidden="1" x14ac:dyDescent="0.35">
      <c r="A618" t="s">
        <v>483</v>
      </c>
      <c r="B618" t="s">
        <v>484</v>
      </c>
      <c r="C618" t="s">
        <v>143</v>
      </c>
      <c r="D618" t="s">
        <v>144</v>
      </c>
      <c r="E618" t="s">
        <v>145</v>
      </c>
      <c r="F618" t="s">
        <v>146</v>
      </c>
      <c r="G618" t="s">
        <v>147</v>
      </c>
      <c r="H618" t="s">
        <v>116</v>
      </c>
      <c r="I618" t="s">
        <v>148</v>
      </c>
      <c r="J618" t="s">
        <v>149</v>
      </c>
      <c r="K618" t="s">
        <v>33</v>
      </c>
      <c r="L618" t="s">
        <v>34</v>
      </c>
      <c r="M618" t="s">
        <v>150</v>
      </c>
      <c r="N618" t="s">
        <v>151</v>
      </c>
      <c r="O618" t="s">
        <v>37</v>
      </c>
      <c r="P618" t="s">
        <v>38</v>
      </c>
      <c r="Q618" t="s">
        <v>39</v>
      </c>
      <c r="R618" t="s">
        <v>40</v>
      </c>
      <c r="S618" s="1">
        <v>5465.8</v>
      </c>
      <c r="T618" s="1">
        <v>0</v>
      </c>
      <c r="U618" s="1">
        <v>0</v>
      </c>
      <c r="V618" s="1">
        <v>5465.8</v>
      </c>
      <c r="W618">
        <v>0</v>
      </c>
    </row>
    <row r="619" spans="1:23" hidden="1" x14ac:dyDescent="0.35">
      <c r="A619" t="s">
        <v>483</v>
      </c>
      <c r="B619" t="s">
        <v>484</v>
      </c>
      <c r="C619" t="s">
        <v>152</v>
      </c>
      <c r="D619" t="s">
        <v>144</v>
      </c>
      <c r="E619" t="s">
        <v>145</v>
      </c>
      <c r="F619" t="s">
        <v>146</v>
      </c>
      <c r="G619" t="s">
        <v>147</v>
      </c>
      <c r="H619" t="s">
        <v>116</v>
      </c>
      <c r="I619" t="s">
        <v>148</v>
      </c>
      <c r="J619" t="s">
        <v>149</v>
      </c>
      <c r="K619" t="s">
        <v>33</v>
      </c>
      <c r="L619" t="s">
        <v>34</v>
      </c>
      <c r="M619" t="s">
        <v>153</v>
      </c>
      <c r="N619" t="s">
        <v>154</v>
      </c>
      <c r="O619" t="s">
        <v>37</v>
      </c>
      <c r="P619" t="s">
        <v>38</v>
      </c>
      <c r="Q619" t="s">
        <v>39</v>
      </c>
      <c r="R619" t="s">
        <v>40</v>
      </c>
      <c r="S619" s="1">
        <v>35154.699999999997</v>
      </c>
      <c r="T619" s="1">
        <v>6755.4426000000003</v>
      </c>
      <c r="U619" s="1">
        <v>4438.3046000000004</v>
      </c>
      <c r="V619" s="1">
        <v>28399.257399999999</v>
      </c>
      <c r="W619">
        <v>19</v>
      </c>
    </row>
    <row r="620" spans="1:23" hidden="1" x14ac:dyDescent="0.35">
      <c r="A620" t="s">
        <v>483</v>
      </c>
      <c r="B620" t="s">
        <v>484</v>
      </c>
      <c r="C620" t="s">
        <v>155</v>
      </c>
      <c r="D620" t="s">
        <v>144</v>
      </c>
      <c r="E620" t="s">
        <v>145</v>
      </c>
      <c r="F620" t="s">
        <v>146</v>
      </c>
      <c r="G620" t="s">
        <v>147</v>
      </c>
      <c r="H620" t="s">
        <v>116</v>
      </c>
      <c r="I620" t="s">
        <v>148</v>
      </c>
      <c r="J620" t="s">
        <v>149</v>
      </c>
      <c r="K620" t="s">
        <v>33</v>
      </c>
      <c r="L620" t="s">
        <v>34</v>
      </c>
      <c r="M620" t="s">
        <v>156</v>
      </c>
      <c r="N620" t="s">
        <v>157</v>
      </c>
      <c r="O620" t="s">
        <v>37</v>
      </c>
      <c r="P620" t="s">
        <v>38</v>
      </c>
      <c r="Q620" t="s">
        <v>39</v>
      </c>
      <c r="R620" t="s">
        <v>40</v>
      </c>
      <c r="S620" s="1">
        <v>3442.8</v>
      </c>
      <c r="T620" s="1">
        <v>1379.0046</v>
      </c>
      <c r="U620" s="1">
        <v>1298.4835</v>
      </c>
      <c r="V620" s="1">
        <v>2063.7954</v>
      </c>
      <c r="W620">
        <v>40</v>
      </c>
    </row>
    <row r="621" spans="1:23" hidden="1" x14ac:dyDescent="0.35">
      <c r="A621" t="s">
        <v>483</v>
      </c>
      <c r="B621" t="s">
        <v>484</v>
      </c>
      <c r="C621" t="s">
        <v>158</v>
      </c>
      <c r="D621" t="s">
        <v>144</v>
      </c>
      <c r="E621" t="s">
        <v>145</v>
      </c>
      <c r="F621" t="s">
        <v>146</v>
      </c>
      <c r="G621" t="s">
        <v>147</v>
      </c>
      <c r="H621" t="s">
        <v>116</v>
      </c>
      <c r="I621" t="s">
        <v>148</v>
      </c>
      <c r="J621" t="s">
        <v>149</v>
      </c>
      <c r="K621" t="s">
        <v>33</v>
      </c>
      <c r="L621" t="s">
        <v>34</v>
      </c>
      <c r="M621" t="s">
        <v>156</v>
      </c>
      <c r="N621" t="s">
        <v>157</v>
      </c>
      <c r="O621" t="s">
        <v>125</v>
      </c>
      <c r="P621" t="s">
        <v>126</v>
      </c>
      <c r="Q621" t="s">
        <v>39</v>
      </c>
      <c r="R621" t="s">
        <v>40</v>
      </c>
      <c r="S621" s="1">
        <v>87130.7</v>
      </c>
      <c r="T621" s="1">
        <v>44007.478300000002</v>
      </c>
      <c r="U621" s="1">
        <v>8157.6450999999997</v>
      </c>
      <c r="V621" s="1">
        <v>43123.221700000002</v>
      </c>
      <c r="W621">
        <v>51</v>
      </c>
    </row>
    <row r="622" spans="1:23" hidden="1" x14ac:dyDescent="0.35">
      <c r="A622" t="s">
        <v>483</v>
      </c>
      <c r="B622" t="s">
        <v>484</v>
      </c>
      <c r="C622" t="s">
        <v>159</v>
      </c>
      <c r="D622" t="s">
        <v>144</v>
      </c>
      <c r="E622" t="s">
        <v>145</v>
      </c>
      <c r="F622" t="s">
        <v>146</v>
      </c>
      <c r="G622" t="s">
        <v>147</v>
      </c>
      <c r="H622" t="s">
        <v>116</v>
      </c>
      <c r="I622" t="s">
        <v>148</v>
      </c>
      <c r="J622" t="s">
        <v>149</v>
      </c>
      <c r="K622" t="s">
        <v>33</v>
      </c>
      <c r="L622" t="s">
        <v>34</v>
      </c>
      <c r="M622" t="s">
        <v>160</v>
      </c>
      <c r="N622" t="s">
        <v>161</v>
      </c>
      <c r="O622" t="s">
        <v>37</v>
      </c>
      <c r="P622" t="s">
        <v>38</v>
      </c>
      <c r="Q622" t="s">
        <v>39</v>
      </c>
      <c r="R622" t="s">
        <v>40</v>
      </c>
      <c r="S622" s="1">
        <v>20212.3</v>
      </c>
      <c r="T622" s="1">
        <v>8167.7663000000002</v>
      </c>
      <c r="U622" s="1">
        <v>3588.0167999999999</v>
      </c>
      <c r="V622" s="1">
        <v>12044.5337</v>
      </c>
      <c r="W622">
        <v>40</v>
      </c>
    </row>
    <row r="623" spans="1:23" hidden="1" x14ac:dyDescent="0.35">
      <c r="A623" t="s">
        <v>483</v>
      </c>
      <c r="B623" t="s">
        <v>484</v>
      </c>
      <c r="C623" t="s">
        <v>162</v>
      </c>
      <c r="D623" t="s">
        <v>144</v>
      </c>
      <c r="E623" t="s">
        <v>145</v>
      </c>
      <c r="F623" t="s">
        <v>146</v>
      </c>
      <c r="G623" t="s">
        <v>147</v>
      </c>
      <c r="H623" t="s">
        <v>116</v>
      </c>
      <c r="I623" t="s">
        <v>148</v>
      </c>
      <c r="J623" t="s">
        <v>149</v>
      </c>
      <c r="K623" t="s">
        <v>33</v>
      </c>
      <c r="L623" t="s">
        <v>34</v>
      </c>
      <c r="M623" t="s">
        <v>160</v>
      </c>
      <c r="N623" t="s">
        <v>161</v>
      </c>
      <c r="O623" t="s">
        <v>42</v>
      </c>
      <c r="P623" t="s">
        <v>43</v>
      </c>
      <c r="Q623" t="s">
        <v>39</v>
      </c>
      <c r="R623" t="s">
        <v>40</v>
      </c>
      <c r="S623" s="1">
        <v>10536.1</v>
      </c>
      <c r="T623" s="1">
        <v>4561.2565999999997</v>
      </c>
      <c r="U623" s="1">
        <v>646.44169999999997</v>
      </c>
      <c r="V623" s="1">
        <v>5974.8433999999997</v>
      </c>
      <c r="W623">
        <v>43</v>
      </c>
    </row>
    <row r="624" spans="1:23" hidden="1" x14ac:dyDescent="0.35">
      <c r="A624" t="s">
        <v>483</v>
      </c>
      <c r="B624" t="s">
        <v>484</v>
      </c>
      <c r="C624" t="s">
        <v>163</v>
      </c>
      <c r="D624" t="s">
        <v>144</v>
      </c>
      <c r="E624" t="s">
        <v>145</v>
      </c>
      <c r="F624" t="s">
        <v>146</v>
      </c>
      <c r="G624" t="s">
        <v>147</v>
      </c>
      <c r="H624" t="s">
        <v>116</v>
      </c>
      <c r="I624" t="s">
        <v>148</v>
      </c>
      <c r="J624" t="s">
        <v>149</v>
      </c>
      <c r="K624" t="s">
        <v>33</v>
      </c>
      <c r="L624" t="s">
        <v>34</v>
      </c>
      <c r="M624" t="s">
        <v>160</v>
      </c>
      <c r="N624" t="s">
        <v>161</v>
      </c>
      <c r="O624" t="s">
        <v>125</v>
      </c>
      <c r="P624" t="s">
        <v>126</v>
      </c>
      <c r="Q624" t="s">
        <v>39</v>
      </c>
      <c r="R624" t="s">
        <v>40</v>
      </c>
      <c r="S624" s="1">
        <v>4003.4</v>
      </c>
      <c r="T624" s="1">
        <v>2200.0099</v>
      </c>
      <c r="U624" s="1">
        <v>419.41030000000001</v>
      </c>
      <c r="V624" s="1">
        <v>1803.3901000000001</v>
      </c>
      <c r="W624">
        <v>55</v>
      </c>
    </row>
    <row r="625" spans="1:23" hidden="1" x14ac:dyDescent="0.35">
      <c r="A625" t="s">
        <v>483</v>
      </c>
      <c r="B625" t="s">
        <v>484</v>
      </c>
      <c r="C625" t="s">
        <v>423</v>
      </c>
      <c r="D625" t="s">
        <v>165</v>
      </c>
      <c r="E625" t="s">
        <v>145</v>
      </c>
      <c r="F625" t="s">
        <v>28</v>
      </c>
      <c r="G625" t="s">
        <v>166</v>
      </c>
      <c r="H625" t="s">
        <v>139</v>
      </c>
      <c r="I625" t="s">
        <v>167</v>
      </c>
      <c r="J625" t="s">
        <v>168</v>
      </c>
      <c r="K625" t="s">
        <v>33</v>
      </c>
      <c r="L625" t="s">
        <v>51</v>
      </c>
      <c r="M625" t="s">
        <v>424</v>
      </c>
      <c r="N625" t="s">
        <v>425</v>
      </c>
      <c r="O625" t="s">
        <v>37</v>
      </c>
      <c r="P625" t="s">
        <v>38</v>
      </c>
      <c r="Q625" t="s">
        <v>39</v>
      </c>
      <c r="R625" t="s">
        <v>40</v>
      </c>
      <c r="S625" s="1">
        <v>694</v>
      </c>
      <c r="T625" s="1">
        <v>337.5</v>
      </c>
      <c r="U625" s="1">
        <v>337.5</v>
      </c>
      <c r="V625" s="1">
        <v>356.5</v>
      </c>
      <c r="W625">
        <v>49</v>
      </c>
    </row>
    <row r="626" spans="1:23" hidden="1" x14ac:dyDescent="0.35">
      <c r="A626" t="s">
        <v>483</v>
      </c>
      <c r="B626" t="s">
        <v>484</v>
      </c>
      <c r="C626" t="s">
        <v>164</v>
      </c>
      <c r="D626" t="s">
        <v>165</v>
      </c>
      <c r="E626" t="s">
        <v>145</v>
      </c>
      <c r="F626" t="s">
        <v>28</v>
      </c>
      <c r="G626" t="s">
        <v>166</v>
      </c>
      <c r="H626" t="s">
        <v>139</v>
      </c>
      <c r="I626" t="s">
        <v>167</v>
      </c>
      <c r="J626" t="s">
        <v>168</v>
      </c>
      <c r="K626" t="s">
        <v>33</v>
      </c>
      <c r="L626" t="s">
        <v>51</v>
      </c>
      <c r="M626" t="s">
        <v>169</v>
      </c>
      <c r="N626" t="s">
        <v>170</v>
      </c>
      <c r="O626" t="s">
        <v>37</v>
      </c>
      <c r="P626" t="s">
        <v>38</v>
      </c>
      <c r="Q626" t="s">
        <v>39</v>
      </c>
      <c r="R626" t="s">
        <v>40</v>
      </c>
      <c r="S626" s="1">
        <v>39330.300000000003</v>
      </c>
      <c r="T626" s="1">
        <v>6519.5337</v>
      </c>
      <c r="U626" s="1">
        <v>1831.8484000000001</v>
      </c>
      <c r="V626" s="1">
        <v>32810.766300000003</v>
      </c>
      <c r="W626">
        <v>17</v>
      </c>
    </row>
    <row r="627" spans="1:23" hidden="1" x14ac:dyDescent="0.35">
      <c r="A627" t="s">
        <v>483</v>
      </c>
      <c r="B627" t="s">
        <v>484</v>
      </c>
      <c r="C627" t="s">
        <v>171</v>
      </c>
      <c r="D627" t="s">
        <v>165</v>
      </c>
      <c r="E627" t="s">
        <v>145</v>
      </c>
      <c r="F627" t="s">
        <v>28</v>
      </c>
      <c r="G627" t="s">
        <v>166</v>
      </c>
      <c r="H627" t="s">
        <v>139</v>
      </c>
      <c r="I627" t="s">
        <v>167</v>
      </c>
      <c r="J627" t="s">
        <v>168</v>
      </c>
      <c r="K627" t="s">
        <v>33</v>
      </c>
      <c r="L627" t="s">
        <v>51</v>
      </c>
      <c r="M627" t="s">
        <v>172</v>
      </c>
      <c r="N627" t="s">
        <v>173</v>
      </c>
      <c r="O627" t="s">
        <v>37</v>
      </c>
      <c r="P627" t="s">
        <v>38</v>
      </c>
      <c r="Q627" t="s">
        <v>39</v>
      </c>
      <c r="R627" t="s">
        <v>40</v>
      </c>
      <c r="S627" s="1">
        <v>8650</v>
      </c>
      <c r="T627" s="1">
        <v>7072.3534</v>
      </c>
      <c r="U627" s="1">
        <v>0</v>
      </c>
      <c r="V627" s="1">
        <v>1577.6466</v>
      </c>
      <c r="W627">
        <v>82</v>
      </c>
    </row>
    <row r="628" spans="1:23" hidden="1" x14ac:dyDescent="0.35">
      <c r="A628" t="s">
        <v>483</v>
      </c>
      <c r="B628" t="s">
        <v>484</v>
      </c>
      <c r="C628" t="s">
        <v>470</v>
      </c>
      <c r="D628" t="s">
        <v>165</v>
      </c>
      <c r="E628" t="s">
        <v>145</v>
      </c>
      <c r="F628" t="s">
        <v>28</v>
      </c>
      <c r="G628" t="s">
        <v>166</v>
      </c>
      <c r="H628" t="s">
        <v>139</v>
      </c>
      <c r="I628" t="s">
        <v>167</v>
      </c>
      <c r="J628" t="s">
        <v>168</v>
      </c>
      <c r="K628" t="s">
        <v>33</v>
      </c>
      <c r="L628" t="s">
        <v>51</v>
      </c>
      <c r="M628" t="s">
        <v>471</v>
      </c>
      <c r="N628" t="s">
        <v>472</v>
      </c>
      <c r="O628" t="s">
        <v>37</v>
      </c>
      <c r="P628" t="s">
        <v>38</v>
      </c>
      <c r="Q628" t="s">
        <v>39</v>
      </c>
      <c r="R628" t="s">
        <v>40</v>
      </c>
      <c r="S628" s="1">
        <v>21254.1</v>
      </c>
      <c r="T628" s="1">
        <v>0</v>
      </c>
      <c r="U628" s="1">
        <v>0</v>
      </c>
      <c r="V628" s="1">
        <v>21254.1</v>
      </c>
      <c r="W628">
        <v>0</v>
      </c>
    </row>
    <row r="629" spans="1:23" hidden="1" x14ac:dyDescent="0.35">
      <c r="A629" t="s">
        <v>483</v>
      </c>
      <c r="B629" t="s">
        <v>484</v>
      </c>
      <c r="C629" t="s">
        <v>174</v>
      </c>
      <c r="D629" t="s">
        <v>175</v>
      </c>
      <c r="E629" t="s">
        <v>145</v>
      </c>
      <c r="F629" t="s">
        <v>176</v>
      </c>
      <c r="G629" t="s">
        <v>177</v>
      </c>
      <c r="H629" t="s">
        <v>116</v>
      </c>
      <c r="I629" t="s">
        <v>148</v>
      </c>
      <c r="J629" t="s">
        <v>149</v>
      </c>
      <c r="K629" t="s">
        <v>33</v>
      </c>
      <c r="L629" t="s">
        <v>34</v>
      </c>
      <c r="M629" t="s">
        <v>178</v>
      </c>
      <c r="N629" t="s">
        <v>179</v>
      </c>
      <c r="O629" t="s">
        <v>96</v>
      </c>
      <c r="P629" t="s">
        <v>97</v>
      </c>
      <c r="Q629" t="s">
        <v>39</v>
      </c>
      <c r="R629" t="s">
        <v>40</v>
      </c>
      <c r="S629" s="1">
        <v>586162.9</v>
      </c>
      <c r="T629" s="1">
        <v>280264.03759999998</v>
      </c>
      <c r="U629" s="1">
        <v>43801.891199999998</v>
      </c>
      <c r="V629" s="1">
        <v>305898.86239999998</v>
      </c>
      <c r="W629">
        <v>48</v>
      </c>
    </row>
    <row r="630" spans="1:23" hidden="1" x14ac:dyDescent="0.35">
      <c r="A630" t="s">
        <v>483</v>
      </c>
      <c r="B630" t="s">
        <v>484</v>
      </c>
      <c r="C630" t="s">
        <v>180</v>
      </c>
      <c r="D630" t="s">
        <v>175</v>
      </c>
      <c r="E630" t="s">
        <v>145</v>
      </c>
      <c r="F630" t="s">
        <v>176</v>
      </c>
      <c r="G630" t="s">
        <v>177</v>
      </c>
      <c r="H630" t="s">
        <v>116</v>
      </c>
      <c r="I630" t="s">
        <v>148</v>
      </c>
      <c r="J630" t="s">
        <v>149</v>
      </c>
      <c r="K630" t="s">
        <v>33</v>
      </c>
      <c r="L630" t="s">
        <v>34</v>
      </c>
      <c r="M630" t="s">
        <v>178</v>
      </c>
      <c r="N630" t="s">
        <v>179</v>
      </c>
      <c r="O630" t="s">
        <v>99</v>
      </c>
      <c r="P630" t="s">
        <v>100</v>
      </c>
      <c r="Q630" t="s">
        <v>39</v>
      </c>
      <c r="R630" t="s">
        <v>40</v>
      </c>
      <c r="S630" s="1">
        <v>176381.2</v>
      </c>
      <c r="T630" s="1">
        <v>86524.128299999997</v>
      </c>
      <c r="U630" s="1">
        <v>4689.1144000000004</v>
      </c>
      <c r="V630" s="1">
        <v>89857.0717</v>
      </c>
      <c r="W630">
        <v>49</v>
      </c>
    </row>
    <row r="631" spans="1:23" hidden="1" x14ac:dyDescent="0.35">
      <c r="A631" t="s">
        <v>483</v>
      </c>
      <c r="B631" t="s">
        <v>484</v>
      </c>
      <c r="C631" t="s">
        <v>181</v>
      </c>
      <c r="D631" t="s">
        <v>175</v>
      </c>
      <c r="E631" t="s">
        <v>145</v>
      </c>
      <c r="F631" t="s">
        <v>176</v>
      </c>
      <c r="G631" t="s">
        <v>177</v>
      </c>
      <c r="H631" t="s">
        <v>116</v>
      </c>
      <c r="I631" t="s">
        <v>148</v>
      </c>
      <c r="J631" t="s">
        <v>149</v>
      </c>
      <c r="K631" t="s">
        <v>33</v>
      </c>
      <c r="L631" t="s">
        <v>34</v>
      </c>
      <c r="M631" t="s">
        <v>178</v>
      </c>
      <c r="N631" t="s">
        <v>179</v>
      </c>
      <c r="O631" t="s">
        <v>37</v>
      </c>
      <c r="P631" t="s">
        <v>38</v>
      </c>
      <c r="Q631" t="s">
        <v>39</v>
      </c>
      <c r="R631" t="s">
        <v>40</v>
      </c>
      <c r="S631" s="1">
        <v>143311.9</v>
      </c>
      <c r="T631" s="1">
        <v>41001.747900000002</v>
      </c>
      <c r="U631" s="1">
        <v>5627.5340999999999</v>
      </c>
      <c r="V631" s="1">
        <v>102310.15210000001</v>
      </c>
      <c r="W631">
        <v>29</v>
      </c>
    </row>
    <row r="632" spans="1:23" hidden="1" x14ac:dyDescent="0.35">
      <c r="A632" t="s">
        <v>483</v>
      </c>
      <c r="B632" t="s">
        <v>484</v>
      </c>
      <c r="C632" t="s">
        <v>182</v>
      </c>
      <c r="D632" t="s">
        <v>175</v>
      </c>
      <c r="E632" t="s">
        <v>145</v>
      </c>
      <c r="F632" t="s">
        <v>176</v>
      </c>
      <c r="G632" t="s">
        <v>177</v>
      </c>
      <c r="H632" t="s">
        <v>116</v>
      </c>
      <c r="I632" t="s">
        <v>148</v>
      </c>
      <c r="J632" t="s">
        <v>149</v>
      </c>
      <c r="K632" t="s">
        <v>33</v>
      </c>
      <c r="L632" t="s">
        <v>34</v>
      </c>
      <c r="M632" t="s">
        <v>178</v>
      </c>
      <c r="N632" t="s">
        <v>179</v>
      </c>
      <c r="O632" t="s">
        <v>42</v>
      </c>
      <c r="P632" t="s">
        <v>43</v>
      </c>
      <c r="Q632" t="s">
        <v>39</v>
      </c>
      <c r="R632" t="s">
        <v>40</v>
      </c>
      <c r="S632" s="1">
        <v>8102</v>
      </c>
      <c r="T632" s="1">
        <v>3191.0077000000001</v>
      </c>
      <c r="U632" s="1">
        <v>499.75650000000002</v>
      </c>
      <c r="V632" s="1">
        <v>4910.9922999999999</v>
      </c>
      <c r="W632">
        <v>39</v>
      </c>
    </row>
    <row r="633" spans="1:23" hidden="1" x14ac:dyDescent="0.35">
      <c r="A633" t="s">
        <v>483</v>
      </c>
      <c r="B633" t="s">
        <v>484</v>
      </c>
      <c r="C633" t="s">
        <v>486</v>
      </c>
      <c r="D633" t="s">
        <v>175</v>
      </c>
      <c r="E633" t="s">
        <v>145</v>
      </c>
      <c r="F633" t="s">
        <v>176</v>
      </c>
      <c r="G633" t="s">
        <v>177</v>
      </c>
      <c r="H633" t="s">
        <v>116</v>
      </c>
      <c r="I633" t="s">
        <v>148</v>
      </c>
      <c r="J633" t="s">
        <v>149</v>
      </c>
      <c r="K633" t="s">
        <v>33</v>
      </c>
      <c r="L633" t="s">
        <v>34</v>
      </c>
      <c r="M633" t="s">
        <v>178</v>
      </c>
      <c r="N633" t="s">
        <v>179</v>
      </c>
      <c r="O633" t="s">
        <v>91</v>
      </c>
      <c r="P633" t="s">
        <v>92</v>
      </c>
      <c r="Q633" t="s">
        <v>39</v>
      </c>
      <c r="R633" t="s">
        <v>40</v>
      </c>
      <c r="S633" s="1">
        <v>32.5</v>
      </c>
      <c r="T633" s="1">
        <v>32.341700000000003</v>
      </c>
      <c r="U633" s="1">
        <v>32.341700000000003</v>
      </c>
      <c r="V633" s="1">
        <v>0.1583</v>
      </c>
      <c r="W633">
        <v>100</v>
      </c>
    </row>
    <row r="634" spans="1:23" hidden="1" x14ac:dyDescent="0.35">
      <c r="A634" t="s">
        <v>483</v>
      </c>
      <c r="B634" t="s">
        <v>484</v>
      </c>
      <c r="C634" t="s">
        <v>183</v>
      </c>
      <c r="D634" t="s">
        <v>175</v>
      </c>
      <c r="E634" t="s">
        <v>145</v>
      </c>
      <c r="F634" t="s">
        <v>176</v>
      </c>
      <c r="G634" t="s">
        <v>177</v>
      </c>
      <c r="H634" t="s">
        <v>116</v>
      </c>
      <c r="I634" t="s">
        <v>148</v>
      </c>
      <c r="J634" t="s">
        <v>149</v>
      </c>
      <c r="K634" t="s">
        <v>33</v>
      </c>
      <c r="L634" t="s">
        <v>34</v>
      </c>
      <c r="M634" t="s">
        <v>178</v>
      </c>
      <c r="N634" t="s">
        <v>179</v>
      </c>
      <c r="O634" t="s">
        <v>122</v>
      </c>
      <c r="P634" t="s">
        <v>123</v>
      </c>
      <c r="Q634" t="s">
        <v>39</v>
      </c>
      <c r="R634" t="s">
        <v>40</v>
      </c>
      <c r="S634" s="1">
        <v>183.2</v>
      </c>
      <c r="T634" s="1">
        <v>89.35</v>
      </c>
      <c r="U634" s="1">
        <v>0</v>
      </c>
      <c r="V634" s="1">
        <v>93.85</v>
      </c>
      <c r="W634">
        <v>49</v>
      </c>
    </row>
    <row r="635" spans="1:23" hidden="1" x14ac:dyDescent="0.35">
      <c r="A635" t="s">
        <v>483</v>
      </c>
      <c r="B635" t="s">
        <v>484</v>
      </c>
      <c r="C635" t="s">
        <v>184</v>
      </c>
      <c r="D635" t="s">
        <v>175</v>
      </c>
      <c r="E635" t="s">
        <v>145</v>
      </c>
      <c r="F635" t="s">
        <v>176</v>
      </c>
      <c r="G635" t="s">
        <v>177</v>
      </c>
      <c r="H635" t="s">
        <v>116</v>
      </c>
      <c r="I635" t="s">
        <v>148</v>
      </c>
      <c r="J635" t="s">
        <v>149</v>
      </c>
      <c r="K635" t="s">
        <v>33</v>
      </c>
      <c r="L635" t="s">
        <v>34</v>
      </c>
      <c r="M635" t="s">
        <v>178</v>
      </c>
      <c r="N635" t="s">
        <v>179</v>
      </c>
      <c r="O635" t="s">
        <v>103</v>
      </c>
      <c r="P635" t="s">
        <v>104</v>
      </c>
      <c r="Q635" t="s">
        <v>39</v>
      </c>
      <c r="R635" t="s">
        <v>40</v>
      </c>
      <c r="S635" s="1">
        <v>1260</v>
      </c>
      <c r="T635" s="1">
        <v>638.16399999999999</v>
      </c>
      <c r="U635" s="1">
        <v>0</v>
      </c>
      <c r="V635" s="1">
        <v>621.83600000000001</v>
      </c>
      <c r="W635">
        <v>51</v>
      </c>
    </row>
    <row r="636" spans="1:23" hidden="1" x14ac:dyDescent="0.35">
      <c r="A636" t="s">
        <v>483</v>
      </c>
      <c r="B636" t="s">
        <v>484</v>
      </c>
      <c r="C636" t="s">
        <v>473</v>
      </c>
      <c r="D636" t="s">
        <v>175</v>
      </c>
      <c r="E636" t="s">
        <v>145</v>
      </c>
      <c r="F636" t="s">
        <v>176</v>
      </c>
      <c r="G636" t="s">
        <v>177</v>
      </c>
      <c r="H636" t="s">
        <v>116</v>
      </c>
      <c r="I636" t="s">
        <v>148</v>
      </c>
      <c r="J636" t="s">
        <v>149</v>
      </c>
      <c r="K636" t="s">
        <v>33</v>
      </c>
      <c r="L636" t="s">
        <v>34</v>
      </c>
      <c r="M636" t="s">
        <v>474</v>
      </c>
      <c r="N636" t="s">
        <v>475</v>
      </c>
      <c r="O636" t="s">
        <v>37</v>
      </c>
      <c r="P636" t="s">
        <v>38</v>
      </c>
      <c r="Q636" t="s">
        <v>39</v>
      </c>
      <c r="R636" t="s">
        <v>40</v>
      </c>
      <c r="S636" s="1">
        <v>824.6</v>
      </c>
      <c r="T636" s="1">
        <v>0</v>
      </c>
      <c r="U636" s="1">
        <v>0</v>
      </c>
      <c r="V636" s="1">
        <v>824.6</v>
      </c>
      <c r="W636">
        <v>0</v>
      </c>
    </row>
    <row r="637" spans="1:23" x14ac:dyDescent="0.35">
      <c r="A637" s="3" t="s">
        <v>483</v>
      </c>
      <c r="B637" s="3" t="s">
        <v>484</v>
      </c>
      <c r="C637" s="3" t="s">
        <v>185</v>
      </c>
      <c r="D637" s="3" t="s">
        <v>186</v>
      </c>
      <c r="E637" s="3" t="s">
        <v>187</v>
      </c>
      <c r="F637" s="3" t="s">
        <v>146</v>
      </c>
      <c r="G637" s="3" t="s">
        <v>188</v>
      </c>
      <c r="H637" s="3" t="s">
        <v>189</v>
      </c>
      <c r="I637" s="3" t="s">
        <v>190</v>
      </c>
      <c r="J637" s="3" t="s">
        <v>191</v>
      </c>
      <c r="K637" s="3" t="s">
        <v>33</v>
      </c>
      <c r="L637" s="3" t="s">
        <v>34</v>
      </c>
      <c r="M637" s="3" t="s">
        <v>192</v>
      </c>
      <c r="N637" s="3" t="s">
        <v>193</v>
      </c>
      <c r="O637" s="3" t="s">
        <v>108</v>
      </c>
      <c r="P637" s="3" t="s">
        <v>109</v>
      </c>
      <c r="Q637" s="3" t="s">
        <v>39</v>
      </c>
      <c r="R637" s="3" t="s">
        <v>40</v>
      </c>
      <c r="S637" s="7">
        <v>5665542.5999999996</v>
      </c>
      <c r="T637" s="7">
        <v>2604764.2184000001</v>
      </c>
      <c r="U637" s="7">
        <v>518851.1716</v>
      </c>
      <c r="V637" s="7">
        <v>3060778.3816</v>
      </c>
      <c r="W637" s="3">
        <v>46</v>
      </c>
    </row>
    <row r="638" spans="1:23" x14ac:dyDescent="0.35">
      <c r="A638" s="3" t="s">
        <v>483</v>
      </c>
      <c r="B638" s="3" t="s">
        <v>484</v>
      </c>
      <c r="C638" s="3" t="s">
        <v>426</v>
      </c>
      <c r="D638" s="3" t="s">
        <v>186</v>
      </c>
      <c r="E638" s="3" t="s">
        <v>187</v>
      </c>
      <c r="F638" s="3" t="s">
        <v>146</v>
      </c>
      <c r="G638" s="3" t="s">
        <v>188</v>
      </c>
      <c r="H638" s="3" t="s">
        <v>189</v>
      </c>
      <c r="I638" s="3" t="s">
        <v>190</v>
      </c>
      <c r="J638" s="3" t="s">
        <v>191</v>
      </c>
      <c r="K638" s="3" t="s">
        <v>33</v>
      </c>
      <c r="L638" s="3" t="s">
        <v>34</v>
      </c>
      <c r="M638" s="3" t="s">
        <v>427</v>
      </c>
      <c r="N638" s="3" t="s">
        <v>428</v>
      </c>
      <c r="O638" s="3" t="s">
        <v>197</v>
      </c>
      <c r="P638" s="3" t="s">
        <v>198</v>
      </c>
      <c r="Q638" s="3" t="s">
        <v>39</v>
      </c>
      <c r="R638" s="3" t="s">
        <v>40</v>
      </c>
      <c r="S638" s="7">
        <v>4200</v>
      </c>
      <c r="T638" s="7">
        <v>0</v>
      </c>
      <c r="U638" s="7">
        <v>0</v>
      </c>
      <c r="V638" s="7">
        <v>4200</v>
      </c>
      <c r="W638" s="3">
        <v>0</v>
      </c>
    </row>
    <row r="639" spans="1:23" x14ac:dyDescent="0.35">
      <c r="A639" s="3" t="s">
        <v>483</v>
      </c>
      <c r="B639" s="3" t="s">
        <v>484</v>
      </c>
      <c r="C639" s="3" t="s">
        <v>194</v>
      </c>
      <c r="D639" s="3" t="s">
        <v>186</v>
      </c>
      <c r="E639" s="3" t="s">
        <v>187</v>
      </c>
      <c r="F639" s="3" t="s">
        <v>146</v>
      </c>
      <c r="G639" s="3" t="s">
        <v>188</v>
      </c>
      <c r="H639" s="3" t="s">
        <v>189</v>
      </c>
      <c r="I639" s="3" t="s">
        <v>190</v>
      </c>
      <c r="J639" s="3" t="s">
        <v>191</v>
      </c>
      <c r="K639" s="3" t="s">
        <v>33</v>
      </c>
      <c r="L639" s="3" t="s">
        <v>34</v>
      </c>
      <c r="M639" s="3" t="s">
        <v>195</v>
      </c>
      <c r="N639" s="3" t="s">
        <v>196</v>
      </c>
      <c r="O639" s="3" t="s">
        <v>197</v>
      </c>
      <c r="P639" s="3" t="s">
        <v>198</v>
      </c>
      <c r="Q639" s="3" t="s">
        <v>39</v>
      </c>
      <c r="R639" s="3" t="s">
        <v>40</v>
      </c>
      <c r="S639" s="7">
        <v>19486.7</v>
      </c>
      <c r="T639" s="7">
        <v>8075.4039000000002</v>
      </c>
      <c r="U639" s="7">
        <v>3343.4974999999999</v>
      </c>
      <c r="V639" s="7">
        <v>11411.2961</v>
      </c>
      <c r="W639" s="3">
        <v>41</v>
      </c>
    </row>
    <row r="640" spans="1:23" x14ac:dyDescent="0.35">
      <c r="A640" s="3" t="s">
        <v>483</v>
      </c>
      <c r="B640" s="3" t="s">
        <v>484</v>
      </c>
      <c r="C640" s="3" t="s">
        <v>449</v>
      </c>
      <c r="D640" s="3" t="s">
        <v>186</v>
      </c>
      <c r="E640" s="3" t="s">
        <v>187</v>
      </c>
      <c r="F640" s="3" t="s">
        <v>146</v>
      </c>
      <c r="G640" s="3" t="s">
        <v>188</v>
      </c>
      <c r="H640" s="3" t="s">
        <v>189</v>
      </c>
      <c r="I640" s="3" t="s">
        <v>190</v>
      </c>
      <c r="J640" s="3" t="s">
        <v>191</v>
      </c>
      <c r="K640" s="3" t="s">
        <v>33</v>
      </c>
      <c r="L640" s="3" t="s">
        <v>34</v>
      </c>
      <c r="M640" s="3" t="s">
        <v>450</v>
      </c>
      <c r="N640" s="3" t="s">
        <v>451</v>
      </c>
      <c r="O640" s="3" t="s">
        <v>197</v>
      </c>
      <c r="P640" s="3" t="s">
        <v>198</v>
      </c>
      <c r="Q640" s="3" t="s">
        <v>39</v>
      </c>
      <c r="R640" s="3" t="s">
        <v>40</v>
      </c>
      <c r="S640" s="7">
        <v>25400</v>
      </c>
      <c r="T640" s="7">
        <v>2277.8229999999999</v>
      </c>
      <c r="U640" s="7">
        <v>2277.8229999999999</v>
      </c>
      <c r="V640" s="7">
        <v>23122.177</v>
      </c>
      <c r="W640" s="3">
        <v>9</v>
      </c>
    </row>
    <row r="641" spans="1:23" x14ac:dyDescent="0.35">
      <c r="A641" s="3" t="s">
        <v>483</v>
      </c>
      <c r="B641" s="3" t="s">
        <v>484</v>
      </c>
      <c r="C641" s="3" t="s">
        <v>429</v>
      </c>
      <c r="D641" s="3" t="s">
        <v>200</v>
      </c>
      <c r="E641" s="3" t="s">
        <v>187</v>
      </c>
      <c r="F641" s="3" t="s">
        <v>189</v>
      </c>
      <c r="G641" s="3" t="s">
        <v>201</v>
      </c>
      <c r="H641" s="3" t="s">
        <v>189</v>
      </c>
      <c r="I641" s="3" t="s">
        <v>190</v>
      </c>
      <c r="J641" s="3" t="s">
        <v>202</v>
      </c>
      <c r="K641" s="3" t="s">
        <v>23</v>
      </c>
      <c r="L641" s="3" t="s">
        <v>203</v>
      </c>
      <c r="M641" s="3" t="s">
        <v>430</v>
      </c>
      <c r="N641" s="3" t="s">
        <v>431</v>
      </c>
      <c r="O641" s="3" t="s">
        <v>197</v>
      </c>
      <c r="P641" s="3" t="s">
        <v>198</v>
      </c>
      <c r="Q641" s="3" t="s">
        <v>39</v>
      </c>
      <c r="R641" s="3" t="s">
        <v>40</v>
      </c>
      <c r="S641" s="7">
        <v>6609.5</v>
      </c>
      <c r="T641" s="7">
        <v>6609.2277999999997</v>
      </c>
      <c r="U641" s="7">
        <v>0</v>
      </c>
      <c r="V641" s="7">
        <v>0.2722</v>
      </c>
      <c r="W641" s="3">
        <v>100</v>
      </c>
    </row>
    <row r="642" spans="1:23" x14ac:dyDescent="0.35">
      <c r="A642" s="3" t="s">
        <v>483</v>
      </c>
      <c r="B642" s="3" t="s">
        <v>484</v>
      </c>
      <c r="C642" s="3" t="s">
        <v>199</v>
      </c>
      <c r="D642" s="3" t="s">
        <v>200</v>
      </c>
      <c r="E642" s="3" t="s">
        <v>187</v>
      </c>
      <c r="F642" s="3" t="s">
        <v>189</v>
      </c>
      <c r="G642" s="3" t="s">
        <v>201</v>
      </c>
      <c r="H642" s="3" t="s">
        <v>189</v>
      </c>
      <c r="I642" s="3" t="s">
        <v>190</v>
      </c>
      <c r="J642" s="3" t="s">
        <v>202</v>
      </c>
      <c r="K642" s="3" t="s">
        <v>23</v>
      </c>
      <c r="L642" s="3" t="s">
        <v>203</v>
      </c>
      <c r="M642" s="3" t="s">
        <v>204</v>
      </c>
      <c r="N642" s="3" t="s">
        <v>205</v>
      </c>
      <c r="O642" s="3" t="s">
        <v>197</v>
      </c>
      <c r="P642" s="3" t="s">
        <v>198</v>
      </c>
      <c r="Q642" s="3" t="s">
        <v>39</v>
      </c>
      <c r="R642" s="3" t="s">
        <v>40</v>
      </c>
      <c r="S642" s="7">
        <v>19701.3</v>
      </c>
      <c r="T642" s="7">
        <v>13133.406199999999</v>
      </c>
      <c r="U642" s="7">
        <v>0</v>
      </c>
      <c r="V642" s="7">
        <v>6567.8937999999998</v>
      </c>
      <c r="W642" s="3">
        <v>67</v>
      </c>
    </row>
    <row r="643" spans="1:23" x14ac:dyDescent="0.35">
      <c r="A643" s="3" t="s">
        <v>483</v>
      </c>
      <c r="B643" s="3" t="s">
        <v>484</v>
      </c>
      <c r="C643" s="3" t="s">
        <v>206</v>
      </c>
      <c r="D643" s="3" t="s">
        <v>200</v>
      </c>
      <c r="E643" s="3" t="s">
        <v>187</v>
      </c>
      <c r="F643" s="3" t="s">
        <v>189</v>
      </c>
      <c r="G643" s="3" t="s">
        <v>201</v>
      </c>
      <c r="H643" s="3" t="s">
        <v>189</v>
      </c>
      <c r="I643" s="3" t="s">
        <v>190</v>
      </c>
      <c r="J643" s="3" t="s">
        <v>202</v>
      </c>
      <c r="K643" s="3" t="s">
        <v>23</v>
      </c>
      <c r="L643" s="3" t="s">
        <v>203</v>
      </c>
      <c r="M643" s="3" t="s">
        <v>207</v>
      </c>
      <c r="N643" s="3" t="s">
        <v>208</v>
      </c>
      <c r="O643" s="3" t="s">
        <v>197</v>
      </c>
      <c r="P643" s="3" t="s">
        <v>198</v>
      </c>
      <c r="Q643" s="3" t="s">
        <v>39</v>
      </c>
      <c r="R643" s="3" t="s">
        <v>40</v>
      </c>
      <c r="S643" s="7">
        <v>98275</v>
      </c>
      <c r="T643" s="7">
        <v>66032.3</v>
      </c>
      <c r="U643" s="7">
        <v>0</v>
      </c>
      <c r="V643" s="7">
        <v>32242.7</v>
      </c>
      <c r="W643" s="3">
        <v>67</v>
      </c>
    </row>
    <row r="644" spans="1:23" x14ac:dyDescent="0.35">
      <c r="A644" s="3" t="s">
        <v>483</v>
      </c>
      <c r="B644" s="3" t="s">
        <v>484</v>
      </c>
      <c r="C644" s="3" t="s">
        <v>209</v>
      </c>
      <c r="D644" s="3" t="s">
        <v>200</v>
      </c>
      <c r="E644" s="3" t="s">
        <v>187</v>
      </c>
      <c r="F644" s="3" t="s">
        <v>189</v>
      </c>
      <c r="G644" s="3" t="s">
        <v>201</v>
      </c>
      <c r="H644" s="3" t="s">
        <v>189</v>
      </c>
      <c r="I644" s="3" t="s">
        <v>190</v>
      </c>
      <c r="J644" s="3" t="s">
        <v>191</v>
      </c>
      <c r="K644" s="3" t="s">
        <v>33</v>
      </c>
      <c r="L644" s="3" t="s">
        <v>34</v>
      </c>
      <c r="M644" s="3" t="s">
        <v>210</v>
      </c>
      <c r="N644" s="3" t="s">
        <v>211</v>
      </c>
      <c r="O644" s="3" t="s">
        <v>108</v>
      </c>
      <c r="P644" s="3" t="s">
        <v>109</v>
      </c>
      <c r="Q644" s="3" t="s">
        <v>39</v>
      </c>
      <c r="R644" s="3" t="s">
        <v>40</v>
      </c>
      <c r="S644" s="7">
        <v>5474469.7000000002</v>
      </c>
      <c r="T644" s="7">
        <v>2957225.1893000002</v>
      </c>
      <c r="U644" s="7">
        <v>862634.05079999997</v>
      </c>
      <c r="V644" s="7">
        <v>2517244.5107</v>
      </c>
      <c r="W644" s="3">
        <v>54</v>
      </c>
    </row>
    <row r="645" spans="1:23" x14ac:dyDescent="0.35">
      <c r="A645" s="3" t="s">
        <v>483</v>
      </c>
      <c r="B645" s="3" t="s">
        <v>484</v>
      </c>
      <c r="C645" s="3" t="s">
        <v>212</v>
      </c>
      <c r="D645" s="3" t="s">
        <v>200</v>
      </c>
      <c r="E645" s="3" t="s">
        <v>187</v>
      </c>
      <c r="F645" s="3" t="s">
        <v>189</v>
      </c>
      <c r="G645" s="3" t="s">
        <v>201</v>
      </c>
      <c r="H645" s="3" t="s">
        <v>189</v>
      </c>
      <c r="I645" s="3" t="s">
        <v>190</v>
      </c>
      <c r="J645" s="3" t="s">
        <v>191</v>
      </c>
      <c r="K645" s="3" t="s">
        <v>33</v>
      </c>
      <c r="L645" s="3" t="s">
        <v>34</v>
      </c>
      <c r="M645" s="3" t="s">
        <v>213</v>
      </c>
      <c r="N645" s="3" t="s">
        <v>214</v>
      </c>
      <c r="O645" s="3" t="s">
        <v>108</v>
      </c>
      <c r="P645" s="3" t="s">
        <v>109</v>
      </c>
      <c r="Q645" s="3" t="s">
        <v>39</v>
      </c>
      <c r="R645" s="3" t="s">
        <v>40</v>
      </c>
      <c r="S645" s="7">
        <v>183013.6</v>
      </c>
      <c r="T645" s="7">
        <v>93903.054300000003</v>
      </c>
      <c r="U645" s="7">
        <v>26726.9172</v>
      </c>
      <c r="V645" s="7">
        <v>89110.545700000002</v>
      </c>
      <c r="W645" s="3">
        <v>51</v>
      </c>
    </row>
    <row r="646" spans="1:23" x14ac:dyDescent="0.35">
      <c r="A646" s="3" t="s">
        <v>483</v>
      </c>
      <c r="B646" s="3" t="s">
        <v>484</v>
      </c>
      <c r="C646" s="3" t="s">
        <v>215</v>
      </c>
      <c r="D646" s="3" t="s">
        <v>200</v>
      </c>
      <c r="E646" s="3" t="s">
        <v>187</v>
      </c>
      <c r="F646" s="3" t="s">
        <v>189</v>
      </c>
      <c r="G646" s="3" t="s">
        <v>201</v>
      </c>
      <c r="H646" s="3" t="s">
        <v>189</v>
      </c>
      <c r="I646" s="3" t="s">
        <v>190</v>
      </c>
      <c r="J646" s="3" t="s">
        <v>191</v>
      </c>
      <c r="K646" s="3" t="s">
        <v>33</v>
      </c>
      <c r="L646" s="3" t="s">
        <v>34</v>
      </c>
      <c r="M646" s="3" t="s">
        <v>216</v>
      </c>
      <c r="N646" s="3" t="s">
        <v>217</v>
      </c>
      <c r="O646" s="3" t="s">
        <v>108</v>
      </c>
      <c r="P646" s="3" t="s">
        <v>109</v>
      </c>
      <c r="Q646" s="3" t="s">
        <v>39</v>
      </c>
      <c r="R646" s="3" t="s">
        <v>40</v>
      </c>
      <c r="S646" s="7">
        <v>88494.399999999994</v>
      </c>
      <c r="T646" s="7">
        <v>46429.152800000003</v>
      </c>
      <c r="U646" s="7">
        <v>9577.6596000000009</v>
      </c>
      <c r="V646" s="7">
        <v>42065.247199999998</v>
      </c>
      <c r="W646" s="3">
        <v>52</v>
      </c>
    </row>
    <row r="647" spans="1:23" x14ac:dyDescent="0.35">
      <c r="A647" s="3" t="s">
        <v>483</v>
      </c>
      <c r="B647" s="3" t="s">
        <v>484</v>
      </c>
      <c r="C647" s="3" t="s">
        <v>476</v>
      </c>
      <c r="D647" s="3" t="s">
        <v>200</v>
      </c>
      <c r="E647" s="3" t="s">
        <v>187</v>
      </c>
      <c r="F647" s="3" t="s">
        <v>189</v>
      </c>
      <c r="G647" s="3" t="s">
        <v>201</v>
      </c>
      <c r="H647" s="3" t="s">
        <v>189</v>
      </c>
      <c r="I647" s="3" t="s">
        <v>190</v>
      </c>
      <c r="J647" s="3" t="s">
        <v>191</v>
      </c>
      <c r="K647" s="3" t="s">
        <v>33</v>
      </c>
      <c r="L647" s="3" t="s">
        <v>34</v>
      </c>
      <c r="M647" s="3" t="s">
        <v>219</v>
      </c>
      <c r="N647" s="3" t="s">
        <v>220</v>
      </c>
      <c r="O647" s="3" t="s">
        <v>477</v>
      </c>
      <c r="P647" s="3" t="s">
        <v>478</v>
      </c>
      <c r="Q647" s="3" t="s">
        <v>39</v>
      </c>
      <c r="R647" s="3" t="s">
        <v>40</v>
      </c>
      <c r="S647" s="7">
        <v>1102.9000000000001</v>
      </c>
      <c r="T647" s="7">
        <v>0</v>
      </c>
      <c r="U647" s="7">
        <v>0</v>
      </c>
      <c r="V647" s="7">
        <v>1102.9000000000001</v>
      </c>
      <c r="W647" s="3">
        <v>0</v>
      </c>
    </row>
    <row r="648" spans="1:23" x14ac:dyDescent="0.35">
      <c r="A648" s="3" t="s">
        <v>483</v>
      </c>
      <c r="B648" s="3" t="s">
        <v>484</v>
      </c>
      <c r="C648" s="3" t="s">
        <v>223</v>
      </c>
      <c r="D648" s="3" t="s">
        <v>200</v>
      </c>
      <c r="E648" s="3" t="s">
        <v>187</v>
      </c>
      <c r="F648" s="3" t="s">
        <v>189</v>
      </c>
      <c r="G648" s="3" t="s">
        <v>201</v>
      </c>
      <c r="H648" s="3" t="s">
        <v>189</v>
      </c>
      <c r="I648" s="3" t="s">
        <v>190</v>
      </c>
      <c r="J648" s="3" t="s">
        <v>191</v>
      </c>
      <c r="K648" s="3" t="s">
        <v>33</v>
      </c>
      <c r="L648" s="3" t="s">
        <v>34</v>
      </c>
      <c r="M648" s="3" t="s">
        <v>224</v>
      </c>
      <c r="N648" s="3" t="s">
        <v>225</v>
      </c>
      <c r="O648" s="3" t="s">
        <v>197</v>
      </c>
      <c r="P648" s="3" t="s">
        <v>198</v>
      </c>
      <c r="Q648" s="3" t="s">
        <v>39</v>
      </c>
      <c r="R648" s="3" t="s">
        <v>40</v>
      </c>
      <c r="S648" s="7">
        <v>123977.4</v>
      </c>
      <c r="T648" s="7">
        <v>95918.685599999997</v>
      </c>
      <c r="U648" s="7">
        <v>34470.210200000001</v>
      </c>
      <c r="V648" s="7">
        <v>28058.714400000001</v>
      </c>
      <c r="W648" s="3">
        <v>77</v>
      </c>
    </row>
    <row r="649" spans="1:23" x14ac:dyDescent="0.35">
      <c r="A649" s="3" t="s">
        <v>483</v>
      </c>
      <c r="B649" s="3" t="s">
        <v>484</v>
      </c>
      <c r="C649" s="3" t="s">
        <v>432</v>
      </c>
      <c r="D649" s="3" t="s">
        <v>200</v>
      </c>
      <c r="E649" s="3" t="s">
        <v>187</v>
      </c>
      <c r="F649" s="3" t="s">
        <v>189</v>
      </c>
      <c r="G649" s="3" t="s">
        <v>201</v>
      </c>
      <c r="H649" s="3" t="s">
        <v>189</v>
      </c>
      <c r="I649" s="3" t="s">
        <v>190</v>
      </c>
      <c r="J649" s="3" t="s">
        <v>191</v>
      </c>
      <c r="K649" s="3" t="s">
        <v>33</v>
      </c>
      <c r="L649" s="3" t="s">
        <v>34</v>
      </c>
      <c r="M649" s="3" t="s">
        <v>427</v>
      </c>
      <c r="N649" s="3" t="s">
        <v>428</v>
      </c>
      <c r="O649" s="3" t="s">
        <v>197</v>
      </c>
      <c r="P649" s="3" t="s">
        <v>198</v>
      </c>
      <c r="Q649" s="3" t="s">
        <v>39</v>
      </c>
      <c r="R649" s="3" t="s">
        <v>40</v>
      </c>
      <c r="S649" s="7">
        <v>23605.9</v>
      </c>
      <c r="T649" s="7">
        <v>10586.241099999999</v>
      </c>
      <c r="U649" s="7">
        <v>3321.0770000000002</v>
      </c>
      <c r="V649" s="7">
        <v>13019.6589</v>
      </c>
      <c r="W649" s="3">
        <v>45</v>
      </c>
    </row>
    <row r="650" spans="1:23" x14ac:dyDescent="0.35">
      <c r="A650" s="3" t="s">
        <v>483</v>
      </c>
      <c r="B650" s="3" t="s">
        <v>484</v>
      </c>
      <c r="C650" s="3" t="s">
        <v>226</v>
      </c>
      <c r="D650" s="3" t="s">
        <v>200</v>
      </c>
      <c r="E650" s="3" t="s">
        <v>187</v>
      </c>
      <c r="F650" s="3" t="s">
        <v>189</v>
      </c>
      <c r="G650" s="3" t="s">
        <v>201</v>
      </c>
      <c r="H650" s="3" t="s">
        <v>189</v>
      </c>
      <c r="I650" s="3" t="s">
        <v>190</v>
      </c>
      <c r="J650" s="3" t="s">
        <v>191</v>
      </c>
      <c r="K650" s="3" t="s">
        <v>33</v>
      </c>
      <c r="L650" s="3" t="s">
        <v>34</v>
      </c>
      <c r="M650" s="3" t="s">
        <v>227</v>
      </c>
      <c r="N650" s="3" t="s">
        <v>228</v>
      </c>
      <c r="O650" s="3" t="s">
        <v>197</v>
      </c>
      <c r="P650" s="3" t="s">
        <v>198</v>
      </c>
      <c r="Q650" s="3" t="s">
        <v>39</v>
      </c>
      <c r="R650" s="3" t="s">
        <v>40</v>
      </c>
      <c r="S650" s="7">
        <v>115733.1</v>
      </c>
      <c r="T650" s="7">
        <v>526.04999999999995</v>
      </c>
      <c r="U650" s="7">
        <v>0</v>
      </c>
      <c r="V650" s="7">
        <v>115207.05</v>
      </c>
      <c r="W650" s="3">
        <v>0</v>
      </c>
    </row>
    <row r="651" spans="1:23" x14ac:dyDescent="0.35">
      <c r="A651" s="3" t="s">
        <v>483</v>
      </c>
      <c r="B651" s="3" t="s">
        <v>484</v>
      </c>
      <c r="C651" s="3" t="s">
        <v>229</v>
      </c>
      <c r="D651" s="3" t="s">
        <v>200</v>
      </c>
      <c r="E651" s="3" t="s">
        <v>187</v>
      </c>
      <c r="F651" s="3" t="s">
        <v>189</v>
      </c>
      <c r="G651" s="3" t="s">
        <v>201</v>
      </c>
      <c r="H651" s="3" t="s">
        <v>189</v>
      </c>
      <c r="I651" s="3" t="s">
        <v>190</v>
      </c>
      <c r="J651" s="3" t="s">
        <v>191</v>
      </c>
      <c r="K651" s="3" t="s">
        <v>33</v>
      </c>
      <c r="L651" s="3" t="s">
        <v>34</v>
      </c>
      <c r="M651" s="3" t="s">
        <v>195</v>
      </c>
      <c r="N651" s="3" t="s">
        <v>196</v>
      </c>
      <c r="O651" s="3" t="s">
        <v>197</v>
      </c>
      <c r="P651" s="3" t="s">
        <v>198</v>
      </c>
      <c r="Q651" s="3" t="s">
        <v>39</v>
      </c>
      <c r="R651" s="3" t="s">
        <v>40</v>
      </c>
      <c r="S651" s="7">
        <v>29599.599999999999</v>
      </c>
      <c r="T651" s="7">
        <v>6415.5029000000004</v>
      </c>
      <c r="U651" s="7">
        <v>2529.0101</v>
      </c>
      <c r="V651" s="7">
        <v>23184.097099999999</v>
      </c>
      <c r="W651" s="3">
        <v>22</v>
      </c>
    </row>
    <row r="652" spans="1:23" x14ac:dyDescent="0.35">
      <c r="A652" s="3" t="s">
        <v>483</v>
      </c>
      <c r="B652" s="3" t="s">
        <v>484</v>
      </c>
      <c r="C652" s="3" t="s">
        <v>433</v>
      </c>
      <c r="D652" s="3" t="s">
        <v>200</v>
      </c>
      <c r="E652" s="3" t="s">
        <v>187</v>
      </c>
      <c r="F652" s="3" t="s">
        <v>189</v>
      </c>
      <c r="G652" s="3" t="s">
        <v>201</v>
      </c>
      <c r="H652" s="3" t="s">
        <v>189</v>
      </c>
      <c r="I652" s="3" t="s">
        <v>190</v>
      </c>
      <c r="J652" s="3" t="s">
        <v>191</v>
      </c>
      <c r="K652" s="3" t="s">
        <v>33</v>
      </c>
      <c r="L652" s="3" t="s">
        <v>34</v>
      </c>
      <c r="M652" s="3" t="s">
        <v>434</v>
      </c>
      <c r="N652" s="3" t="s">
        <v>435</v>
      </c>
      <c r="O652" s="3" t="s">
        <v>197</v>
      </c>
      <c r="P652" s="3" t="s">
        <v>198</v>
      </c>
      <c r="Q652" s="3" t="s">
        <v>39</v>
      </c>
      <c r="R652" s="3" t="s">
        <v>40</v>
      </c>
      <c r="S652" s="7">
        <v>14900</v>
      </c>
      <c r="T652" s="7">
        <v>6174.7572</v>
      </c>
      <c r="U652" s="7">
        <v>4953.4750000000004</v>
      </c>
      <c r="V652" s="7">
        <v>8725.2428</v>
      </c>
      <c r="W652" s="3">
        <v>41</v>
      </c>
    </row>
    <row r="653" spans="1:23" x14ac:dyDescent="0.35">
      <c r="A653" s="3" t="s">
        <v>483</v>
      </c>
      <c r="B653" s="3" t="s">
        <v>484</v>
      </c>
      <c r="C653" s="3" t="s">
        <v>230</v>
      </c>
      <c r="D653" s="3" t="s">
        <v>200</v>
      </c>
      <c r="E653" s="3" t="s">
        <v>187</v>
      </c>
      <c r="F653" s="3" t="s">
        <v>189</v>
      </c>
      <c r="G653" s="3" t="s">
        <v>201</v>
      </c>
      <c r="H653" s="3" t="s">
        <v>28</v>
      </c>
      <c r="I653" s="3" t="s">
        <v>231</v>
      </c>
      <c r="J653" s="3" t="s">
        <v>232</v>
      </c>
      <c r="K653" s="3" t="s">
        <v>33</v>
      </c>
      <c r="L653" s="3" t="s">
        <v>51</v>
      </c>
      <c r="M653" s="3" t="s">
        <v>233</v>
      </c>
      <c r="N653" s="3" t="s">
        <v>234</v>
      </c>
      <c r="O653" s="3" t="s">
        <v>197</v>
      </c>
      <c r="P653" s="3" t="s">
        <v>198</v>
      </c>
      <c r="Q653" s="3" t="s">
        <v>39</v>
      </c>
      <c r="R653" s="3" t="s">
        <v>40</v>
      </c>
      <c r="S653" s="7">
        <v>340444.3</v>
      </c>
      <c r="T653" s="7">
        <v>163326.85130000001</v>
      </c>
      <c r="U653" s="7">
        <v>20334.140899999999</v>
      </c>
      <c r="V653" s="7">
        <v>177117.44870000001</v>
      </c>
      <c r="W653" s="3">
        <v>48</v>
      </c>
    </row>
    <row r="654" spans="1:23" x14ac:dyDescent="0.35">
      <c r="A654" s="3" t="s">
        <v>483</v>
      </c>
      <c r="B654" s="3" t="s">
        <v>484</v>
      </c>
      <c r="C654" s="3" t="s">
        <v>235</v>
      </c>
      <c r="D654" s="3" t="s">
        <v>200</v>
      </c>
      <c r="E654" s="3" t="s">
        <v>187</v>
      </c>
      <c r="F654" s="3" t="s">
        <v>189</v>
      </c>
      <c r="G654" s="3" t="s">
        <v>201</v>
      </c>
      <c r="H654" s="3" t="s">
        <v>28</v>
      </c>
      <c r="I654" s="3" t="s">
        <v>231</v>
      </c>
      <c r="J654" s="3" t="s">
        <v>232</v>
      </c>
      <c r="K654" s="3" t="s">
        <v>33</v>
      </c>
      <c r="L654" s="3" t="s">
        <v>51</v>
      </c>
      <c r="M654" s="3" t="s">
        <v>236</v>
      </c>
      <c r="N654" s="3" t="s">
        <v>237</v>
      </c>
      <c r="O654" s="3" t="s">
        <v>197</v>
      </c>
      <c r="P654" s="3" t="s">
        <v>198</v>
      </c>
      <c r="Q654" s="3" t="s">
        <v>39</v>
      </c>
      <c r="R654" s="3" t="s">
        <v>40</v>
      </c>
      <c r="S654" s="7">
        <v>188979.20000000001</v>
      </c>
      <c r="T654" s="7">
        <v>114564.7626</v>
      </c>
      <c r="U654" s="7">
        <v>0</v>
      </c>
      <c r="V654" s="7">
        <v>74414.437399999995</v>
      </c>
      <c r="W654" s="3">
        <v>61</v>
      </c>
    </row>
    <row r="655" spans="1:23" x14ac:dyDescent="0.35">
      <c r="A655" s="3" t="s">
        <v>483</v>
      </c>
      <c r="B655" s="3" t="s">
        <v>484</v>
      </c>
      <c r="C655" s="3" t="s">
        <v>238</v>
      </c>
      <c r="D655" s="3" t="s">
        <v>239</v>
      </c>
      <c r="E655" s="3" t="s">
        <v>187</v>
      </c>
      <c r="F655" s="3" t="s">
        <v>28</v>
      </c>
      <c r="G655" s="3" t="s">
        <v>240</v>
      </c>
      <c r="H655" s="3" t="s">
        <v>189</v>
      </c>
      <c r="I655" s="3" t="s">
        <v>190</v>
      </c>
      <c r="J655" s="3" t="s">
        <v>191</v>
      </c>
      <c r="K655" s="3" t="s">
        <v>33</v>
      </c>
      <c r="L655" s="3" t="s">
        <v>34</v>
      </c>
      <c r="M655" s="3" t="s">
        <v>241</v>
      </c>
      <c r="N655" s="3" t="s">
        <v>242</v>
      </c>
      <c r="O655" s="3" t="s">
        <v>108</v>
      </c>
      <c r="P655" s="3" t="s">
        <v>109</v>
      </c>
      <c r="Q655" s="3" t="s">
        <v>39</v>
      </c>
      <c r="R655" s="3" t="s">
        <v>40</v>
      </c>
      <c r="S655" s="7">
        <v>300340.90000000002</v>
      </c>
      <c r="T655" s="7">
        <v>140748.13159999999</v>
      </c>
      <c r="U655" s="7">
        <v>36889.7693</v>
      </c>
      <c r="V655" s="7">
        <v>159592.7684</v>
      </c>
      <c r="W655" s="3">
        <v>47</v>
      </c>
    </row>
    <row r="656" spans="1:23" x14ac:dyDescent="0.35">
      <c r="A656" s="3" t="s">
        <v>483</v>
      </c>
      <c r="B656" s="3" t="s">
        <v>484</v>
      </c>
      <c r="C656" s="3" t="s">
        <v>243</v>
      </c>
      <c r="D656" s="3" t="s">
        <v>244</v>
      </c>
      <c r="E656" s="3" t="s">
        <v>187</v>
      </c>
      <c r="F656" s="3" t="s">
        <v>245</v>
      </c>
      <c r="G656" s="3" t="s">
        <v>246</v>
      </c>
      <c r="H656" s="3" t="s">
        <v>66</v>
      </c>
      <c r="I656" s="3" t="s">
        <v>67</v>
      </c>
      <c r="J656" s="3" t="s">
        <v>68</v>
      </c>
      <c r="K656" s="3" t="s">
        <v>33</v>
      </c>
      <c r="L656" s="3" t="s">
        <v>51</v>
      </c>
      <c r="M656" s="3" t="s">
        <v>247</v>
      </c>
      <c r="N656" s="3" t="s">
        <v>248</v>
      </c>
      <c r="O656" s="3" t="s">
        <v>108</v>
      </c>
      <c r="P656" s="3" t="s">
        <v>109</v>
      </c>
      <c r="Q656" s="3" t="s">
        <v>39</v>
      </c>
      <c r="R656" s="3" t="s">
        <v>40</v>
      </c>
      <c r="S656" s="7">
        <v>241260.4</v>
      </c>
      <c r="T656" s="7">
        <v>81506.188899999994</v>
      </c>
      <c r="U656" s="7">
        <v>22100.311300000001</v>
      </c>
      <c r="V656" s="7">
        <v>159754.21109999999</v>
      </c>
      <c r="W656" s="3">
        <v>34</v>
      </c>
    </row>
    <row r="657" spans="1:23" x14ac:dyDescent="0.35">
      <c r="A657" s="3" t="s">
        <v>483</v>
      </c>
      <c r="B657" s="3" t="s">
        <v>484</v>
      </c>
      <c r="C657" s="3" t="s">
        <v>249</v>
      </c>
      <c r="D657" s="3" t="s">
        <v>244</v>
      </c>
      <c r="E657" s="3" t="s">
        <v>187</v>
      </c>
      <c r="F657" s="3" t="s">
        <v>245</v>
      </c>
      <c r="G657" s="3" t="s">
        <v>246</v>
      </c>
      <c r="H657" s="3" t="s">
        <v>66</v>
      </c>
      <c r="I657" s="3" t="s">
        <v>67</v>
      </c>
      <c r="J657" s="3" t="s">
        <v>68</v>
      </c>
      <c r="K657" s="3" t="s">
        <v>33</v>
      </c>
      <c r="L657" s="3" t="s">
        <v>51</v>
      </c>
      <c r="M657" s="3" t="s">
        <v>250</v>
      </c>
      <c r="N657" s="3" t="s">
        <v>251</v>
      </c>
      <c r="O657" s="3" t="s">
        <v>197</v>
      </c>
      <c r="P657" s="3" t="s">
        <v>198</v>
      </c>
      <c r="Q657" s="3" t="s">
        <v>39</v>
      </c>
      <c r="R657" s="3" t="s">
        <v>40</v>
      </c>
      <c r="S657" s="7">
        <v>82757.8</v>
      </c>
      <c r="T657" s="7">
        <v>0</v>
      </c>
      <c r="U657" s="7">
        <v>0</v>
      </c>
      <c r="V657" s="7">
        <v>82757.8</v>
      </c>
      <c r="W657" s="3">
        <v>0</v>
      </c>
    </row>
    <row r="658" spans="1:23" x14ac:dyDescent="0.35">
      <c r="A658" s="3" t="s">
        <v>483</v>
      </c>
      <c r="B658" s="3" t="s">
        <v>484</v>
      </c>
      <c r="C658" s="3" t="s">
        <v>252</v>
      </c>
      <c r="D658" s="3" t="s">
        <v>244</v>
      </c>
      <c r="E658" s="3" t="s">
        <v>187</v>
      </c>
      <c r="F658" s="3" t="s">
        <v>245</v>
      </c>
      <c r="G658" s="3" t="s">
        <v>246</v>
      </c>
      <c r="H658" s="3" t="s">
        <v>66</v>
      </c>
      <c r="I658" s="3" t="s">
        <v>67</v>
      </c>
      <c r="J658" s="3" t="s">
        <v>68</v>
      </c>
      <c r="K658" s="3" t="s">
        <v>33</v>
      </c>
      <c r="L658" s="3" t="s">
        <v>51</v>
      </c>
      <c r="M658" s="3" t="s">
        <v>253</v>
      </c>
      <c r="N658" s="3" t="s">
        <v>254</v>
      </c>
      <c r="O658" s="3" t="s">
        <v>197</v>
      </c>
      <c r="P658" s="3" t="s">
        <v>198</v>
      </c>
      <c r="Q658" s="3" t="s">
        <v>39</v>
      </c>
      <c r="R658" s="3" t="s">
        <v>40</v>
      </c>
      <c r="S658" s="7">
        <v>1724.3</v>
      </c>
      <c r="T658" s="7">
        <v>185.48349999999999</v>
      </c>
      <c r="U658" s="7">
        <v>185.48349999999999</v>
      </c>
      <c r="V658" s="7">
        <v>1538.8164999999999</v>
      </c>
      <c r="W658" s="3">
        <v>11</v>
      </c>
    </row>
    <row r="659" spans="1:23" x14ac:dyDescent="0.35">
      <c r="A659" s="3" t="s">
        <v>483</v>
      </c>
      <c r="B659" s="3" t="s">
        <v>484</v>
      </c>
      <c r="C659" s="3" t="s">
        <v>255</v>
      </c>
      <c r="D659" s="3" t="s">
        <v>244</v>
      </c>
      <c r="E659" s="3" t="s">
        <v>187</v>
      </c>
      <c r="F659" s="3" t="s">
        <v>245</v>
      </c>
      <c r="G659" s="3" t="s">
        <v>246</v>
      </c>
      <c r="H659" s="3" t="s">
        <v>66</v>
      </c>
      <c r="I659" s="3" t="s">
        <v>67</v>
      </c>
      <c r="J659" s="3" t="s">
        <v>68</v>
      </c>
      <c r="K659" s="3" t="s">
        <v>33</v>
      </c>
      <c r="L659" s="3" t="s">
        <v>51</v>
      </c>
      <c r="M659" s="3" t="s">
        <v>256</v>
      </c>
      <c r="N659" s="3" t="s">
        <v>257</v>
      </c>
      <c r="O659" s="3" t="s">
        <v>197</v>
      </c>
      <c r="P659" s="3" t="s">
        <v>198</v>
      </c>
      <c r="Q659" s="3" t="s">
        <v>39</v>
      </c>
      <c r="R659" s="3" t="s">
        <v>40</v>
      </c>
      <c r="S659" s="7">
        <v>23957.3</v>
      </c>
      <c r="T659" s="7">
        <v>1656.4585999999999</v>
      </c>
      <c r="U659" s="7">
        <v>0</v>
      </c>
      <c r="V659" s="7">
        <v>22300.841400000001</v>
      </c>
      <c r="W659" s="3">
        <v>7</v>
      </c>
    </row>
    <row r="660" spans="1:23" x14ac:dyDescent="0.35">
      <c r="A660" s="3" t="s">
        <v>483</v>
      </c>
      <c r="B660" s="3" t="s">
        <v>484</v>
      </c>
      <c r="C660" s="3" t="s">
        <v>258</v>
      </c>
      <c r="D660" s="3" t="s">
        <v>259</v>
      </c>
      <c r="E660" s="3" t="s">
        <v>187</v>
      </c>
      <c r="F660" s="3" t="s">
        <v>116</v>
      </c>
      <c r="G660" s="3" t="s">
        <v>260</v>
      </c>
      <c r="H660" s="3" t="s">
        <v>189</v>
      </c>
      <c r="I660" s="3" t="s">
        <v>190</v>
      </c>
      <c r="J660" s="3" t="s">
        <v>202</v>
      </c>
      <c r="K660" s="3" t="s">
        <v>23</v>
      </c>
      <c r="L660" s="3" t="s">
        <v>203</v>
      </c>
      <c r="M660" s="3" t="s">
        <v>261</v>
      </c>
      <c r="N660" s="3" t="s">
        <v>262</v>
      </c>
      <c r="O660" s="3" t="s">
        <v>197</v>
      </c>
      <c r="P660" s="3" t="s">
        <v>198</v>
      </c>
      <c r="Q660" s="3" t="s">
        <v>39</v>
      </c>
      <c r="R660" s="3" t="s">
        <v>40</v>
      </c>
      <c r="S660" s="7">
        <v>3437.3</v>
      </c>
      <c r="T660" s="7">
        <v>2291.2800000000002</v>
      </c>
      <c r="U660" s="7">
        <v>0</v>
      </c>
      <c r="V660" s="7">
        <v>1146.02</v>
      </c>
      <c r="W660" s="3">
        <v>67</v>
      </c>
    </row>
    <row r="661" spans="1:23" x14ac:dyDescent="0.35">
      <c r="A661" s="3" t="s">
        <v>483</v>
      </c>
      <c r="B661" s="3" t="s">
        <v>484</v>
      </c>
      <c r="C661" s="3" t="s">
        <v>263</v>
      </c>
      <c r="D661" s="3" t="s">
        <v>259</v>
      </c>
      <c r="E661" s="3" t="s">
        <v>187</v>
      </c>
      <c r="F661" s="3" t="s">
        <v>116</v>
      </c>
      <c r="G661" s="3" t="s">
        <v>260</v>
      </c>
      <c r="H661" s="3" t="s">
        <v>189</v>
      </c>
      <c r="I661" s="3" t="s">
        <v>190</v>
      </c>
      <c r="J661" s="3" t="s">
        <v>191</v>
      </c>
      <c r="K661" s="3" t="s">
        <v>33</v>
      </c>
      <c r="L661" s="3" t="s">
        <v>34</v>
      </c>
      <c r="M661" s="3" t="s">
        <v>264</v>
      </c>
      <c r="N661" s="3" t="s">
        <v>265</v>
      </c>
      <c r="O661" s="3" t="s">
        <v>197</v>
      </c>
      <c r="P661" s="3" t="s">
        <v>198</v>
      </c>
      <c r="Q661" s="3" t="s">
        <v>39</v>
      </c>
      <c r="R661" s="3" t="s">
        <v>40</v>
      </c>
      <c r="S661" s="7">
        <v>1718.3</v>
      </c>
      <c r="T661" s="7">
        <v>1718.3</v>
      </c>
      <c r="U661" s="7">
        <v>0</v>
      </c>
      <c r="V661" s="7">
        <v>0</v>
      </c>
      <c r="W661" s="3">
        <v>100</v>
      </c>
    </row>
    <row r="662" spans="1:23" x14ac:dyDescent="0.35">
      <c r="A662" s="3" t="s">
        <v>483</v>
      </c>
      <c r="B662" s="3" t="s">
        <v>484</v>
      </c>
      <c r="C662" s="3" t="s">
        <v>266</v>
      </c>
      <c r="D662" s="3" t="s">
        <v>259</v>
      </c>
      <c r="E662" s="3" t="s">
        <v>187</v>
      </c>
      <c r="F662" s="3" t="s">
        <v>116</v>
      </c>
      <c r="G662" s="3" t="s">
        <v>260</v>
      </c>
      <c r="H662" s="3" t="s">
        <v>189</v>
      </c>
      <c r="I662" s="3" t="s">
        <v>190</v>
      </c>
      <c r="J662" s="3" t="s">
        <v>191</v>
      </c>
      <c r="K662" s="3" t="s">
        <v>33</v>
      </c>
      <c r="L662" s="3" t="s">
        <v>34</v>
      </c>
      <c r="M662" s="3" t="s">
        <v>267</v>
      </c>
      <c r="N662" s="3" t="s">
        <v>268</v>
      </c>
      <c r="O662" s="3" t="s">
        <v>37</v>
      </c>
      <c r="P662" s="3" t="s">
        <v>38</v>
      </c>
      <c r="Q662" s="3" t="s">
        <v>39</v>
      </c>
      <c r="R662" s="3" t="s">
        <v>40</v>
      </c>
      <c r="S662" s="7">
        <v>94089.600000000006</v>
      </c>
      <c r="T662" s="7">
        <v>2447.6</v>
      </c>
      <c r="U662" s="7">
        <v>0</v>
      </c>
      <c r="V662" s="7">
        <v>91642</v>
      </c>
      <c r="W662" s="3">
        <v>3</v>
      </c>
    </row>
    <row r="663" spans="1:23" x14ac:dyDescent="0.35">
      <c r="A663" s="3" t="s">
        <v>483</v>
      </c>
      <c r="B663" s="3" t="s">
        <v>484</v>
      </c>
      <c r="C663" s="3" t="s">
        <v>269</v>
      </c>
      <c r="D663" s="3" t="s">
        <v>259</v>
      </c>
      <c r="E663" s="3" t="s">
        <v>187</v>
      </c>
      <c r="F663" s="3" t="s">
        <v>116</v>
      </c>
      <c r="G663" s="3" t="s">
        <v>260</v>
      </c>
      <c r="H663" s="3" t="s">
        <v>189</v>
      </c>
      <c r="I663" s="3" t="s">
        <v>190</v>
      </c>
      <c r="J663" s="3" t="s">
        <v>191</v>
      </c>
      <c r="K663" s="3" t="s">
        <v>33</v>
      </c>
      <c r="L663" s="3" t="s">
        <v>34</v>
      </c>
      <c r="M663" s="3" t="s">
        <v>267</v>
      </c>
      <c r="N663" s="3" t="s">
        <v>268</v>
      </c>
      <c r="O663" s="3" t="s">
        <v>197</v>
      </c>
      <c r="P663" s="3" t="s">
        <v>198</v>
      </c>
      <c r="Q663" s="3" t="s">
        <v>39</v>
      </c>
      <c r="R663" s="3" t="s">
        <v>40</v>
      </c>
      <c r="S663" s="7">
        <v>15777.7</v>
      </c>
      <c r="T663" s="7">
        <v>1864.9540999999999</v>
      </c>
      <c r="U663" s="7">
        <v>1362.91</v>
      </c>
      <c r="V663" s="7">
        <v>13912.7459</v>
      </c>
      <c r="W663" s="3">
        <v>12</v>
      </c>
    </row>
    <row r="664" spans="1:23" x14ac:dyDescent="0.35">
      <c r="A664" s="3" t="s">
        <v>483</v>
      </c>
      <c r="B664" s="3" t="s">
        <v>484</v>
      </c>
      <c r="C664" s="3" t="s">
        <v>270</v>
      </c>
      <c r="D664" s="3" t="s">
        <v>259</v>
      </c>
      <c r="E664" s="3" t="s">
        <v>187</v>
      </c>
      <c r="F664" s="3" t="s">
        <v>116</v>
      </c>
      <c r="G664" s="3" t="s">
        <v>260</v>
      </c>
      <c r="H664" s="3" t="s">
        <v>189</v>
      </c>
      <c r="I664" s="3" t="s">
        <v>190</v>
      </c>
      <c r="J664" s="3" t="s">
        <v>191</v>
      </c>
      <c r="K664" s="3" t="s">
        <v>33</v>
      </c>
      <c r="L664" s="3" t="s">
        <v>34</v>
      </c>
      <c r="M664" s="3" t="s">
        <v>271</v>
      </c>
      <c r="N664" s="3" t="s">
        <v>272</v>
      </c>
      <c r="O664" s="3" t="s">
        <v>108</v>
      </c>
      <c r="P664" s="3" t="s">
        <v>109</v>
      </c>
      <c r="Q664" s="3" t="s">
        <v>39</v>
      </c>
      <c r="R664" s="3" t="s">
        <v>40</v>
      </c>
      <c r="S664" s="7">
        <v>46883.7</v>
      </c>
      <c r="T664" s="7">
        <v>30128.3024</v>
      </c>
      <c r="U664" s="7">
        <v>8461.5177999999996</v>
      </c>
      <c r="V664" s="7">
        <v>16755.3976</v>
      </c>
      <c r="W664" s="3">
        <v>64</v>
      </c>
    </row>
    <row r="665" spans="1:23" x14ac:dyDescent="0.35">
      <c r="A665" s="3" t="s">
        <v>483</v>
      </c>
      <c r="B665" s="3" t="s">
        <v>484</v>
      </c>
      <c r="C665" s="3" t="s">
        <v>273</v>
      </c>
      <c r="D665" s="3" t="s">
        <v>259</v>
      </c>
      <c r="E665" s="3" t="s">
        <v>187</v>
      </c>
      <c r="F665" s="3" t="s">
        <v>116</v>
      </c>
      <c r="G665" s="3" t="s">
        <v>260</v>
      </c>
      <c r="H665" s="3" t="s">
        <v>189</v>
      </c>
      <c r="I665" s="3" t="s">
        <v>190</v>
      </c>
      <c r="J665" s="3" t="s">
        <v>191</v>
      </c>
      <c r="K665" s="3" t="s">
        <v>33</v>
      </c>
      <c r="L665" s="3" t="s">
        <v>34</v>
      </c>
      <c r="M665" s="3" t="s">
        <v>274</v>
      </c>
      <c r="N665" s="3" t="s">
        <v>275</v>
      </c>
      <c r="O665" s="3" t="s">
        <v>108</v>
      </c>
      <c r="P665" s="3" t="s">
        <v>109</v>
      </c>
      <c r="Q665" s="3" t="s">
        <v>39</v>
      </c>
      <c r="R665" s="3" t="s">
        <v>40</v>
      </c>
      <c r="S665" s="7">
        <v>66303.8</v>
      </c>
      <c r="T665" s="7">
        <v>35515.291799999999</v>
      </c>
      <c r="U665" s="7">
        <v>8103.2276000000002</v>
      </c>
      <c r="V665" s="7">
        <v>30788.5082</v>
      </c>
      <c r="W665" s="3">
        <v>54</v>
      </c>
    </row>
    <row r="666" spans="1:23" x14ac:dyDescent="0.35">
      <c r="A666" s="3" t="s">
        <v>483</v>
      </c>
      <c r="B666" s="3" t="s">
        <v>484</v>
      </c>
      <c r="C666" s="3" t="s">
        <v>460</v>
      </c>
      <c r="D666" s="3" t="s">
        <v>259</v>
      </c>
      <c r="E666" s="3" t="s">
        <v>187</v>
      </c>
      <c r="F666" s="3" t="s">
        <v>116</v>
      </c>
      <c r="G666" s="3" t="s">
        <v>260</v>
      </c>
      <c r="H666" s="3" t="s">
        <v>189</v>
      </c>
      <c r="I666" s="3" t="s">
        <v>190</v>
      </c>
      <c r="J666" s="3" t="s">
        <v>191</v>
      </c>
      <c r="K666" s="3" t="s">
        <v>33</v>
      </c>
      <c r="L666" s="3" t="s">
        <v>34</v>
      </c>
      <c r="M666" s="3" t="s">
        <v>461</v>
      </c>
      <c r="N666" s="3" t="s">
        <v>462</v>
      </c>
      <c r="O666" s="3" t="s">
        <v>197</v>
      </c>
      <c r="P666" s="3" t="s">
        <v>198</v>
      </c>
      <c r="Q666" s="3" t="s">
        <v>39</v>
      </c>
      <c r="R666" s="3" t="s">
        <v>40</v>
      </c>
      <c r="S666" s="7">
        <v>21095.5</v>
      </c>
      <c r="T666" s="7">
        <v>2118.8425000000002</v>
      </c>
      <c r="U666" s="7">
        <v>2118.8425000000002</v>
      </c>
      <c r="V666" s="7">
        <v>18976.657500000001</v>
      </c>
      <c r="W666" s="3">
        <v>10</v>
      </c>
    </row>
    <row r="667" spans="1:23" x14ac:dyDescent="0.35">
      <c r="A667" s="3" t="s">
        <v>483</v>
      </c>
      <c r="B667" s="3" t="s">
        <v>484</v>
      </c>
      <c r="C667" s="3" t="s">
        <v>276</v>
      </c>
      <c r="D667" s="3" t="s">
        <v>259</v>
      </c>
      <c r="E667" s="3" t="s">
        <v>187</v>
      </c>
      <c r="F667" s="3" t="s">
        <v>116</v>
      </c>
      <c r="G667" s="3" t="s">
        <v>260</v>
      </c>
      <c r="H667" s="3" t="s">
        <v>189</v>
      </c>
      <c r="I667" s="3" t="s">
        <v>190</v>
      </c>
      <c r="J667" s="3" t="s">
        <v>191</v>
      </c>
      <c r="K667" s="3" t="s">
        <v>33</v>
      </c>
      <c r="L667" s="3" t="s">
        <v>34</v>
      </c>
      <c r="M667" s="3" t="s">
        <v>277</v>
      </c>
      <c r="N667" s="3" t="s">
        <v>278</v>
      </c>
      <c r="O667" s="3" t="s">
        <v>197</v>
      </c>
      <c r="P667" s="3" t="s">
        <v>198</v>
      </c>
      <c r="Q667" s="3" t="s">
        <v>39</v>
      </c>
      <c r="R667" s="3" t="s">
        <v>40</v>
      </c>
      <c r="S667" s="7">
        <v>5928.5</v>
      </c>
      <c r="T667" s="7">
        <v>0</v>
      </c>
      <c r="U667" s="7">
        <v>0</v>
      </c>
      <c r="V667" s="7">
        <v>5928.5</v>
      </c>
      <c r="W667" s="3">
        <v>0</v>
      </c>
    </row>
    <row r="668" spans="1:23" x14ac:dyDescent="0.35">
      <c r="A668" s="3" t="s">
        <v>483</v>
      </c>
      <c r="B668" s="3" t="s">
        <v>484</v>
      </c>
      <c r="C668" s="3" t="s">
        <v>279</v>
      </c>
      <c r="D668" s="3" t="s">
        <v>259</v>
      </c>
      <c r="E668" s="3" t="s">
        <v>187</v>
      </c>
      <c r="F668" s="3" t="s">
        <v>116</v>
      </c>
      <c r="G668" s="3" t="s">
        <v>260</v>
      </c>
      <c r="H668" s="3" t="s">
        <v>189</v>
      </c>
      <c r="I668" s="3" t="s">
        <v>190</v>
      </c>
      <c r="J668" s="3" t="s">
        <v>191</v>
      </c>
      <c r="K668" s="3" t="s">
        <v>33</v>
      </c>
      <c r="L668" s="3" t="s">
        <v>34</v>
      </c>
      <c r="M668" s="3" t="s">
        <v>280</v>
      </c>
      <c r="N668" s="3" t="s">
        <v>281</v>
      </c>
      <c r="O668" s="3" t="s">
        <v>197</v>
      </c>
      <c r="P668" s="3" t="s">
        <v>198</v>
      </c>
      <c r="Q668" s="3" t="s">
        <v>39</v>
      </c>
      <c r="R668" s="3" t="s">
        <v>40</v>
      </c>
      <c r="S668" s="7">
        <v>7523.1</v>
      </c>
      <c r="T668" s="7">
        <v>0</v>
      </c>
      <c r="U668" s="7">
        <v>0</v>
      </c>
      <c r="V668" s="7">
        <v>7523.1</v>
      </c>
      <c r="W668" s="3">
        <v>0</v>
      </c>
    </row>
    <row r="669" spans="1:23" x14ac:dyDescent="0.35">
      <c r="A669" s="3" t="s">
        <v>483</v>
      </c>
      <c r="B669" s="3" t="s">
        <v>484</v>
      </c>
      <c r="C669" s="3" t="s">
        <v>282</v>
      </c>
      <c r="D669" s="3" t="s">
        <v>259</v>
      </c>
      <c r="E669" s="3" t="s">
        <v>187</v>
      </c>
      <c r="F669" s="3" t="s">
        <v>116</v>
      </c>
      <c r="G669" s="3" t="s">
        <v>260</v>
      </c>
      <c r="H669" s="3" t="s">
        <v>66</v>
      </c>
      <c r="I669" s="3" t="s">
        <v>67</v>
      </c>
      <c r="J669" s="3" t="s">
        <v>68</v>
      </c>
      <c r="K669" s="3" t="s">
        <v>33</v>
      </c>
      <c r="L669" s="3" t="s">
        <v>51</v>
      </c>
      <c r="M669" s="3" t="s">
        <v>283</v>
      </c>
      <c r="N669" s="3" t="s">
        <v>284</v>
      </c>
      <c r="O669" s="3" t="s">
        <v>197</v>
      </c>
      <c r="P669" s="3" t="s">
        <v>198</v>
      </c>
      <c r="Q669" s="3" t="s">
        <v>39</v>
      </c>
      <c r="R669" s="3" t="s">
        <v>40</v>
      </c>
      <c r="S669" s="7">
        <v>500</v>
      </c>
      <c r="T669" s="7">
        <v>48</v>
      </c>
      <c r="U669" s="7">
        <v>0</v>
      </c>
      <c r="V669" s="7">
        <v>452</v>
      </c>
      <c r="W669" s="3">
        <v>10</v>
      </c>
    </row>
    <row r="670" spans="1:23" x14ac:dyDescent="0.35">
      <c r="A670" s="3" t="s">
        <v>483</v>
      </c>
      <c r="B670" s="3" t="s">
        <v>484</v>
      </c>
      <c r="C670" s="3" t="s">
        <v>285</v>
      </c>
      <c r="D670" s="3" t="s">
        <v>259</v>
      </c>
      <c r="E670" s="3" t="s">
        <v>187</v>
      </c>
      <c r="F670" s="3" t="s">
        <v>116</v>
      </c>
      <c r="G670" s="3" t="s">
        <v>260</v>
      </c>
      <c r="H670" s="3" t="s">
        <v>30</v>
      </c>
      <c r="I670" s="3" t="s">
        <v>31</v>
      </c>
      <c r="J670" s="3" t="s">
        <v>32</v>
      </c>
      <c r="K670" s="3" t="s">
        <v>33</v>
      </c>
      <c r="L670" s="3" t="s">
        <v>34</v>
      </c>
      <c r="M670" s="3" t="s">
        <v>286</v>
      </c>
      <c r="N670" s="3" t="s">
        <v>287</v>
      </c>
      <c r="O670" s="3" t="s">
        <v>37</v>
      </c>
      <c r="P670" s="3" t="s">
        <v>38</v>
      </c>
      <c r="Q670" s="3" t="s">
        <v>39</v>
      </c>
      <c r="R670" s="3" t="s">
        <v>40</v>
      </c>
      <c r="S670" s="7">
        <v>900.4</v>
      </c>
      <c r="T670" s="7">
        <v>0</v>
      </c>
      <c r="U670" s="7">
        <v>0</v>
      </c>
      <c r="V670" s="7">
        <v>900.4</v>
      </c>
      <c r="W670" s="3">
        <v>0</v>
      </c>
    </row>
    <row r="671" spans="1:23" x14ac:dyDescent="0.35">
      <c r="A671" s="3" t="s">
        <v>483</v>
      </c>
      <c r="B671" s="3" t="s">
        <v>484</v>
      </c>
      <c r="C671" s="3" t="s">
        <v>288</v>
      </c>
      <c r="D671" s="3" t="s">
        <v>259</v>
      </c>
      <c r="E671" s="3" t="s">
        <v>187</v>
      </c>
      <c r="F671" s="3" t="s">
        <v>116</v>
      </c>
      <c r="G671" s="3" t="s">
        <v>260</v>
      </c>
      <c r="H671" s="3" t="s">
        <v>30</v>
      </c>
      <c r="I671" s="3" t="s">
        <v>31</v>
      </c>
      <c r="J671" s="3" t="s">
        <v>32</v>
      </c>
      <c r="K671" s="3" t="s">
        <v>33</v>
      </c>
      <c r="L671" s="3" t="s">
        <v>34</v>
      </c>
      <c r="M671" s="3" t="s">
        <v>286</v>
      </c>
      <c r="N671" s="3" t="s">
        <v>287</v>
      </c>
      <c r="O671" s="3" t="s">
        <v>42</v>
      </c>
      <c r="P671" s="3" t="s">
        <v>43</v>
      </c>
      <c r="Q671" s="3" t="s">
        <v>39</v>
      </c>
      <c r="R671" s="3" t="s">
        <v>40</v>
      </c>
      <c r="S671" s="7">
        <v>67.400000000000006</v>
      </c>
      <c r="T671" s="7">
        <v>0</v>
      </c>
      <c r="U671" s="7">
        <v>0</v>
      </c>
      <c r="V671" s="7">
        <v>67.400000000000006</v>
      </c>
      <c r="W671" s="3">
        <v>0</v>
      </c>
    </row>
    <row r="672" spans="1:23" hidden="1" x14ac:dyDescent="0.35">
      <c r="A672" t="s">
        <v>483</v>
      </c>
      <c r="B672" t="s">
        <v>484</v>
      </c>
      <c r="C672" t="s">
        <v>289</v>
      </c>
      <c r="D672" t="s">
        <v>290</v>
      </c>
      <c r="E672" t="s">
        <v>291</v>
      </c>
      <c r="F672" t="s">
        <v>146</v>
      </c>
      <c r="G672" t="s">
        <v>292</v>
      </c>
      <c r="H672" t="s">
        <v>293</v>
      </c>
      <c r="I672" t="s">
        <v>294</v>
      </c>
      <c r="J672" t="s">
        <v>295</v>
      </c>
      <c r="K672" t="s">
        <v>33</v>
      </c>
      <c r="L672" t="s">
        <v>51</v>
      </c>
      <c r="M672" t="s">
        <v>296</v>
      </c>
      <c r="N672" t="s">
        <v>297</v>
      </c>
      <c r="O672" t="s">
        <v>108</v>
      </c>
      <c r="P672" t="s">
        <v>109</v>
      </c>
      <c r="Q672" t="s">
        <v>39</v>
      </c>
      <c r="R672" t="s">
        <v>40</v>
      </c>
      <c r="S672" s="1">
        <v>263750</v>
      </c>
      <c r="T672" s="1">
        <v>125167.8894</v>
      </c>
      <c r="U672" s="1">
        <v>21346.609199999999</v>
      </c>
      <c r="V672" s="1">
        <v>138582.11060000001</v>
      </c>
      <c r="W672">
        <v>47</v>
      </c>
    </row>
    <row r="673" spans="1:23" hidden="1" x14ac:dyDescent="0.35">
      <c r="A673" t="s">
        <v>483</v>
      </c>
      <c r="B673" t="s">
        <v>484</v>
      </c>
      <c r="C673" t="s">
        <v>298</v>
      </c>
      <c r="D673" t="s">
        <v>290</v>
      </c>
      <c r="E673" t="s">
        <v>291</v>
      </c>
      <c r="F673" t="s">
        <v>146</v>
      </c>
      <c r="G673" t="s">
        <v>292</v>
      </c>
      <c r="H673" t="s">
        <v>293</v>
      </c>
      <c r="I673" t="s">
        <v>294</v>
      </c>
      <c r="J673" t="s">
        <v>295</v>
      </c>
      <c r="K673" t="s">
        <v>33</v>
      </c>
      <c r="L673" t="s">
        <v>51</v>
      </c>
      <c r="M673" t="s">
        <v>299</v>
      </c>
      <c r="N673" t="s">
        <v>300</v>
      </c>
      <c r="O673" t="s">
        <v>108</v>
      </c>
      <c r="P673" t="s">
        <v>109</v>
      </c>
      <c r="Q673" t="s">
        <v>39</v>
      </c>
      <c r="R673" t="s">
        <v>40</v>
      </c>
      <c r="S673" s="1">
        <v>93678.1</v>
      </c>
      <c r="T673" s="1">
        <v>47688.844700000001</v>
      </c>
      <c r="U673" s="1">
        <v>12938.636200000001</v>
      </c>
      <c r="V673" s="1">
        <v>45989.255299999997</v>
      </c>
      <c r="W673">
        <v>51</v>
      </c>
    </row>
    <row r="674" spans="1:23" hidden="1" x14ac:dyDescent="0.35">
      <c r="A674" t="s">
        <v>483</v>
      </c>
      <c r="B674" t="s">
        <v>484</v>
      </c>
      <c r="C674" t="s">
        <v>301</v>
      </c>
      <c r="D674" t="s">
        <v>290</v>
      </c>
      <c r="E674" t="s">
        <v>291</v>
      </c>
      <c r="F674" t="s">
        <v>146</v>
      </c>
      <c r="G674" t="s">
        <v>292</v>
      </c>
      <c r="H674" t="s">
        <v>293</v>
      </c>
      <c r="I674" t="s">
        <v>294</v>
      </c>
      <c r="J674" t="s">
        <v>295</v>
      </c>
      <c r="K674" t="s">
        <v>33</v>
      </c>
      <c r="L674" t="s">
        <v>51</v>
      </c>
      <c r="M674" t="s">
        <v>302</v>
      </c>
      <c r="N674" t="s">
        <v>303</v>
      </c>
      <c r="O674" t="s">
        <v>108</v>
      </c>
      <c r="P674" t="s">
        <v>109</v>
      </c>
      <c r="Q674" t="s">
        <v>39</v>
      </c>
      <c r="R674" t="s">
        <v>40</v>
      </c>
      <c r="S674" s="1">
        <v>207715.20000000001</v>
      </c>
      <c r="T674" s="1">
        <v>112478.1151</v>
      </c>
      <c r="U674" s="1">
        <v>22232.783100000001</v>
      </c>
      <c r="V674" s="1">
        <v>95237.084900000002</v>
      </c>
      <c r="W674">
        <v>54</v>
      </c>
    </row>
    <row r="675" spans="1:23" hidden="1" x14ac:dyDescent="0.35">
      <c r="A675" t="s">
        <v>483</v>
      </c>
      <c r="B675" t="s">
        <v>484</v>
      </c>
      <c r="C675" t="s">
        <v>304</v>
      </c>
      <c r="D675" t="s">
        <v>290</v>
      </c>
      <c r="E675" t="s">
        <v>291</v>
      </c>
      <c r="F675" t="s">
        <v>146</v>
      </c>
      <c r="G675" t="s">
        <v>292</v>
      </c>
      <c r="H675" t="s">
        <v>293</v>
      </c>
      <c r="I675" t="s">
        <v>294</v>
      </c>
      <c r="J675" t="s">
        <v>295</v>
      </c>
      <c r="K675" t="s">
        <v>33</v>
      </c>
      <c r="L675" t="s">
        <v>51</v>
      </c>
      <c r="M675" t="s">
        <v>305</v>
      </c>
      <c r="N675" t="s">
        <v>306</v>
      </c>
      <c r="O675" t="s">
        <v>108</v>
      </c>
      <c r="P675" t="s">
        <v>109</v>
      </c>
      <c r="Q675" t="s">
        <v>39</v>
      </c>
      <c r="R675" t="s">
        <v>40</v>
      </c>
      <c r="S675" s="1">
        <v>87050.7</v>
      </c>
      <c r="T675" s="1">
        <v>41531.937899999997</v>
      </c>
      <c r="U675" s="1">
        <v>9170.3320000000003</v>
      </c>
      <c r="V675" s="1">
        <v>45518.7621</v>
      </c>
      <c r="W675">
        <v>48</v>
      </c>
    </row>
    <row r="676" spans="1:23" hidden="1" x14ac:dyDescent="0.35">
      <c r="A676" t="s">
        <v>483</v>
      </c>
      <c r="B676" t="s">
        <v>484</v>
      </c>
      <c r="C676" t="s">
        <v>307</v>
      </c>
      <c r="D676" t="s">
        <v>290</v>
      </c>
      <c r="E676" t="s">
        <v>291</v>
      </c>
      <c r="F676" t="s">
        <v>146</v>
      </c>
      <c r="G676" t="s">
        <v>292</v>
      </c>
      <c r="H676" t="s">
        <v>293</v>
      </c>
      <c r="I676" t="s">
        <v>294</v>
      </c>
      <c r="J676" t="s">
        <v>295</v>
      </c>
      <c r="K676" t="s">
        <v>33</v>
      </c>
      <c r="L676" t="s">
        <v>51</v>
      </c>
      <c r="M676" t="s">
        <v>308</v>
      </c>
      <c r="N676" t="s">
        <v>309</v>
      </c>
      <c r="O676" t="s">
        <v>37</v>
      </c>
      <c r="P676" t="s">
        <v>38</v>
      </c>
      <c r="Q676" t="s">
        <v>39</v>
      </c>
      <c r="R676" t="s">
        <v>40</v>
      </c>
      <c r="S676" s="1">
        <v>9529.5</v>
      </c>
      <c r="T676" s="1">
        <v>4881.9305999999997</v>
      </c>
      <c r="U676" s="1">
        <v>900.94889999999998</v>
      </c>
      <c r="V676" s="1">
        <v>4647.5694000000003</v>
      </c>
      <c r="W676">
        <v>51</v>
      </c>
    </row>
    <row r="677" spans="1:23" hidden="1" x14ac:dyDescent="0.35">
      <c r="A677" t="s">
        <v>483</v>
      </c>
      <c r="B677" t="s">
        <v>484</v>
      </c>
      <c r="C677" t="s">
        <v>436</v>
      </c>
      <c r="D677" t="s">
        <v>290</v>
      </c>
      <c r="E677" t="s">
        <v>291</v>
      </c>
      <c r="F677" t="s">
        <v>146</v>
      </c>
      <c r="G677" t="s">
        <v>292</v>
      </c>
      <c r="H677" t="s">
        <v>293</v>
      </c>
      <c r="I677" t="s">
        <v>294</v>
      </c>
      <c r="J677" t="s">
        <v>295</v>
      </c>
      <c r="K677" t="s">
        <v>33</v>
      </c>
      <c r="L677" t="s">
        <v>51</v>
      </c>
      <c r="M677" t="s">
        <v>308</v>
      </c>
      <c r="N677" t="s">
        <v>309</v>
      </c>
      <c r="O677" t="s">
        <v>197</v>
      </c>
      <c r="P677" t="s">
        <v>198</v>
      </c>
      <c r="Q677" t="s">
        <v>39</v>
      </c>
      <c r="R677" t="s">
        <v>40</v>
      </c>
      <c r="S677" s="1">
        <v>2252</v>
      </c>
      <c r="T677" s="1">
        <v>396.52159999999998</v>
      </c>
      <c r="U677" s="1">
        <v>396.52159999999998</v>
      </c>
      <c r="V677" s="1">
        <v>1855.4784</v>
      </c>
      <c r="W677">
        <v>18</v>
      </c>
    </row>
    <row r="678" spans="1:23" hidden="1" x14ac:dyDescent="0.35">
      <c r="A678" t="s">
        <v>483</v>
      </c>
      <c r="B678" t="s">
        <v>484</v>
      </c>
      <c r="C678" t="s">
        <v>310</v>
      </c>
      <c r="D678" t="s">
        <v>290</v>
      </c>
      <c r="E678" t="s">
        <v>291</v>
      </c>
      <c r="F678" t="s">
        <v>146</v>
      </c>
      <c r="G678" t="s">
        <v>292</v>
      </c>
      <c r="H678" t="s">
        <v>293</v>
      </c>
      <c r="I678" t="s">
        <v>294</v>
      </c>
      <c r="J678" t="s">
        <v>295</v>
      </c>
      <c r="K678" t="s">
        <v>33</v>
      </c>
      <c r="L678" t="s">
        <v>51</v>
      </c>
      <c r="M678" t="s">
        <v>311</v>
      </c>
      <c r="N678" t="s">
        <v>312</v>
      </c>
      <c r="O678" t="s">
        <v>197</v>
      </c>
      <c r="P678" t="s">
        <v>198</v>
      </c>
      <c r="Q678" t="s">
        <v>39</v>
      </c>
      <c r="R678" t="s">
        <v>40</v>
      </c>
      <c r="S678" s="1">
        <v>10264.799999999999</v>
      </c>
      <c r="T678" s="1">
        <v>0</v>
      </c>
      <c r="U678" s="1">
        <v>0</v>
      </c>
      <c r="V678" s="1">
        <v>10264.799999999999</v>
      </c>
      <c r="W678">
        <v>0</v>
      </c>
    </row>
    <row r="679" spans="1:23" hidden="1" x14ac:dyDescent="0.35">
      <c r="A679" t="s">
        <v>483</v>
      </c>
      <c r="B679" t="s">
        <v>484</v>
      </c>
      <c r="C679" t="s">
        <v>313</v>
      </c>
      <c r="D679" t="s">
        <v>290</v>
      </c>
      <c r="E679" t="s">
        <v>291</v>
      </c>
      <c r="F679" t="s">
        <v>146</v>
      </c>
      <c r="G679" t="s">
        <v>292</v>
      </c>
      <c r="H679" t="s">
        <v>293</v>
      </c>
      <c r="I679" t="s">
        <v>294</v>
      </c>
      <c r="J679" t="s">
        <v>295</v>
      </c>
      <c r="K679" t="s">
        <v>33</v>
      </c>
      <c r="L679" t="s">
        <v>51</v>
      </c>
      <c r="M679" t="s">
        <v>314</v>
      </c>
      <c r="N679" t="s">
        <v>315</v>
      </c>
      <c r="O679" t="s">
        <v>197</v>
      </c>
      <c r="P679" t="s">
        <v>198</v>
      </c>
      <c r="Q679" t="s">
        <v>39</v>
      </c>
      <c r="R679" t="s">
        <v>40</v>
      </c>
      <c r="S679" s="1">
        <v>128.69999999999999</v>
      </c>
      <c r="T679" s="1">
        <v>128.69999999999999</v>
      </c>
      <c r="U679" s="1">
        <v>0</v>
      </c>
      <c r="V679" s="1">
        <v>0</v>
      </c>
      <c r="W679">
        <v>100</v>
      </c>
    </row>
    <row r="680" spans="1:23" hidden="1" x14ac:dyDescent="0.35">
      <c r="A680" t="s">
        <v>483</v>
      </c>
      <c r="B680" t="s">
        <v>484</v>
      </c>
      <c r="C680" t="s">
        <v>316</v>
      </c>
      <c r="D680" t="s">
        <v>317</v>
      </c>
      <c r="E680" t="s">
        <v>291</v>
      </c>
      <c r="F680" t="s">
        <v>318</v>
      </c>
      <c r="G680" t="s">
        <v>319</v>
      </c>
      <c r="H680" t="s">
        <v>293</v>
      </c>
      <c r="I680" t="s">
        <v>294</v>
      </c>
      <c r="J680" t="s">
        <v>295</v>
      </c>
      <c r="K680" t="s">
        <v>33</v>
      </c>
      <c r="L680" t="s">
        <v>51</v>
      </c>
      <c r="M680" t="s">
        <v>320</v>
      </c>
      <c r="N680" t="s">
        <v>321</v>
      </c>
      <c r="O680" t="s">
        <v>37</v>
      </c>
      <c r="P680" t="s">
        <v>38</v>
      </c>
      <c r="Q680" t="s">
        <v>39</v>
      </c>
      <c r="R680" t="s">
        <v>40</v>
      </c>
      <c r="S680" s="1">
        <v>16495.3</v>
      </c>
      <c r="T680" s="1">
        <v>0</v>
      </c>
      <c r="U680" s="1">
        <v>0</v>
      </c>
      <c r="V680" s="1">
        <v>16495.3</v>
      </c>
      <c r="W680">
        <v>0</v>
      </c>
    </row>
    <row r="681" spans="1:23" hidden="1" x14ac:dyDescent="0.35">
      <c r="A681" t="s">
        <v>483</v>
      </c>
      <c r="B681" t="s">
        <v>484</v>
      </c>
      <c r="C681" t="s">
        <v>322</v>
      </c>
      <c r="D681" t="s">
        <v>317</v>
      </c>
      <c r="E681" t="s">
        <v>291</v>
      </c>
      <c r="F681" t="s">
        <v>318</v>
      </c>
      <c r="G681" t="s">
        <v>319</v>
      </c>
      <c r="H681" t="s">
        <v>293</v>
      </c>
      <c r="I681" t="s">
        <v>294</v>
      </c>
      <c r="J681" t="s">
        <v>295</v>
      </c>
      <c r="K681" t="s">
        <v>33</v>
      </c>
      <c r="L681" t="s">
        <v>51</v>
      </c>
      <c r="M681" t="s">
        <v>323</v>
      </c>
      <c r="N681" t="s">
        <v>324</v>
      </c>
      <c r="O681" t="s">
        <v>197</v>
      </c>
      <c r="P681" t="s">
        <v>198</v>
      </c>
      <c r="Q681" t="s">
        <v>39</v>
      </c>
      <c r="R681" t="s">
        <v>40</v>
      </c>
      <c r="S681" s="1">
        <v>8766.7000000000007</v>
      </c>
      <c r="T681" s="1">
        <v>0</v>
      </c>
      <c r="U681" s="1">
        <v>0</v>
      </c>
      <c r="V681" s="1">
        <v>8766.7000000000007</v>
      </c>
      <c r="W681">
        <v>0</v>
      </c>
    </row>
    <row r="682" spans="1:23" hidden="1" x14ac:dyDescent="0.35">
      <c r="A682" t="s">
        <v>483</v>
      </c>
      <c r="B682" t="s">
        <v>484</v>
      </c>
      <c r="C682" t="s">
        <v>325</v>
      </c>
      <c r="D682" t="s">
        <v>326</v>
      </c>
      <c r="E682" t="s">
        <v>327</v>
      </c>
      <c r="F682" t="s">
        <v>189</v>
      </c>
      <c r="G682" t="s">
        <v>328</v>
      </c>
      <c r="H682" t="s">
        <v>146</v>
      </c>
      <c r="I682" t="s">
        <v>329</v>
      </c>
      <c r="J682" t="s">
        <v>330</v>
      </c>
      <c r="K682" t="s">
        <v>33</v>
      </c>
      <c r="L682" t="s">
        <v>34</v>
      </c>
      <c r="M682" t="s">
        <v>331</v>
      </c>
      <c r="N682" t="s">
        <v>332</v>
      </c>
      <c r="O682" t="s">
        <v>108</v>
      </c>
      <c r="P682" t="s">
        <v>109</v>
      </c>
      <c r="Q682" t="s">
        <v>39</v>
      </c>
      <c r="R682" t="s">
        <v>40</v>
      </c>
      <c r="S682" s="1">
        <v>662520.5</v>
      </c>
      <c r="T682" s="1">
        <v>313998.31280000001</v>
      </c>
      <c r="U682" s="1">
        <v>63826.475400000003</v>
      </c>
      <c r="V682" s="1">
        <v>348522.18719999999</v>
      </c>
      <c r="W682">
        <v>47</v>
      </c>
    </row>
    <row r="683" spans="1:23" hidden="1" x14ac:dyDescent="0.35">
      <c r="A683" t="s">
        <v>483</v>
      </c>
      <c r="B683" t="s">
        <v>484</v>
      </c>
      <c r="C683" t="s">
        <v>333</v>
      </c>
      <c r="D683" t="s">
        <v>326</v>
      </c>
      <c r="E683" t="s">
        <v>327</v>
      </c>
      <c r="F683" t="s">
        <v>189</v>
      </c>
      <c r="G683" t="s">
        <v>328</v>
      </c>
      <c r="H683" t="s">
        <v>146</v>
      </c>
      <c r="I683" t="s">
        <v>329</v>
      </c>
      <c r="J683" t="s">
        <v>330</v>
      </c>
      <c r="K683" t="s">
        <v>33</v>
      </c>
      <c r="L683" t="s">
        <v>34</v>
      </c>
      <c r="M683" t="s">
        <v>331</v>
      </c>
      <c r="N683" t="s">
        <v>332</v>
      </c>
      <c r="O683" t="s">
        <v>334</v>
      </c>
      <c r="P683" t="s">
        <v>335</v>
      </c>
      <c r="Q683" t="s">
        <v>39</v>
      </c>
      <c r="R683" t="s">
        <v>40</v>
      </c>
      <c r="S683" s="1">
        <v>5379.7</v>
      </c>
      <c r="T683" s="1">
        <v>1798.0969</v>
      </c>
      <c r="U683" s="1">
        <v>427.08960000000002</v>
      </c>
      <c r="V683" s="1">
        <v>3581.6030999999998</v>
      </c>
      <c r="W683">
        <v>33</v>
      </c>
    </row>
    <row r="684" spans="1:23" hidden="1" x14ac:dyDescent="0.35">
      <c r="A684" t="s">
        <v>483</v>
      </c>
      <c r="B684" t="s">
        <v>484</v>
      </c>
      <c r="C684" t="s">
        <v>336</v>
      </c>
      <c r="D684" t="s">
        <v>337</v>
      </c>
      <c r="E684" t="s">
        <v>327</v>
      </c>
      <c r="F684" t="s">
        <v>116</v>
      </c>
      <c r="G684" t="s">
        <v>338</v>
      </c>
      <c r="H684" t="s">
        <v>146</v>
      </c>
      <c r="I684" t="s">
        <v>329</v>
      </c>
      <c r="J684" t="s">
        <v>339</v>
      </c>
      <c r="K684" t="s">
        <v>23</v>
      </c>
      <c r="L684" t="s">
        <v>203</v>
      </c>
      <c r="M684" t="s">
        <v>340</v>
      </c>
      <c r="N684" t="s">
        <v>341</v>
      </c>
      <c r="O684" t="s">
        <v>197</v>
      </c>
      <c r="P684" t="s">
        <v>198</v>
      </c>
      <c r="Q684" t="s">
        <v>39</v>
      </c>
      <c r="R684" t="s">
        <v>40</v>
      </c>
      <c r="S684" s="1">
        <v>104471.3</v>
      </c>
      <c r="T684" s="1">
        <v>88428.677200000006</v>
      </c>
      <c r="U684" s="1">
        <v>0</v>
      </c>
      <c r="V684" s="1">
        <v>16042.622799999999</v>
      </c>
      <c r="W684">
        <v>85</v>
      </c>
    </row>
    <row r="685" spans="1:23" hidden="1" x14ac:dyDescent="0.35">
      <c r="A685" t="s">
        <v>483</v>
      </c>
      <c r="B685" t="s">
        <v>484</v>
      </c>
      <c r="C685" t="s">
        <v>452</v>
      </c>
      <c r="D685" t="s">
        <v>337</v>
      </c>
      <c r="E685" t="s">
        <v>327</v>
      </c>
      <c r="F685" t="s">
        <v>116</v>
      </c>
      <c r="G685" t="s">
        <v>338</v>
      </c>
      <c r="H685" t="s">
        <v>146</v>
      </c>
      <c r="I685" t="s">
        <v>329</v>
      </c>
      <c r="J685" t="s">
        <v>339</v>
      </c>
      <c r="K685" t="s">
        <v>23</v>
      </c>
      <c r="L685" t="s">
        <v>203</v>
      </c>
      <c r="M685" t="s">
        <v>453</v>
      </c>
      <c r="N685" t="s">
        <v>454</v>
      </c>
      <c r="O685" t="s">
        <v>197</v>
      </c>
      <c r="P685" t="s">
        <v>198</v>
      </c>
      <c r="Q685" t="s">
        <v>39</v>
      </c>
      <c r="R685" t="s">
        <v>40</v>
      </c>
      <c r="S685" s="1">
        <v>12819.6</v>
      </c>
      <c r="T685" s="1">
        <v>0</v>
      </c>
      <c r="U685" s="1">
        <v>0</v>
      </c>
      <c r="V685" s="1">
        <v>12819.6</v>
      </c>
      <c r="W685">
        <v>0</v>
      </c>
    </row>
    <row r="686" spans="1:23" hidden="1" x14ac:dyDescent="0.35">
      <c r="A686" t="s">
        <v>483</v>
      </c>
      <c r="B686" t="s">
        <v>484</v>
      </c>
      <c r="C686" t="s">
        <v>437</v>
      </c>
      <c r="D686" t="s">
        <v>337</v>
      </c>
      <c r="E686" t="s">
        <v>327</v>
      </c>
      <c r="F686" t="s">
        <v>116</v>
      </c>
      <c r="G686" t="s">
        <v>338</v>
      </c>
      <c r="H686" t="s">
        <v>146</v>
      </c>
      <c r="I686" t="s">
        <v>329</v>
      </c>
      <c r="J686" t="s">
        <v>330</v>
      </c>
      <c r="K686" t="s">
        <v>33</v>
      </c>
      <c r="L686" t="s">
        <v>34</v>
      </c>
      <c r="M686" t="s">
        <v>438</v>
      </c>
      <c r="N686" t="s">
        <v>439</v>
      </c>
      <c r="O686" t="s">
        <v>197</v>
      </c>
      <c r="P686" t="s">
        <v>198</v>
      </c>
      <c r="Q686" t="s">
        <v>39</v>
      </c>
      <c r="R686" t="s">
        <v>40</v>
      </c>
      <c r="S686" s="1">
        <v>34518.6</v>
      </c>
      <c r="T686" s="1">
        <v>11517.497300000001</v>
      </c>
      <c r="U686" s="1">
        <v>2912.4140000000002</v>
      </c>
      <c r="V686" s="1">
        <v>23001.102699999999</v>
      </c>
      <c r="W686">
        <v>33</v>
      </c>
    </row>
    <row r="687" spans="1:23" hidden="1" x14ac:dyDescent="0.35">
      <c r="A687" t="s">
        <v>483</v>
      </c>
      <c r="B687" t="s">
        <v>484</v>
      </c>
      <c r="C687" t="s">
        <v>342</v>
      </c>
      <c r="D687" t="s">
        <v>337</v>
      </c>
      <c r="E687" t="s">
        <v>327</v>
      </c>
      <c r="F687" t="s">
        <v>116</v>
      </c>
      <c r="G687" t="s">
        <v>338</v>
      </c>
      <c r="H687" t="s">
        <v>146</v>
      </c>
      <c r="I687" t="s">
        <v>329</v>
      </c>
      <c r="J687" t="s">
        <v>330</v>
      </c>
      <c r="K687" t="s">
        <v>33</v>
      </c>
      <c r="L687" t="s">
        <v>34</v>
      </c>
      <c r="M687" t="s">
        <v>343</v>
      </c>
      <c r="N687" t="s">
        <v>344</v>
      </c>
      <c r="O687" t="s">
        <v>37</v>
      </c>
      <c r="P687" t="s">
        <v>38</v>
      </c>
      <c r="Q687" t="s">
        <v>39</v>
      </c>
      <c r="R687" t="s">
        <v>40</v>
      </c>
      <c r="S687" s="1">
        <v>48.2</v>
      </c>
      <c r="T687" s="1">
        <v>0</v>
      </c>
      <c r="U687" s="1">
        <v>0</v>
      </c>
      <c r="V687" s="1">
        <v>48.2</v>
      </c>
      <c r="W687">
        <v>0</v>
      </c>
    </row>
    <row r="688" spans="1:23" hidden="1" x14ac:dyDescent="0.35">
      <c r="A688" t="s">
        <v>483</v>
      </c>
      <c r="B688" t="s">
        <v>484</v>
      </c>
      <c r="C688" t="s">
        <v>345</v>
      </c>
      <c r="D688" t="s">
        <v>337</v>
      </c>
      <c r="E688" t="s">
        <v>327</v>
      </c>
      <c r="F688" t="s">
        <v>116</v>
      </c>
      <c r="G688" t="s">
        <v>338</v>
      </c>
      <c r="H688" t="s">
        <v>146</v>
      </c>
      <c r="I688" t="s">
        <v>329</v>
      </c>
      <c r="J688" t="s">
        <v>330</v>
      </c>
      <c r="K688" t="s">
        <v>33</v>
      </c>
      <c r="L688" t="s">
        <v>34</v>
      </c>
      <c r="M688" t="s">
        <v>346</v>
      </c>
      <c r="N688" t="s">
        <v>347</v>
      </c>
      <c r="O688" t="s">
        <v>197</v>
      </c>
      <c r="P688" t="s">
        <v>198</v>
      </c>
      <c r="Q688" t="s">
        <v>39</v>
      </c>
      <c r="R688" t="s">
        <v>40</v>
      </c>
      <c r="S688" s="1">
        <v>223871.4</v>
      </c>
      <c r="T688" s="1">
        <v>60387.983899999999</v>
      </c>
      <c r="U688" s="1">
        <v>18161.5458</v>
      </c>
      <c r="V688" s="1">
        <v>163483.4161</v>
      </c>
      <c r="W688">
        <v>27</v>
      </c>
    </row>
    <row r="689" spans="1:23" hidden="1" x14ac:dyDescent="0.35">
      <c r="A689" t="s">
        <v>483</v>
      </c>
      <c r="B689" t="s">
        <v>484</v>
      </c>
      <c r="C689" t="s">
        <v>348</v>
      </c>
      <c r="D689" t="s">
        <v>337</v>
      </c>
      <c r="E689" t="s">
        <v>327</v>
      </c>
      <c r="F689" t="s">
        <v>116</v>
      </c>
      <c r="G689" t="s">
        <v>338</v>
      </c>
      <c r="H689" t="s">
        <v>146</v>
      </c>
      <c r="I689" t="s">
        <v>329</v>
      </c>
      <c r="J689" t="s">
        <v>330</v>
      </c>
      <c r="K689" t="s">
        <v>33</v>
      </c>
      <c r="L689" t="s">
        <v>34</v>
      </c>
      <c r="M689" t="s">
        <v>349</v>
      </c>
      <c r="N689" t="s">
        <v>350</v>
      </c>
      <c r="O689" t="s">
        <v>197</v>
      </c>
      <c r="P689" t="s">
        <v>198</v>
      </c>
      <c r="Q689" t="s">
        <v>39</v>
      </c>
      <c r="R689" t="s">
        <v>40</v>
      </c>
      <c r="S689" s="1">
        <v>29779.9</v>
      </c>
      <c r="T689" s="1">
        <v>0</v>
      </c>
      <c r="U689" s="1">
        <v>0</v>
      </c>
      <c r="V689" s="1">
        <v>29779.9</v>
      </c>
      <c r="W689">
        <v>0</v>
      </c>
    </row>
    <row r="690" spans="1:23" hidden="1" x14ac:dyDescent="0.35">
      <c r="A690" t="s">
        <v>483</v>
      </c>
      <c r="B690" t="s">
        <v>484</v>
      </c>
      <c r="C690" t="s">
        <v>351</v>
      </c>
      <c r="D690" t="s">
        <v>337</v>
      </c>
      <c r="E690" t="s">
        <v>327</v>
      </c>
      <c r="F690" t="s">
        <v>116</v>
      </c>
      <c r="G690" t="s">
        <v>338</v>
      </c>
      <c r="H690" t="s">
        <v>146</v>
      </c>
      <c r="I690" t="s">
        <v>329</v>
      </c>
      <c r="J690" t="s">
        <v>330</v>
      </c>
      <c r="K690" t="s">
        <v>33</v>
      </c>
      <c r="L690" t="s">
        <v>34</v>
      </c>
      <c r="M690" t="s">
        <v>352</v>
      </c>
      <c r="N690" t="s">
        <v>353</v>
      </c>
      <c r="O690" t="s">
        <v>197</v>
      </c>
      <c r="P690" t="s">
        <v>198</v>
      </c>
      <c r="Q690" t="s">
        <v>39</v>
      </c>
      <c r="R690" t="s">
        <v>40</v>
      </c>
      <c r="S690" s="1">
        <v>7460.5</v>
      </c>
      <c r="T690" s="1">
        <v>1424.1917000000001</v>
      </c>
      <c r="U690" s="1">
        <v>1424.1917000000001</v>
      </c>
      <c r="V690" s="1">
        <v>6036.3082999999997</v>
      </c>
      <c r="W690">
        <v>19</v>
      </c>
    </row>
    <row r="691" spans="1:23" hidden="1" x14ac:dyDescent="0.35">
      <c r="A691" t="s">
        <v>483</v>
      </c>
      <c r="B691" t="s">
        <v>484</v>
      </c>
      <c r="C691" t="s">
        <v>455</v>
      </c>
      <c r="D691" t="s">
        <v>337</v>
      </c>
      <c r="E691" t="s">
        <v>327</v>
      </c>
      <c r="F691" t="s">
        <v>116</v>
      </c>
      <c r="G691" t="s">
        <v>338</v>
      </c>
      <c r="H691" t="s">
        <v>146</v>
      </c>
      <c r="I691" t="s">
        <v>329</v>
      </c>
      <c r="J691" t="s">
        <v>330</v>
      </c>
      <c r="K691" t="s">
        <v>33</v>
      </c>
      <c r="L691" t="s">
        <v>34</v>
      </c>
      <c r="M691" t="s">
        <v>456</v>
      </c>
      <c r="N691" t="s">
        <v>457</v>
      </c>
      <c r="O691" t="s">
        <v>197</v>
      </c>
      <c r="P691" t="s">
        <v>198</v>
      </c>
      <c r="Q691" t="s">
        <v>39</v>
      </c>
      <c r="R691" t="s">
        <v>40</v>
      </c>
      <c r="S691" s="1">
        <v>1889.2</v>
      </c>
      <c r="T691" s="1">
        <v>806.99900000000002</v>
      </c>
      <c r="U691" s="1">
        <v>806.99900000000002</v>
      </c>
      <c r="V691" s="1">
        <v>1082.201</v>
      </c>
      <c r="W691">
        <v>43</v>
      </c>
    </row>
    <row r="692" spans="1:23" hidden="1" x14ac:dyDescent="0.35">
      <c r="A692" t="s">
        <v>483</v>
      </c>
      <c r="B692" t="s">
        <v>484</v>
      </c>
      <c r="C692" t="s">
        <v>354</v>
      </c>
      <c r="D692" t="s">
        <v>337</v>
      </c>
      <c r="E692" t="s">
        <v>327</v>
      </c>
      <c r="F692" t="s">
        <v>116</v>
      </c>
      <c r="G692" t="s">
        <v>338</v>
      </c>
      <c r="H692" t="s">
        <v>146</v>
      </c>
      <c r="I692" t="s">
        <v>329</v>
      </c>
      <c r="J692" t="s">
        <v>330</v>
      </c>
      <c r="K692" t="s">
        <v>33</v>
      </c>
      <c r="L692" t="s">
        <v>34</v>
      </c>
      <c r="M692" t="s">
        <v>355</v>
      </c>
      <c r="N692" t="s">
        <v>356</v>
      </c>
      <c r="O692" t="s">
        <v>197</v>
      </c>
      <c r="P692" t="s">
        <v>198</v>
      </c>
      <c r="Q692" t="s">
        <v>39</v>
      </c>
      <c r="R692" t="s">
        <v>40</v>
      </c>
      <c r="S692" s="1">
        <v>45132.3</v>
      </c>
      <c r="T692" s="1">
        <v>15023.2114</v>
      </c>
      <c r="U692" s="1">
        <v>3460.8175000000001</v>
      </c>
      <c r="V692" s="1">
        <v>30109.088599999999</v>
      </c>
      <c r="W692">
        <v>33</v>
      </c>
    </row>
    <row r="693" spans="1:23" hidden="1" x14ac:dyDescent="0.35">
      <c r="A693" t="s">
        <v>483</v>
      </c>
      <c r="B693" t="s">
        <v>484</v>
      </c>
      <c r="C693" t="s">
        <v>463</v>
      </c>
      <c r="D693" t="s">
        <v>337</v>
      </c>
      <c r="E693" t="s">
        <v>327</v>
      </c>
      <c r="F693" t="s">
        <v>116</v>
      </c>
      <c r="G693" t="s">
        <v>338</v>
      </c>
      <c r="H693" t="s">
        <v>146</v>
      </c>
      <c r="I693" t="s">
        <v>329</v>
      </c>
      <c r="J693" t="s">
        <v>330</v>
      </c>
      <c r="K693" t="s">
        <v>33</v>
      </c>
      <c r="L693" t="s">
        <v>34</v>
      </c>
      <c r="M693" t="s">
        <v>464</v>
      </c>
      <c r="N693" t="s">
        <v>465</v>
      </c>
      <c r="O693" t="s">
        <v>197</v>
      </c>
      <c r="P693" t="s">
        <v>198</v>
      </c>
      <c r="Q693" t="s">
        <v>39</v>
      </c>
      <c r="R693" t="s">
        <v>40</v>
      </c>
      <c r="S693" s="1">
        <v>5997.5</v>
      </c>
      <c r="T693" s="1">
        <v>0</v>
      </c>
      <c r="U693" s="1">
        <v>0</v>
      </c>
      <c r="V693" s="1">
        <v>5997.5</v>
      </c>
      <c r="W693">
        <v>0</v>
      </c>
    </row>
    <row r="694" spans="1:23" hidden="1" x14ac:dyDescent="0.35">
      <c r="A694" t="s">
        <v>483</v>
      </c>
      <c r="B694" t="s">
        <v>484</v>
      </c>
      <c r="C694" t="s">
        <v>357</v>
      </c>
      <c r="D694" t="s">
        <v>337</v>
      </c>
      <c r="E694" t="s">
        <v>327</v>
      </c>
      <c r="F694" t="s">
        <v>116</v>
      </c>
      <c r="G694" t="s">
        <v>338</v>
      </c>
      <c r="H694" t="s">
        <v>146</v>
      </c>
      <c r="I694" t="s">
        <v>329</v>
      </c>
      <c r="J694" t="s">
        <v>330</v>
      </c>
      <c r="K694" t="s">
        <v>33</v>
      </c>
      <c r="L694" t="s">
        <v>34</v>
      </c>
      <c r="M694" t="s">
        <v>358</v>
      </c>
      <c r="N694" t="s">
        <v>359</v>
      </c>
      <c r="O694" t="s">
        <v>197</v>
      </c>
      <c r="P694" t="s">
        <v>198</v>
      </c>
      <c r="Q694" t="s">
        <v>39</v>
      </c>
      <c r="R694" t="s">
        <v>40</v>
      </c>
      <c r="S694" s="1">
        <v>100.2</v>
      </c>
      <c r="T694" s="1">
        <v>100.11799999999999</v>
      </c>
      <c r="U694" s="1">
        <v>0</v>
      </c>
      <c r="V694" s="1">
        <v>8.2000000000000003E-2</v>
      </c>
      <c r="W694">
        <v>100</v>
      </c>
    </row>
    <row r="695" spans="1:23" hidden="1" x14ac:dyDescent="0.35">
      <c r="A695" t="s">
        <v>483</v>
      </c>
      <c r="B695" t="s">
        <v>484</v>
      </c>
      <c r="C695" t="s">
        <v>360</v>
      </c>
      <c r="D695" t="s">
        <v>337</v>
      </c>
      <c r="E695" t="s">
        <v>327</v>
      </c>
      <c r="F695" t="s">
        <v>116</v>
      </c>
      <c r="G695" t="s">
        <v>338</v>
      </c>
      <c r="H695" t="s">
        <v>48</v>
      </c>
      <c r="I695" t="s">
        <v>49</v>
      </c>
      <c r="J695" t="s">
        <v>50</v>
      </c>
      <c r="K695" t="s">
        <v>33</v>
      </c>
      <c r="L695" t="s">
        <v>51</v>
      </c>
      <c r="M695" t="s">
        <v>361</v>
      </c>
      <c r="N695" t="s">
        <v>362</v>
      </c>
      <c r="O695" t="s">
        <v>197</v>
      </c>
      <c r="P695" t="s">
        <v>198</v>
      </c>
      <c r="Q695" t="s">
        <v>39</v>
      </c>
      <c r="R695" t="s">
        <v>40</v>
      </c>
      <c r="S695" s="1">
        <v>3155.1</v>
      </c>
      <c r="T695" s="1">
        <v>383.0471</v>
      </c>
      <c r="U695" s="1">
        <v>203.25</v>
      </c>
      <c r="V695" s="1">
        <v>2772.0529000000001</v>
      </c>
      <c r="W695">
        <v>12</v>
      </c>
    </row>
    <row r="696" spans="1:23" hidden="1" x14ac:dyDescent="0.35">
      <c r="A696" t="s">
        <v>483</v>
      </c>
      <c r="B696" t="s">
        <v>484</v>
      </c>
      <c r="C696" t="s">
        <v>363</v>
      </c>
      <c r="D696" t="s">
        <v>364</v>
      </c>
      <c r="E696" t="s">
        <v>365</v>
      </c>
      <c r="F696" t="s">
        <v>189</v>
      </c>
      <c r="G696" t="s">
        <v>366</v>
      </c>
      <c r="H696" t="s">
        <v>28</v>
      </c>
      <c r="I696" t="s">
        <v>231</v>
      </c>
      <c r="J696" t="s">
        <v>232</v>
      </c>
      <c r="K696" t="s">
        <v>33</v>
      </c>
      <c r="L696" t="s">
        <v>51</v>
      </c>
      <c r="M696" t="s">
        <v>367</v>
      </c>
      <c r="N696" t="s">
        <v>368</v>
      </c>
      <c r="O696" t="s">
        <v>108</v>
      </c>
      <c r="P696" t="s">
        <v>109</v>
      </c>
      <c r="Q696" t="s">
        <v>39</v>
      </c>
      <c r="R696" t="s">
        <v>40</v>
      </c>
      <c r="S696" s="1">
        <v>211289.8</v>
      </c>
      <c r="T696" s="1">
        <v>106741.9412</v>
      </c>
      <c r="U696" s="1">
        <v>22087.227599999998</v>
      </c>
      <c r="V696" s="1">
        <v>104547.8588</v>
      </c>
      <c r="W696">
        <v>51</v>
      </c>
    </row>
    <row r="697" spans="1:23" hidden="1" x14ac:dyDescent="0.35">
      <c r="A697" t="s">
        <v>483</v>
      </c>
      <c r="B697" t="s">
        <v>484</v>
      </c>
      <c r="C697" t="s">
        <v>369</v>
      </c>
      <c r="D697" t="s">
        <v>364</v>
      </c>
      <c r="E697" t="s">
        <v>365</v>
      </c>
      <c r="F697" t="s">
        <v>189</v>
      </c>
      <c r="G697" t="s">
        <v>366</v>
      </c>
      <c r="H697" t="s">
        <v>28</v>
      </c>
      <c r="I697" t="s">
        <v>231</v>
      </c>
      <c r="J697" t="s">
        <v>232</v>
      </c>
      <c r="K697" t="s">
        <v>33</v>
      </c>
      <c r="L697" t="s">
        <v>51</v>
      </c>
      <c r="M697" t="s">
        <v>367</v>
      </c>
      <c r="N697" t="s">
        <v>368</v>
      </c>
      <c r="O697" t="s">
        <v>334</v>
      </c>
      <c r="P697" t="s">
        <v>335</v>
      </c>
      <c r="Q697" t="s">
        <v>39</v>
      </c>
      <c r="R697" t="s">
        <v>40</v>
      </c>
      <c r="S697" s="1">
        <v>21225</v>
      </c>
      <c r="T697" s="1">
        <v>9547.6515999999992</v>
      </c>
      <c r="U697" s="1">
        <v>1853.9541999999999</v>
      </c>
      <c r="V697" s="1">
        <v>11677.348400000001</v>
      </c>
      <c r="W697">
        <v>45</v>
      </c>
    </row>
    <row r="698" spans="1:23" hidden="1" x14ac:dyDescent="0.35">
      <c r="A698" t="s">
        <v>483</v>
      </c>
      <c r="B698" t="s">
        <v>484</v>
      </c>
      <c r="C698" t="s">
        <v>370</v>
      </c>
      <c r="D698" t="s">
        <v>364</v>
      </c>
      <c r="E698" t="s">
        <v>365</v>
      </c>
      <c r="F698" t="s">
        <v>189</v>
      </c>
      <c r="G698" t="s">
        <v>366</v>
      </c>
      <c r="H698" t="s">
        <v>28</v>
      </c>
      <c r="I698" t="s">
        <v>231</v>
      </c>
      <c r="J698" t="s">
        <v>232</v>
      </c>
      <c r="K698" t="s">
        <v>33</v>
      </c>
      <c r="L698" t="s">
        <v>51</v>
      </c>
      <c r="M698" t="s">
        <v>371</v>
      </c>
      <c r="N698" t="s">
        <v>372</v>
      </c>
      <c r="O698" t="s">
        <v>108</v>
      </c>
      <c r="P698" t="s">
        <v>109</v>
      </c>
      <c r="Q698" t="s">
        <v>39</v>
      </c>
      <c r="R698" t="s">
        <v>40</v>
      </c>
      <c r="S698" s="1">
        <v>3994.2</v>
      </c>
      <c r="T698" s="1">
        <v>1956.3933999999999</v>
      </c>
      <c r="U698" s="1">
        <v>380.16879999999998</v>
      </c>
      <c r="V698" s="1">
        <v>2037.8065999999999</v>
      </c>
      <c r="W698">
        <v>49</v>
      </c>
    </row>
    <row r="699" spans="1:23" hidden="1" x14ac:dyDescent="0.35">
      <c r="A699" t="s">
        <v>483</v>
      </c>
      <c r="B699" t="s">
        <v>484</v>
      </c>
      <c r="C699" t="s">
        <v>373</v>
      </c>
      <c r="D699" t="s">
        <v>364</v>
      </c>
      <c r="E699" t="s">
        <v>365</v>
      </c>
      <c r="F699" t="s">
        <v>189</v>
      </c>
      <c r="G699" t="s">
        <v>366</v>
      </c>
      <c r="H699" t="s">
        <v>28</v>
      </c>
      <c r="I699" t="s">
        <v>231</v>
      </c>
      <c r="J699" t="s">
        <v>232</v>
      </c>
      <c r="K699" t="s">
        <v>33</v>
      </c>
      <c r="L699" t="s">
        <v>51</v>
      </c>
      <c r="M699" t="s">
        <v>371</v>
      </c>
      <c r="N699" t="s">
        <v>372</v>
      </c>
      <c r="O699" t="s">
        <v>334</v>
      </c>
      <c r="P699" t="s">
        <v>335</v>
      </c>
      <c r="Q699" t="s">
        <v>39</v>
      </c>
      <c r="R699" t="s">
        <v>40</v>
      </c>
      <c r="S699" s="1">
        <v>128356.9</v>
      </c>
      <c r="T699" s="1">
        <v>65909.043999999994</v>
      </c>
      <c r="U699" s="1">
        <v>10745.9689</v>
      </c>
      <c r="V699" s="1">
        <v>62447.856</v>
      </c>
      <c r="W699">
        <v>51</v>
      </c>
    </row>
    <row r="700" spans="1:23" hidden="1" x14ac:dyDescent="0.35">
      <c r="A700" t="s">
        <v>483</v>
      </c>
      <c r="B700" t="s">
        <v>484</v>
      </c>
      <c r="C700" t="s">
        <v>374</v>
      </c>
      <c r="D700" t="s">
        <v>364</v>
      </c>
      <c r="E700" t="s">
        <v>365</v>
      </c>
      <c r="F700" t="s">
        <v>189</v>
      </c>
      <c r="G700" t="s">
        <v>366</v>
      </c>
      <c r="H700" t="s">
        <v>28</v>
      </c>
      <c r="I700" t="s">
        <v>231</v>
      </c>
      <c r="J700" t="s">
        <v>232</v>
      </c>
      <c r="K700" t="s">
        <v>33</v>
      </c>
      <c r="L700" t="s">
        <v>51</v>
      </c>
      <c r="M700" t="s">
        <v>375</v>
      </c>
      <c r="N700" t="s">
        <v>376</v>
      </c>
      <c r="O700" t="s">
        <v>197</v>
      </c>
      <c r="P700" t="s">
        <v>198</v>
      </c>
      <c r="Q700" t="s">
        <v>39</v>
      </c>
      <c r="R700" t="s">
        <v>40</v>
      </c>
      <c r="S700" s="1">
        <v>21376.1</v>
      </c>
      <c r="T700" s="1">
        <v>18259.561099999999</v>
      </c>
      <c r="U700" s="1">
        <v>0</v>
      </c>
      <c r="V700" s="1">
        <v>3116.5389</v>
      </c>
      <c r="W700">
        <v>85</v>
      </c>
    </row>
    <row r="701" spans="1:23" hidden="1" x14ac:dyDescent="0.35">
      <c r="A701" t="s">
        <v>483</v>
      </c>
      <c r="B701" t="s">
        <v>484</v>
      </c>
      <c r="C701" t="s">
        <v>377</v>
      </c>
      <c r="D701" t="s">
        <v>364</v>
      </c>
      <c r="E701" t="s">
        <v>365</v>
      </c>
      <c r="F701" t="s">
        <v>189</v>
      </c>
      <c r="G701" t="s">
        <v>366</v>
      </c>
      <c r="H701" t="s">
        <v>28</v>
      </c>
      <c r="I701" t="s">
        <v>231</v>
      </c>
      <c r="J701" t="s">
        <v>232</v>
      </c>
      <c r="K701" t="s">
        <v>33</v>
      </c>
      <c r="L701" t="s">
        <v>51</v>
      </c>
      <c r="M701" t="s">
        <v>378</v>
      </c>
      <c r="N701" t="s">
        <v>379</v>
      </c>
      <c r="O701" t="s">
        <v>108</v>
      </c>
      <c r="P701" t="s">
        <v>109</v>
      </c>
      <c r="Q701" t="s">
        <v>39</v>
      </c>
      <c r="R701" t="s">
        <v>40</v>
      </c>
      <c r="S701" s="1">
        <v>15133.5</v>
      </c>
      <c r="T701" s="1">
        <v>6930.8657999999996</v>
      </c>
      <c r="U701" s="1">
        <v>1714.2447</v>
      </c>
      <c r="V701" s="1">
        <v>8202.6342000000004</v>
      </c>
      <c r="W701">
        <v>46</v>
      </c>
    </row>
    <row r="702" spans="1:23" hidden="1" x14ac:dyDescent="0.35">
      <c r="A702" t="s">
        <v>483</v>
      </c>
      <c r="B702" t="s">
        <v>484</v>
      </c>
      <c r="C702" t="s">
        <v>380</v>
      </c>
      <c r="D702" t="s">
        <v>364</v>
      </c>
      <c r="E702" t="s">
        <v>365</v>
      </c>
      <c r="F702" t="s">
        <v>189</v>
      </c>
      <c r="G702" t="s">
        <v>366</v>
      </c>
      <c r="H702" t="s">
        <v>28</v>
      </c>
      <c r="I702" t="s">
        <v>231</v>
      </c>
      <c r="J702" t="s">
        <v>232</v>
      </c>
      <c r="K702" t="s">
        <v>33</v>
      </c>
      <c r="L702" t="s">
        <v>51</v>
      </c>
      <c r="M702" t="s">
        <v>378</v>
      </c>
      <c r="N702" t="s">
        <v>379</v>
      </c>
      <c r="O702" t="s">
        <v>334</v>
      </c>
      <c r="P702" t="s">
        <v>335</v>
      </c>
      <c r="Q702" t="s">
        <v>39</v>
      </c>
      <c r="R702" t="s">
        <v>40</v>
      </c>
      <c r="S702" s="1">
        <v>509027.5</v>
      </c>
      <c r="T702" s="1">
        <v>259742.05729999999</v>
      </c>
      <c r="U702" s="1">
        <v>43241.868999999999</v>
      </c>
      <c r="V702" s="1">
        <v>249285.44270000001</v>
      </c>
      <c r="W702">
        <v>51</v>
      </c>
    </row>
    <row r="703" spans="1:23" hidden="1" x14ac:dyDescent="0.35">
      <c r="A703" t="s">
        <v>483</v>
      </c>
      <c r="B703" t="s">
        <v>484</v>
      </c>
      <c r="C703" t="s">
        <v>381</v>
      </c>
      <c r="D703" t="s">
        <v>364</v>
      </c>
      <c r="E703" t="s">
        <v>365</v>
      </c>
      <c r="F703" t="s">
        <v>189</v>
      </c>
      <c r="G703" t="s">
        <v>366</v>
      </c>
      <c r="H703" t="s">
        <v>28</v>
      </c>
      <c r="I703" t="s">
        <v>231</v>
      </c>
      <c r="J703" t="s">
        <v>232</v>
      </c>
      <c r="K703" t="s">
        <v>33</v>
      </c>
      <c r="L703" t="s">
        <v>51</v>
      </c>
      <c r="M703" t="s">
        <v>382</v>
      </c>
      <c r="N703" t="s">
        <v>383</v>
      </c>
      <c r="O703" t="s">
        <v>108</v>
      </c>
      <c r="P703" t="s">
        <v>109</v>
      </c>
      <c r="Q703" t="s">
        <v>39</v>
      </c>
      <c r="R703" t="s">
        <v>40</v>
      </c>
      <c r="S703" s="1">
        <v>4541.7</v>
      </c>
      <c r="T703" s="1">
        <v>1808.126</v>
      </c>
      <c r="U703" s="1">
        <v>297.58359999999999</v>
      </c>
      <c r="V703" s="1">
        <v>2733.5740000000001</v>
      </c>
      <c r="W703">
        <v>40</v>
      </c>
    </row>
    <row r="704" spans="1:23" hidden="1" x14ac:dyDescent="0.35">
      <c r="A704" t="s">
        <v>483</v>
      </c>
      <c r="B704" t="s">
        <v>484</v>
      </c>
      <c r="C704" t="s">
        <v>384</v>
      </c>
      <c r="D704" t="s">
        <v>364</v>
      </c>
      <c r="E704" t="s">
        <v>365</v>
      </c>
      <c r="F704" t="s">
        <v>189</v>
      </c>
      <c r="G704" t="s">
        <v>366</v>
      </c>
      <c r="H704" t="s">
        <v>28</v>
      </c>
      <c r="I704" t="s">
        <v>231</v>
      </c>
      <c r="J704" t="s">
        <v>232</v>
      </c>
      <c r="K704" t="s">
        <v>33</v>
      </c>
      <c r="L704" t="s">
        <v>51</v>
      </c>
      <c r="M704" t="s">
        <v>382</v>
      </c>
      <c r="N704" t="s">
        <v>383</v>
      </c>
      <c r="O704" t="s">
        <v>334</v>
      </c>
      <c r="P704" t="s">
        <v>335</v>
      </c>
      <c r="Q704" t="s">
        <v>39</v>
      </c>
      <c r="R704" t="s">
        <v>40</v>
      </c>
      <c r="S704" s="1">
        <v>59802</v>
      </c>
      <c r="T704" s="1">
        <v>27674.561399999999</v>
      </c>
      <c r="U704" s="1">
        <v>4892.0756000000001</v>
      </c>
      <c r="V704" s="1">
        <v>32127.438600000001</v>
      </c>
      <c r="W704">
        <v>46</v>
      </c>
    </row>
    <row r="705" spans="1:23" hidden="1" x14ac:dyDescent="0.35">
      <c r="A705" t="s">
        <v>483</v>
      </c>
      <c r="B705" t="s">
        <v>484</v>
      </c>
      <c r="C705" t="s">
        <v>385</v>
      </c>
      <c r="D705" t="s">
        <v>364</v>
      </c>
      <c r="E705" t="s">
        <v>365</v>
      </c>
      <c r="F705" t="s">
        <v>189</v>
      </c>
      <c r="G705" t="s">
        <v>366</v>
      </c>
      <c r="H705" t="s">
        <v>28</v>
      </c>
      <c r="I705" t="s">
        <v>231</v>
      </c>
      <c r="J705" t="s">
        <v>232</v>
      </c>
      <c r="K705" t="s">
        <v>33</v>
      </c>
      <c r="L705" t="s">
        <v>51</v>
      </c>
      <c r="M705" t="s">
        <v>386</v>
      </c>
      <c r="N705" t="s">
        <v>387</v>
      </c>
      <c r="O705" t="s">
        <v>197</v>
      </c>
      <c r="P705" t="s">
        <v>198</v>
      </c>
      <c r="Q705" t="s">
        <v>39</v>
      </c>
      <c r="R705" t="s">
        <v>40</v>
      </c>
      <c r="S705" s="1">
        <v>3856.7</v>
      </c>
      <c r="T705" s="1">
        <v>2083.7556</v>
      </c>
      <c r="U705" s="1">
        <v>1236.1181999999999</v>
      </c>
      <c r="V705" s="1">
        <v>1772.9444000000001</v>
      </c>
      <c r="W705">
        <v>54</v>
      </c>
    </row>
    <row r="706" spans="1:23" hidden="1" x14ac:dyDescent="0.35">
      <c r="A706" t="s">
        <v>483</v>
      </c>
      <c r="B706" t="s">
        <v>484</v>
      </c>
      <c r="C706" t="s">
        <v>388</v>
      </c>
      <c r="D706" t="s">
        <v>364</v>
      </c>
      <c r="E706" t="s">
        <v>365</v>
      </c>
      <c r="F706" t="s">
        <v>189</v>
      </c>
      <c r="G706" t="s">
        <v>366</v>
      </c>
      <c r="H706" t="s">
        <v>28</v>
      </c>
      <c r="I706" t="s">
        <v>231</v>
      </c>
      <c r="J706" t="s">
        <v>232</v>
      </c>
      <c r="K706" t="s">
        <v>33</v>
      </c>
      <c r="L706" t="s">
        <v>51</v>
      </c>
      <c r="M706" t="s">
        <v>389</v>
      </c>
      <c r="N706" t="s">
        <v>390</v>
      </c>
      <c r="O706" t="s">
        <v>197</v>
      </c>
      <c r="P706" t="s">
        <v>198</v>
      </c>
      <c r="Q706" t="s">
        <v>39</v>
      </c>
      <c r="R706" t="s">
        <v>40</v>
      </c>
      <c r="S706" s="1">
        <v>2500</v>
      </c>
      <c r="T706" s="1">
        <v>0</v>
      </c>
      <c r="U706" s="1">
        <v>0</v>
      </c>
      <c r="V706" s="1">
        <v>2500</v>
      </c>
      <c r="W706">
        <v>0</v>
      </c>
    </row>
    <row r="707" spans="1:23" hidden="1" x14ac:dyDescent="0.35">
      <c r="A707" t="s">
        <v>483</v>
      </c>
      <c r="B707" t="s">
        <v>484</v>
      </c>
      <c r="C707" t="s">
        <v>391</v>
      </c>
      <c r="D707" t="s">
        <v>392</v>
      </c>
      <c r="E707" t="s">
        <v>365</v>
      </c>
      <c r="F707" t="s">
        <v>28</v>
      </c>
      <c r="G707" t="s">
        <v>393</v>
      </c>
      <c r="H707" t="s">
        <v>28</v>
      </c>
      <c r="I707" t="s">
        <v>231</v>
      </c>
      <c r="J707" t="s">
        <v>232</v>
      </c>
      <c r="K707" t="s">
        <v>33</v>
      </c>
      <c r="L707" t="s">
        <v>51</v>
      </c>
      <c r="M707" t="s">
        <v>394</v>
      </c>
      <c r="N707" t="s">
        <v>395</v>
      </c>
      <c r="O707" t="s">
        <v>197</v>
      </c>
      <c r="P707" t="s">
        <v>198</v>
      </c>
      <c r="Q707" t="s">
        <v>39</v>
      </c>
      <c r="R707" t="s">
        <v>40</v>
      </c>
      <c r="S707" s="1">
        <v>51205.3</v>
      </c>
      <c r="T707" s="1">
        <v>41555.963000000003</v>
      </c>
      <c r="U707" s="1">
        <v>3120.7395000000001</v>
      </c>
      <c r="V707" s="1">
        <v>9649.3369999999995</v>
      </c>
      <c r="W707">
        <v>81</v>
      </c>
    </row>
    <row r="708" spans="1:23" hidden="1" x14ac:dyDescent="0.35">
      <c r="A708" t="s">
        <v>483</v>
      </c>
      <c r="B708" t="s">
        <v>484</v>
      </c>
      <c r="C708" t="s">
        <v>479</v>
      </c>
      <c r="D708" t="s">
        <v>397</v>
      </c>
      <c r="E708" t="s">
        <v>365</v>
      </c>
      <c r="F708" t="s">
        <v>318</v>
      </c>
      <c r="G708" t="s">
        <v>398</v>
      </c>
      <c r="H708" t="s">
        <v>28</v>
      </c>
      <c r="I708" t="s">
        <v>231</v>
      </c>
      <c r="J708" t="s">
        <v>480</v>
      </c>
      <c r="K708" t="s">
        <v>23</v>
      </c>
      <c r="L708" t="s">
        <v>203</v>
      </c>
      <c r="M708" t="s">
        <v>481</v>
      </c>
      <c r="N708" t="s">
        <v>482</v>
      </c>
      <c r="O708" t="s">
        <v>197</v>
      </c>
      <c r="P708" t="s">
        <v>198</v>
      </c>
      <c r="Q708" t="s">
        <v>39</v>
      </c>
      <c r="R708" t="s">
        <v>40</v>
      </c>
      <c r="S708" s="1">
        <v>11784.4</v>
      </c>
      <c r="T708" s="1">
        <v>11784.34</v>
      </c>
      <c r="U708" s="1">
        <v>11784.34</v>
      </c>
      <c r="V708" s="1">
        <v>0.06</v>
      </c>
      <c r="W708">
        <v>100</v>
      </c>
    </row>
    <row r="709" spans="1:23" hidden="1" x14ac:dyDescent="0.35">
      <c r="A709" t="s">
        <v>483</v>
      </c>
      <c r="B709" t="s">
        <v>484</v>
      </c>
      <c r="C709" t="s">
        <v>396</v>
      </c>
      <c r="D709" t="s">
        <v>397</v>
      </c>
      <c r="E709" t="s">
        <v>365</v>
      </c>
      <c r="F709" t="s">
        <v>318</v>
      </c>
      <c r="G709" t="s">
        <v>398</v>
      </c>
      <c r="H709" t="s">
        <v>116</v>
      </c>
      <c r="I709" t="s">
        <v>148</v>
      </c>
      <c r="J709" t="s">
        <v>149</v>
      </c>
      <c r="K709" t="s">
        <v>33</v>
      </c>
      <c r="L709" t="s">
        <v>34</v>
      </c>
      <c r="M709" t="s">
        <v>399</v>
      </c>
      <c r="N709" t="s">
        <v>400</v>
      </c>
      <c r="O709" t="s">
        <v>401</v>
      </c>
      <c r="P709" t="s">
        <v>402</v>
      </c>
      <c r="Q709" t="s">
        <v>39</v>
      </c>
      <c r="R709" t="s">
        <v>40</v>
      </c>
      <c r="S709" s="1">
        <v>1328.7</v>
      </c>
      <c r="T709" s="1">
        <v>658.73329999999999</v>
      </c>
      <c r="U709" s="1">
        <v>0</v>
      </c>
      <c r="V709" s="1">
        <v>669.96669999999995</v>
      </c>
      <c r="W709">
        <v>50</v>
      </c>
    </row>
    <row r="710" spans="1:23" hidden="1" x14ac:dyDescent="0.35">
      <c r="A710" t="s">
        <v>483</v>
      </c>
      <c r="B710" t="s">
        <v>484</v>
      </c>
      <c r="C710" t="s">
        <v>403</v>
      </c>
      <c r="D710" t="s">
        <v>404</v>
      </c>
      <c r="E710" t="s">
        <v>405</v>
      </c>
      <c r="F710" t="s">
        <v>146</v>
      </c>
      <c r="G710" t="s">
        <v>406</v>
      </c>
      <c r="H710" t="s">
        <v>318</v>
      </c>
      <c r="I710" t="s">
        <v>407</v>
      </c>
      <c r="J710" t="s">
        <v>408</v>
      </c>
      <c r="K710" t="s">
        <v>33</v>
      </c>
      <c r="L710" t="s">
        <v>51</v>
      </c>
      <c r="M710" t="s">
        <v>409</v>
      </c>
      <c r="N710" t="s">
        <v>410</v>
      </c>
      <c r="O710" t="s">
        <v>108</v>
      </c>
      <c r="P710" t="s">
        <v>109</v>
      </c>
      <c r="Q710" t="s">
        <v>39</v>
      </c>
      <c r="R710" t="s">
        <v>40</v>
      </c>
      <c r="S710" s="1">
        <v>191160.4</v>
      </c>
      <c r="T710" s="1">
        <v>89997.031000000003</v>
      </c>
      <c r="U710" s="1">
        <v>18300.030299999999</v>
      </c>
      <c r="V710" s="1">
        <v>101163.36900000001</v>
      </c>
      <c r="W710">
        <v>47</v>
      </c>
    </row>
    <row r="711" spans="1:23" hidden="1" x14ac:dyDescent="0.35">
      <c r="A711" t="s">
        <v>483</v>
      </c>
      <c r="B711" t="s">
        <v>484</v>
      </c>
      <c r="C711" t="s">
        <v>440</v>
      </c>
      <c r="D711" t="s">
        <v>404</v>
      </c>
      <c r="E711" t="s">
        <v>405</v>
      </c>
      <c r="F711" t="s">
        <v>146</v>
      </c>
      <c r="G711" t="s">
        <v>406</v>
      </c>
      <c r="H711" t="s">
        <v>318</v>
      </c>
      <c r="I711" t="s">
        <v>407</v>
      </c>
      <c r="J711" t="s">
        <v>408</v>
      </c>
      <c r="K711" t="s">
        <v>33</v>
      </c>
      <c r="L711" t="s">
        <v>51</v>
      </c>
      <c r="M711" t="s">
        <v>441</v>
      </c>
      <c r="N711" t="s">
        <v>442</v>
      </c>
      <c r="O711" t="s">
        <v>197</v>
      </c>
      <c r="P711" t="s">
        <v>198</v>
      </c>
      <c r="Q711" t="s">
        <v>39</v>
      </c>
      <c r="R711" t="s">
        <v>40</v>
      </c>
      <c r="S711" s="1">
        <v>35508.9</v>
      </c>
      <c r="T711" s="1">
        <v>57</v>
      </c>
      <c r="U711" s="1">
        <v>0</v>
      </c>
      <c r="V711" s="1">
        <v>35451.9</v>
      </c>
      <c r="W711">
        <v>0</v>
      </c>
    </row>
    <row r="712" spans="1:23" hidden="1" x14ac:dyDescent="0.35">
      <c r="A712" t="s">
        <v>483</v>
      </c>
      <c r="B712" t="s">
        <v>484</v>
      </c>
      <c r="C712" t="s">
        <v>411</v>
      </c>
      <c r="D712" t="s">
        <v>412</v>
      </c>
      <c r="E712" t="s">
        <v>405</v>
      </c>
      <c r="F712" t="s">
        <v>189</v>
      </c>
      <c r="G712" t="s">
        <v>413</v>
      </c>
      <c r="H712" t="s">
        <v>318</v>
      </c>
      <c r="I712" t="s">
        <v>407</v>
      </c>
      <c r="J712" t="s">
        <v>408</v>
      </c>
      <c r="K712" t="s">
        <v>33</v>
      </c>
      <c r="L712" t="s">
        <v>51</v>
      </c>
      <c r="M712" t="s">
        <v>414</v>
      </c>
      <c r="N712" t="s">
        <v>415</v>
      </c>
      <c r="O712" t="s">
        <v>197</v>
      </c>
      <c r="P712" t="s">
        <v>198</v>
      </c>
      <c r="Q712" t="s">
        <v>39</v>
      </c>
      <c r="R712" t="s">
        <v>40</v>
      </c>
      <c r="S712" s="1">
        <v>3693.1</v>
      </c>
      <c r="T712" s="1">
        <v>789.55</v>
      </c>
      <c r="U712" s="1">
        <v>0</v>
      </c>
      <c r="V712" s="1">
        <v>2903.55</v>
      </c>
      <c r="W712">
        <v>21</v>
      </c>
    </row>
    <row r="713" spans="1:23" hidden="1" x14ac:dyDescent="0.35">
      <c r="A713" t="s">
        <v>483</v>
      </c>
      <c r="B713" t="s">
        <v>484</v>
      </c>
      <c r="C713" t="s">
        <v>416</v>
      </c>
      <c r="D713" t="s">
        <v>417</v>
      </c>
      <c r="E713" t="s">
        <v>405</v>
      </c>
      <c r="F713" t="s">
        <v>28</v>
      </c>
      <c r="G713" t="s">
        <v>418</v>
      </c>
      <c r="H713" t="s">
        <v>318</v>
      </c>
      <c r="I713" t="s">
        <v>407</v>
      </c>
      <c r="J713" t="s">
        <v>408</v>
      </c>
      <c r="K713" t="s">
        <v>33</v>
      </c>
      <c r="L713" t="s">
        <v>51</v>
      </c>
      <c r="M713" t="s">
        <v>419</v>
      </c>
      <c r="N713" t="s">
        <v>420</v>
      </c>
      <c r="O713" t="s">
        <v>108</v>
      </c>
      <c r="P713" t="s">
        <v>109</v>
      </c>
      <c r="Q713" t="s">
        <v>39</v>
      </c>
      <c r="R713" t="s">
        <v>40</v>
      </c>
      <c r="S713" s="1">
        <v>356415.3</v>
      </c>
      <c r="T713" s="1">
        <v>145446.76370000001</v>
      </c>
      <c r="U713" s="1">
        <v>33676.157599999999</v>
      </c>
      <c r="V713" s="1">
        <v>210968.53630000001</v>
      </c>
      <c r="W713">
        <v>41</v>
      </c>
    </row>
    <row r="714" spans="1:23" hidden="1" x14ac:dyDescent="0.35">
      <c r="A714" t="s">
        <v>487</v>
      </c>
      <c r="B714" t="s">
        <v>488</v>
      </c>
      <c r="C714" t="s">
        <v>25</v>
      </c>
      <c r="D714" t="s">
        <v>26</v>
      </c>
      <c r="E714" t="s">
        <v>27</v>
      </c>
      <c r="F714" t="s">
        <v>28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 t="s">
        <v>34</v>
      </c>
      <c r="M714" t="s">
        <v>35</v>
      </c>
      <c r="N714" t="s">
        <v>36</v>
      </c>
      <c r="O714" t="s">
        <v>37</v>
      </c>
      <c r="P714" t="s">
        <v>38</v>
      </c>
      <c r="Q714" t="s">
        <v>39</v>
      </c>
      <c r="R714" t="s">
        <v>40</v>
      </c>
      <c r="S714" s="1">
        <v>597.70000000000005</v>
      </c>
      <c r="T714" s="1">
        <v>125.3682</v>
      </c>
      <c r="U714" s="1">
        <v>13.7927</v>
      </c>
      <c r="V714" s="1">
        <v>472.33179999999999</v>
      </c>
      <c r="W714">
        <v>21</v>
      </c>
    </row>
    <row r="715" spans="1:23" hidden="1" x14ac:dyDescent="0.35">
      <c r="A715" t="s">
        <v>487</v>
      </c>
      <c r="B715" t="s">
        <v>488</v>
      </c>
      <c r="C715" t="s">
        <v>41</v>
      </c>
      <c r="D715" t="s">
        <v>26</v>
      </c>
      <c r="E715" t="s">
        <v>27</v>
      </c>
      <c r="F715" t="s">
        <v>28</v>
      </c>
      <c r="G715" t="s">
        <v>29</v>
      </c>
      <c r="H715" t="s">
        <v>30</v>
      </c>
      <c r="I715" t="s">
        <v>31</v>
      </c>
      <c r="J715" t="s">
        <v>32</v>
      </c>
      <c r="K715" t="s">
        <v>33</v>
      </c>
      <c r="L715" t="s">
        <v>34</v>
      </c>
      <c r="M715" t="s">
        <v>35</v>
      </c>
      <c r="N715" t="s">
        <v>36</v>
      </c>
      <c r="O715" t="s">
        <v>42</v>
      </c>
      <c r="P715" t="s">
        <v>43</v>
      </c>
      <c r="Q715" t="s">
        <v>39</v>
      </c>
      <c r="R715" t="s">
        <v>40</v>
      </c>
      <c r="S715" s="1">
        <v>165.3</v>
      </c>
      <c r="T715" s="1">
        <v>128.62180000000001</v>
      </c>
      <c r="U715" s="1">
        <v>5.5023</v>
      </c>
      <c r="V715" s="1">
        <v>36.678199999999997</v>
      </c>
      <c r="W715">
        <v>78</v>
      </c>
    </row>
    <row r="716" spans="1:23" hidden="1" x14ac:dyDescent="0.35">
      <c r="A716" t="s">
        <v>487</v>
      </c>
      <c r="B716" t="s">
        <v>488</v>
      </c>
      <c r="C716" t="s">
        <v>44</v>
      </c>
      <c r="D716" t="s">
        <v>45</v>
      </c>
      <c r="E716" t="s">
        <v>27</v>
      </c>
      <c r="F716" t="s">
        <v>46</v>
      </c>
      <c r="G716" t="s">
        <v>47</v>
      </c>
      <c r="H716" t="s">
        <v>48</v>
      </c>
      <c r="I716" t="s">
        <v>49</v>
      </c>
      <c r="J716" t="s">
        <v>50</v>
      </c>
      <c r="K716" t="s">
        <v>33</v>
      </c>
      <c r="L716" t="s">
        <v>51</v>
      </c>
      <c r="M716" t="s">
        <v>52</v>
      </c>
      <c r="N716" t="s">
        <v>53</v>
      </c>
      <c r="O716" t="s">
        <v>54</v>
      </c>
      <c r="P716" t="s">
        <v>55</v>
      </c>
      <c r="Q716" t="s">
        <v>39</v>
      </c>
      <c r="R716" t="s">
        <v>40</v>
      </c>
      <c r="S716" s="1">
        <v>67.2</v>
      </c>
      <c r="T716" s="1">
        <v>0</v>
      </c>
      <c r="U716" s="1">
        <v>0</v>
      </c>
      <c r="V716" s="1">
        <v>67.2</v>
      </c>
      <c r="W716">
        <v>0</v>
      </c>
    </row>
    <row r="717" spans="1:23" hidden="1" x14ac:dyDescent="0.35">
      <c r="A717" t="s">
        <v>487</v>
      </c>
      <c r="B717" t="s">
        <v>488</v>
      </c>
      <c r="C717" t="s">
        <v>56</v>
      </c>
      <c r="D717" t="s">
        <v>45</v>
      </c>
      <c r="E717" t="s">
        <v>27</v>
      </c>
      <c r="F717" t="s">
        <v>46</v>
      </c>
      <c r="G717" t="s">
        <v>47</v>
      </c>
      <c r="H717" t="s">
        <v>48</v>
      </c>
      <c r="I717" t="s">
        <v>49</v>
      </c>
      <c r="J717" t="s">
        <v>50</v>
      </c>
      <c r="K717" t="s">
        <v>33</v>
      </c>
      <c r="L717" t="s">
        <v>51</v>
      </c>
      <c r="M717" t="s">
        <v>57</v>
      </c>
      <c r="N717" t="s">
        <v>58</v>
      </c>
      <c r="O717" t="s">
        <v>37</v>
      </c>
      <c r="P717" t="s">
        <v>38</v>
      </c>
      <c r="Q717" t="s">
        <v>39</v>
      </c>
      <c r="R717" t="s">
        <v>40</v>
      </c>
      <c r="S717" s="1">
        <v>61.9</v>
      </c>
      <c r="T717" s="1">
        <v>0</v>
      </c>
      <c r="U717" s="1">
        <v>0</v>
      </c>
      <c r="V717" s="1">
        <v>61.9</v>
      </c>
      <c r="W717">
        <v>0</v>
      </c>
    </row>
    <row r="718" spans="1:23" hidden="1" x14ac:dyDescent="0.35">
      <c r="A718" t="s">
        <v>487</v>
      </c>
      <c r="B718" t="s">
        <v>488</v>
      </c>
      <c r="C718" t="s">
        <v>59</v>
      </c>
      <c r="D718" t="s">
        <v>45</v>
      </c>
      <c r="E718" t="s">
        <v>27</v>
      </c>
      <c r="F718" t="s">
        <v>46</v>
      </c>
      <c r="G718" t="s">
        <v>47</v>
      </c>
      <c r="H718" t="s">
        <v>60</v>
      </c>
      <c r="I718" t="s">
        <v>61</v>
      </c>
      <c r="J718" t="s">
        <v>62</v>
      </c>
      <c r="K718" t="s">
        <v>33</v>
      </c>
      <c r="L718" t="s">
        <v>51</v>
      </c>
      <c r="M718" t="s">
        <v>63</v>
      </c>
      <c r="N718" t="s">
        <v>64</v>
      </c>
      <c r="O718" t="s">
        <v>37</v>
      </c>
      <c r="P718" t="s">
        <v>38</v>
      </c>
      <c r="Q718" t="s">
        <v>39</v>
      </c>
      <c r="R718" t="s">
        <v>40</v>
      </c>
      <c r="S718" s="1">
        <v>216.9</v>
      </c>
      <c r="T718" s="1">
        <v>122.1</v>
      </c>
      <c r="U718" s="1">
        <v>7</v>
      </c>
      <c r="V718" s="1">
        <v>94.8</v>
      </c>
      <c r="W718">
        <v>56</v>
      </c>
    </row>
    <row r="719" spans="1:23" hidden="1" x14ac:dyDescent="0.35">
      <c r="A719" t="s">
        <v>487</v>
      </c>
      <c r="B719" t="s">
        <v>488</v>
      </c>
      <c r="C719" t="s">
        <v>65</v>
      </c>
      <c r="D719" t="s">
        <v>45</v>
      </c>
      <c r="E719" t="s">
        <v>27</v>
      </c>
      <c r="F719" t="s">
        <v>46</v>
      </c>
      <c r="G719" t="s">
        <v>47</v>
      </c>
      <c r="H719" t="s">
        <v>66</v>
      </c>
      <c r="I719" t="s">
        <v>67</v>
      </c>
      <c r="J719" t="s">
        <v>68</v>
      </c>
      <c r="K719" t="s">
        <v>33</v>
      </c>
      <c r="L719" t="s">
        <v>51</v>
      </c>
      <c r="M719" t="s">
        <v>69</v>
      </c>
      <c r="N719" t="s">
        <v>70</v>
      </c>
      <c r="O719" t="s">
        <v>37</v>
      </c>
      <c r="P719" t="s">
        <v>38</v>
      </c>
      <c r="Q719" t="s">
        <v>39</v>
      </c>
      <c r="R719" t="s">
        <v>40</v>
      </c>
      <c r="S719" s="1">
        <v>557.5</v>
      </c>
      <c r="T719" s="1">
        <v>340.46629999999999</v>
      </c>
      <c r="U719" s="1">
        <v>0</v>
      </c>
      <c r="V719" s="1">
        <v>217.03370000000001</v>
      </c>
      <c r="W719">
        <v>61</v>
      </c>
    </row>
    <row r="720" spans="1:23" hidden="1" x14ac:dyDescent="0.35">
      <c r="A720" t="s">
        <v>487</v>
      </c>
      <c r="B720" t="s">
        <v>488</v>
      </c>
      <c r="C720" t="s">
        <v>71</v>
      </c>
      <c r="D720" t="s">
        <v>45</v>
      </c>
      <c r="E720" t="s">
        <v>27</v>
      </c>
      <c r="F720" t="s">
        <v>46</v>
      </c>
      <c r="G720" t="s">
        <v>47</v>
      </c>
      <c r="H720" t="s">
        <v>30</v>
      </c>
      <c r="I720" t="s">
        <v>31</v>
      </c>
      <c r="J720" t="s">
        <v>32</v>
      </c>
      <c r="K720" t="s">
        <v>33</v>
      </c>
      <c r="L720" t="s">
        <v>34</v>
      </c>
      <c r="M720" t="s">
        <v>72</v>
      </c>
      <c r="N720" t="s">
        <v>73</v>
      </c>
      <c r="O720" t="s">
        <v>74</v>
      </c>
      <c r="P720" t="s">
        <v>75</v>
      </c>
      <c r="Q720" t="s">
        <v>39</v>
      </c>
      <c r="R720" t="s">
        <v>40</v>
      </c>
      <c r="S720" s="1">
        <v>349800.7</v>
      </c>
      <c r="T720" s="1">
        <v>178268.8455</v>
      </c>
      <c r="U720" s="1">
        <v>29046.275099999999</v>
      </c>
      <c r="V720" s="1">
        <v>171531.85449999999</v>
      </c>
      <c r="W720">
        <v>51</v>
      </c>
    </row>
    <row r="721" spans="1:23" hidden="1" x14ac:dyDescent="0.35">
      <c r="A721" t="s">
        <v>487</v>
      </c>
      <c r="B721" t="s">
        <v>488</v>
      </c>
      <c r="C721" t="s">
        <v>76</v>
      </c>
      <c r="D721" t="s">
        <v>45</v>
      </c>
      <c r="E721" t="s">
        <v>27</v>
      </c>
      <c r="F721" t="s">
        <v>46</v>
      </c>
      <c r="G721" t="s">
        <v>47</v>
      </c>
      <c r="H721" t="s">
        <v>30</v>
      </c>
      <c r="I721" t="s">
        <v>31</v>
      </c>
      <c r="J721" t="s">
        <v>32</v>
      </c>
      <c r="K721" t="s">
        <v>33</v>
      </c>
      <c r="L721" t="s">
        <v>34</v>
      </c>
      <c r="M721" t="s">
        <v>72</v>
      </c>
      <c r="N721" t="s">
        <v>73</v>
      </c>
      <c r="O721" t="s">
        <v>77</v>
      </c>
      <c r="P721" t="s">
        <v>78</v>
      </c>
      <c r="Q721" t="s">
        <v>39</v>
      </c>
      <c r="R721" t="s">
        <v>40</v>
      </c>
      <c r="S721" s="1">
        <v>100.2</v>
      </c>
      <c r="T721" s="1">
        <v>9.4619999999999997</v>
      </c>
      <c r="U721" s="1">
        <v>0</v>
      </c>
      <c r="V721" s="1">
        <v>90.738</v>
      </c>
      <c r="W721">
        <v>9</v>
      </c>
    </row>
    <row r="722" spans="1:23" hidden="1" x14ac:dyDescent="0.35">
      <c r="A722" t="s">
        <v>487</v>
      </c>
      <c r="B722" t="s">
        <v>488</v>
      </c>
      <c r="C722" t="s">
        <v>79</v>
      </c>
      <c r="D722" t="s">
        <v>45</v>
      </c>
      <c r="E722" t="s">
        <v>27</v>
      </c>
      <c r="F722" t="s">
        <v>46</v>
      </c>
      <c r="G722" t="s">
        <v>47</v>
      </c>
      <c r="H722" t="s">
        <v>30</v>
      </c>
      <c r="I722" t="s">
        <v>31</v>
      </c>
      <c r="J722" t="s">
        <v>32</v>
      </c>
      <c r="K722" t="s">
        <v>33</v>
      </c>
      <c r="L722" t="s">
        <v>34</v>
      </c>
      <c r="M722" t="s">
        <v>72</v>
      </c>
      <c r="N722" t="s">
        <v>73</v>
      </c>
      <c r="O722" t="s">
        <v>80</v>
      </c>
      <c r="P722" t="s">
        <v>81</v>
      </c>
      <c r="Q722" t="s">
        <v>39</v>
      </c>
      <c r="R722" t="s">
        <v>40</v>
      </c>
      <c r="S722" s="1">
        <v>105260</v>
      </c>
      <c r="T722" s="1">
        <v>55000.953999999998</v>
      </c>
      <c r="U722" s="1">
        <v>8298.2217000000001</v>
      </c>
      <c r="V722" s="1">
        <v>50259.046000000002</v>
      </c>
      <c r="W722">
        <v>52</v>
      </c>
    </row>
    <row r="723" spans="1:23" hidden="1" x14ac:dyDescent="0.35">
      <c r="A723" t="s">
        <v>487</v>
      </c>
      <c r="B723" t="s">
        <v>488</v>
      </c>
      <c r="C723" t="s">
        <v>82</v>
      </c>
      <c r="D723" t="s">
        <v>45</v>
      </c>
      <c r="E723" t="s">
        <v>27</v>
      </c>
      <c r="F723" t="s">
        <v>46</v>
      </c>
      <c r="G723" t="s">
        <v>47</v>
      </c>
      <c r="H723" t="s">
        <v>30</v>
      </c>
      <c r="I723" t="s">
        <v>31</v>
      </c>
      <c r="J723" t="s">
        <v>32</v>
      </c>
      <c r="K723" t="s">
        <v>33</v>
      </c>
      <c r="L723" t="s">
        <v>34</v>
      </c>
      <c r="M723" t="s">
        <v>72</v>
      </c>
      <c r="N723" t="s">
        <v>73</v>
      </c>
      <c r="O723" t="s">
        <v>83</v>
      </c>
      <c r="P723" t="s">
        <v>84</v>
      </c>
      <c r="Q723" t="s">
        <v>39</v>
      </c>
      <c r="R723" t="s">
        <v>40</v>
      </c>
      <c r="S723" s="1">
        <v>300</v>
      </c>
      <c r="T723" s="1">
        <v>102.33669999999999</v>
      </c>
      <c r="U723" s="1">
        <v>0</v>
      </c>
      <c r="V723" s="1">
        <v>197.66329999999999</v>
      </c>
      <c r="W723">
        <v>34</v>
      </c>
    </row>
    <row r="724" spans="1:23" hidden="1" x14ac:dyDescent="0.35">
      <c r="A724" t="s">
        <v>487</v>
      </c>
      <c r="B724" t="s">
        <v>488</v>
      </c>
      <c r="C724" t="s">
        <v>85</v>
      </c>
      <c r="D724" t="s">
        <v>45</v>
      </c>
      <c r="E724" t="s">
        <v>27</v>
      </c>
      <c r="F724" t="s">
        <v>46</v>
      </c>
      <c r="G724" t="s">
        <v>47</v>
      </c>
      <c r="H724" t="s">
        <v>30</v>
      </c>
      <c r="I724" t="s">
        <v>31</v>
      </c>
      <c r="J724" t="s">
        <v>32</v>
      </c>
      <c r="K724" t="s">
        <v>33</v>
      </c>
      <c r="L724" t="s">
        <v>34</v>
      </c>
      <c r="M724" t="s">
        <v>72</v>
      </c>
      <c r="N724" t="s">
        <v>73</v>
      </c>
      <c r="O724" t="s">
        <v>86</v>
      </c>
      <c r="P724" t="s">
        <v>87</v>
      </c>
      <c r="Q724" t="s">
        <v>39</v>
      </c>
      <c r="R724" t="s">
        <v>40</v>
      </c>
      <c r="S724" s="1">
        <v>31341.1</v>
      </c>
      <c r="T724" s="1">
        <v>4636.8482000000004</v>
      </c>
      <c r="U724" s="1">
        <v>0</v>
      </c>
      <c r="V724" s="1">
        <v>26704.251799999998</v>
      </c>
      <c r="W724">
        <v>15</v>
      </c>
    </row>
    <row r="725" spans="1:23" hidden="1" x14ac:dyDescent="0.35">
      <c r="A725" t="s">
        <v>487</v>
      </c>
      <c r="B725" t="s">
        <v>488</v>
      </c>
      <c r="C725" t="s">
        <v>88</v>
      </c>
      <c r="D725" t="s">
        <v>45</v>
      </c>
      <c r="E725" t="s">
        <v>27</v>
      </c>
      <c r="F725" t="s">
        <v>46</v>
      </c>
      <c r="G725" t="s">
        <v>47</v>
      </c>
      <c r="H725" t="s">
        <v>30</v>
      </c>
      <c r="I725" t="s">
        <v>31</v>
      </c>
      <c r="J725" t="s">
        <v>32</v>
      </c>
      <c r="K725" t="s">
        <v>33</v>
      </c>
      <c r="L725" t="s">
        <v>34</v>
      </c>
      <c r="M725" t="s">
        <v>72</v>
      </c>
      <c r="N725" t="s">
        <v>73</v>
      </c>
      <c r="O725" t="s">
        <v>37</v>
      </c>
      <c r="P725" t="s">
        <v>38</v>
      </c>
      <c r="Q725" t="s">
        <v>39</v>
      </c>
      <c r="R725" t="s">
        <v>40</v>
      </c>
      <c r="S725" s="1">
        <v>68304.899999999994</v>
      </c>
      <c r="T725" s="1">
        <v>14360.155699999999</v>
      </c>
      <c r="U725" s="1">
        <v>1578.7302999999999</v>
      </c>
      <c r="V725" s="1">
        <v>53944.744299999998</v>
      </c>
      <c r="W725">
        <v>21</v>
      </c>
    </row>
    <row r="726" spans="1:23" hidden="1" x14ac:dyDescent="0.35">
      <c r="A726" t="s">
        <v>487</v>
      </c>
      <c r="B726" t="s">
        <v>488</v>
      </c>
      <c r="C726" t="s">
        <v>89</v>
      </c>
      <c r="D726" t="s">
        <v>45</v>
      </c>
      <c r="E726" t="s">
        <v>27</v>
      </c>
      <c r="F726" t="s">
        <v>46</v>
      </c>
      <c r="G726" t="s">
        <v>47</v>
      </c>
      <c r="H726" t="s">
        <v>30</v>
      </c>
      <c r="I726" t="s">
        <v>31</v>
      </c>
      <c r="J726" t="s">
        <v>32</v>
      </c>
      <c r="K726" t="s">
        <v>33</v>
      </c>
      <c r="L726" t="s">
        <v>34</v>
      </c>
      <c r="M726" t="s">
        <v>72</v>
      </c>
      <c r="N726" t="s">
        <v>73</v>
      </c>
      <c r="O726" t="s">
        <v>42</v>
      </c>
      <c r="P726" t="s">
        <v>43</v>
      </c>
      <c r="Q726" t="s">
        <v>39</v>
      </c>
      <c r="R726" t="s">
        <v>40</v>
      </c>
      <c r="S726" s="1">
        <v>16962</v>
      </c>
      <c r="T726" s="1">
        <v>9487.7528000000002</v>
      </c>
      <c r="U726" s="1">
        <v>648.37149999999997</v>
      </c>
      <c r="V726" s="1">
        <v>7474.2471999999998</v>
      </c>
      <c r="W726">
        <v>56</v>
      </c>
    </row>
    <row r="727" spans="1:23" hidden="1" x14ac:dyDescent="0.35">
      <c r="A727" t="s">
        <v>487</v>
      </c>
      <c r="B727" t="s">
        <v>488</v>
      </c>
      <c r="C727" t="s">
        <v>90</v>
      </c>
      <c r="D727" t="s">
        <v>45</v>
      </c>
      <c r="E727" t="s">
        <v>27</v>
      </c>
      <c r="F727" t="s">
        <v>46</v>
      </c>
      <c r="G727" t="s">
        <v>47</v>
      </c>
      <c r="H727" t="s">
        <v>30</v>
      </c>
      <c r="I727" t="s">
        <v>31</v>
      </c>
      <c r="J727" t="s">
        <v>32</v>
      </c>
      <c r="K727" t="s">
        <v>33</v>
      </c>
      <c r="L727" t="s">
        <v>34</v>
      </c>
      <c r="M727" t="s">
        <v>72</v>
      </c>
      <c r="N727" t="s">
        <v>73</v>
      </c>
      <c r="O727" t="s">
        <v>91</v>
      </c>
      <c r="P727" t="s">
        <v>92</v>
      </c>
      <c r="Q727" t="s">
        <v>39</v>
      </c>
      <c r="R727" t="s">
        <v>40</v>
      </c>
      <c r="S727" s="1">
        <v>112109.2</v>
      </c>
      <c r="T727" s="1">
        <v>112108.8128</v>
      </c>
      <c r="U727" s="1">
        <v>0</v>
      </c>
      <c r="V727" s="1">
        <v>0.38719999999999999</v>
      </c>
      <c r="W727">
        <v>100</v>
      </c>
    </row>
    <row r="728" spans="1:23" hidden="1" x14ac:dyDescent="0.35">
      <c r="A728" t="s">
        <v>487</v>
      </c>
      <c r="B728" t="s">
        <v>488</v>
      </c>
      <c r="C728" t="s">
        <v>93</v>
      </c>
      <c r="D728" t="s">
        <v>45</v>
      </c>
      <c r="E728" t="s">
        <v>27</v>
      </c>
      <c r="F728" t="s">
        <v>46</v>
      </c>
      <c r="G728" t="s">
        <v>47</v>
      </c>
      <c r="H728" t="s">
        <v>30</v>
      </c>
      <c r="I728" t="s">
        <v>31</v>
      </c>
      <c r="J728" t="s">
        <v>32</v>
      </c>
      <c r="K728" t="s">
        <v>33</v>
      </c>
      <c r="L728" t="s">
        <v>34</v>
      </c>
      <c r="M728" t="s">
        <v>94</v>
      </c>
      <c r="N728" t="s">
        <v>95</v>
      </c>
      <c r="O728" t="s">
        <v>96</v>
      </c>
      <c r="P728" t="s">
        <v>97</v>
      </c>
      <c r="Q728" t="s">
        <v>39</v>
      </c>
      <c r="R728" t="s">
        <v>40</v>
      </c>
      <c r="S728" s="1">
        <v>216958.1</v>
      </c>
      <c r="T728" s="1">
        <v>120749.6961</v>
      </c>
      <c r="U728" s="1">
        <v>19144.767400000001</v>
      </c>
      <c r="V728" s="1">
        <v>96208.403900000005</v>
      </c>
      <c r="W728">
        <v>56</v>
      </c>
    </row>
    <row r="729" spans="1:23" hidden="1" x14ac:dyDescent="0.35">
      <c r="A729" t="s">
        <v>487</v>
      </c>
      <c r="B729" t="s">
        <v>488</v>
      </c>
      <c r="C729" t="s">
        <v>98</v>
      </c>
      <c r="D729" t="s">
        <v>45</v>
      </c>
      <c r="E729" t="s">
        <v>27</v>
      </c>
      <c r="F729" t="s">
        <v>46</v>
      </c>
      <c r="G729" t="s">
        <v>47</v>
      </c>
      <c r="H729" t="s">
        <v>30</v>
      </c>
      <c r="I729" t="s">
        <v>31</v>
      </c>
      <c r="J729" t="s">
        <v>32</v>
      </c>
      <c r="K729" t="s">
        <v>33</v>
      </c>
      <c r="L729" t="s">
        <v>34</v>
      </c>
      <c r="M729" t="s">
        <v>94</v>
      </c>
      <c r="N729" t="s">
        <v>95</v>
      </c>
      <c r="O729" t="s">
        <v>99</v>
      </c>
      <c r="P729" t="s">
        <v>100</v>
      </c>
      <c r="Q729" t="s">
        <v>39</v>
      </c>
      <c r="R729" t="s">
        <v>40</v>
      </c>
      <c r="S729" s="1">
        <v>65398.5</v>
      </c>
      <c r="T729" s="1">
        <v>32346.8603</v>
      </c>
      <c r="U729" s="1">
        <v>5063.2848000000004</v>
      </c>
      <c r="V729" s="1">
        <v>33051.6397</v>
      </c>
      <c r="W729">
        <v>49</v>
      </c>
    </row>
    <row r="730" spans="1:23" hidden="1" x14ac:dyDescent="0.35">
      <c r="A730" t="s">
        <v>487</v>
      </c>
      <c r="B730" t="s">
        <v>488</v>
      </c>
      <c r="C730" t="s">
        <v>101</v>
      </c>
      <c r="D730" t="s">
        <v>45</v>
      </c>
      <c r="E730" t="s">
        <v>27</v>
      </c>
      <c r="F730" t="s">
        <v>46</v>
      </c>
      <c r="G730" t="s">
        <v>47</v>
      </c>
      <c r="H730" t="s">
        <v>30</v>
      </c>
      <c r="I730" t="s">
        <v>31</v>
      </c>
      <c r="J730" t="s">
        <v>32</v>
      </c>
      <c r="K730" t="s">
        <v>33</v>
      </c>
      <c r="L730" t="s">
        <v>34</v>
      </c>
      <c r="M730" t="s">
        <v>94</v>
      </c>
      <c r="N730" t="s">
        <v>95</v>
      </c>
      <c r="O730" t="s">
        <v>37</v>
      </c>
      <c r="P730" t="s">
        <v>38</v>
      </c>
      <c r="Q730" t="s">
        <v>39</v>
      </c>
      <c r="R730" t="s">
        <v>40</v>
      </c>
      <c r="S730" s="1">
        <v>4394</v>
      </c>
      <c r="T730" s="1">
        <v>2934.4164999999998</v>
      </c>
      <c r="U730" s="1">
        <v>141.03190000000001</v>
      </c>
      <c r="V730" s="1">
        <v>1459.5835</v>
      </c>
      <c r="W730">
        <v>67</v>
      </c>
    </row>
    <row r="731" spans="1:23" hidden="1" x14ac:dyDescent="0.35">
      <c r="A731" t="s">
        <v>487</v>
      </c>
      <c r="B731" t="s">
        <v>488</v>
      </c>
      <c r="C731" t="s">
        <v>467</v>
      </c>
      <c r="D731" t="s">
        <v>45</v>
      </c>
      <c r="E731" t="s">
        <v>27</v>
      </c>
      <c r="F731" t="s">
        <v>46</v>
      </c>
      <c r="G731" t="s">
        <v>47</v>
      </c>
      <c r="H731" t="s">
        <v>30</v>
      </c>
      <c r="I731" t="s">
        <v>31</v>
      </c>
      <c r="J731" t="s">
        <v>32</v>
      </c>
      <c r="K731" t="s">
        <v>33</v>
      </c>
      <c r="L731" t="s">
        <v>34</v>
      </c>
      <c r="M731" t="s">
        <v>94</v>
      </c>
      <c r="N731" t="s">
        <v>95</v>
      </c>
      <c r="O731" t="s">
        <v>468</v>
      </c>
      <c r="P731" t="s">
        <v>469</v>
      </c>
      <c r="Q731" t="s">
        <v>39</v>
      </c>
      <c r="R731" t="s">
        <v>40</v>
      </c>
      <c r="S731" s="1">
        <v>2.2000000000000002</v>
      </c>
      <c r="T731" s="1">
        <v>2.1716000000000002</v>
      </c>
      <c r="U731" s="1">
        <v>0</v>
      </c>
      <c r="V731" s="1">
        <v>2.8400000000000002E-2</v>
      </c>
      <c r="W731">
        <v>99</v>
      </c>
    </row>
    <row r="732" spans="1:23" hidden="1" x14ac:dyDescent="0.35">
      <c r="A732" t="s">
        <v>487</v>
      </c>
      <c r="B732" t="s">
        <v>488</v>
      </c>
      <c r="C732" t="s">
        <v>102</v>
      </c>
      <c r="D732" t="s">
        <v>45</v>
      </c>
      <c r="E732" t="s">
        <v>27</v>
      </c>
      <c r="F732" t="s">
        <v>46</v>
      </c>
      <c r="G732" t="s">
        <v>47</v>
      </c>
      <c r="H732" t="s">
        <v>30</v>
      </c>
      <c r="I732" t="s">
        <v>31</v>
      </c>
      <c r="J732" t="s">
        <v>32</v>
      </c>
      <c r="K732" t="s">
        <v>33</v>
      </c>
      <c r="L732" t="s">
        <v>34</v>
      </c>
      <c r="M732" t="s">
        <v>94</v>
      </c>
      <c r="N732" t="s">
        <v>95</v>
      </c>
      <c r="O732" t="s">
        <v>103</v>
      </c>
      <c r="P732" t="s">
        <v>104</v>
      </c>
      <c r="Q732" t="s">
        <v>39</v>
      </c>
      <c r="R732" t="s">
        <v>40</v>
      </c>
      <c r="S732" s="1">
        <v>3.7</v>
      </c>
      <c r="T732" s="1">
        <v>2.7480000000000002</v>
      </c>
      <c r="U732" s="1">
        <v>0.91600000000000004</v>
      </c>
      <c r="V732" s="1">
        <v>0.95199999999999996</v>
      </c>
      <c r="W732">
        <v>74</v>
      </c>
    </row>
    <row r="733" spans="1:23" hidden="1" x14ac:dyDescent="0.35">
      <c r="A733" t="s">
        <v>487</v>
      </c>
      <c r="B733" t="s">
        <v>488</v>
      </c>
      <c r="C733" t="s">
        <v>105</v>
      </c>
      <c r="D733" t="s">
        <v>45</v>
      </c>
      <c r="E733" t="s">
        <v>27</v>
      </c>
      <c r="F733" t="s">
        <v>46</v>
      </c>
      <c r="G733" t="s">
        <v>47</v>
      </c>
      <c r="H733" t="s">
        <v>30</v>
      </c>
      <c r="I733" t="s">
        <v>31</v>
      </c>
      <c r="J733" t="s">
        <v>32</v>
      </c>
      <c r="K733" t="s">
        <v>33</v>
      </c>
      <c r="L733" t="s">
        <v>34</v>
      </c>
      <c r="M733" t="s">
        <v>106</v>
      </c>
      <c r="N733" t="s">
        <v>107</v>
      </c>
      <c r="O733" t="s">
        <v>108</v>
      </c>
      <c r="P733" t="s">
        <v>109</v>
      </c>
      <c r="Q733" t="s">
        <v>39</v>
      </c>
      <c r="R733" t="s">
        <v>40</v>
      </c>
      <c r="S733" s="1">
        <v>81533.600000000006</v>
      </c>
      <c r="T733" s="1">
        <v>44262.980799999998</v>
      </c>
      <c r="U733" s="1">
        <v>7012.3397999999997</v>
      </c>
      <c r="V733" s="1">
        <v>37270.619200000001</v>
      </c>
      <c r="W733">
        <v>54</v>
      </c>
    </row>
    <row r="734" spans="1:23" hidden="1" x14ac:dyDescent="0.35">
      <c r="A734" t="s">
        <v>487</v>
      </c>
      <c r="B734" t="s">
        <v>488</v>
      </c>
      <c r="C734" t="s">
        <v>110</v>
      </c>
      <c r="D734" t="s">
        <v>45</v>
      </c>
      <c r="E734" t="s">
        <v>27</v>
      </c>
      <c r="F734" t="s">
        <v>46</v>
      </c>
      <c r="G734" t="s">
        <v>47</v>
      </c>
      <c r="H734" t="s">
        <v>30</v>
      </c>
      <c r="I734" t="s">
        <v>31</v>
      </c>
      <c r="J734" t="s">
        <v>32</v>
      </c>
      <c r="K734" t="s">
        <v>33</v>
      </c>
      <c r="L734" t="s">
        <v>34</v>
      </c>
      <c r="M734" t="s">
        <v>111</v>
      </c>
      <c r="N734" t="s">
        <v>112</v>
      </c>
      <c r="O734" t="s">
        <v>37</v>
      </c>
      <c r="P734" t="s">
        <v>38</v>
      </c>
      <c r="Q734" t="s">
        <v>39</v>
      </c>
      <c r="R734" t="s">
        <v>40</v>
      </c>
      <c r="S734" s="1">
        <v>6096.1</v>
      </c>
      <c r="T734" s="1">
        <v>3754.6201000000001</v>
      </c>
      <c r="U734" s="1">
        <v>300.5428</v>
      </c>
      <c r="V734" s="1">
        <v>2341.4798999999998</v>
      </c>
      <c r="W734">
        <v>62</v>
      </c>
    </row>
    <row r="735" spans="1:23" hidden="1" x14ac:dyDescent="0.35">
      <c r="A735" t="s">
        <v>487</v>
      </c>
      <c r="B735" t="s">
        <v>488</v>
      </c>
      <c r="C735" t="s">
        <v>485</v>
      </c>
      <c r="D735" t="s">
        <v>45</v>
      </c>
      <c r="E735" t="s">
        <v>27</v>
      </c>
      <c r="F735" t="s">
        <v>46</v>
      </c>
      <c r="G735" t="s">
        <v>47</v>
      </c>
      <c r="H735" t="s">
        <v>30</v>
      </c>
      <c r="I735" t="s">
        <v>31</v>
      </c>
      <c r="J735" t="s">
        <v>32</v>
      </c>
      <c r="K735" t="s">
        <v>33</v>
      </c>
      <c r="L735" t="s">
        <v>34</v>
      </c>
      <c r="M735" t="s">
        <v>111</v>
      </c>
      <c r="N735" t="s">
        <v>112</v>
      </c>
      <c r="O735" t="s">
        <v>42</v>
      </c>
      <c r="P735" t="s">
        <v>43</v>
      </c>
      <c r="Q735" t="s">
        <v>39</v>
      </c>
      <c r="R735" t="s">
        <v>40</v>
      </c>
      <c r="S735" s="1">
        <v>97.5</v>
      </c>
      <c r="T735" s="1">
        <v>0</v>
      </c>
      <c r="U735" s="1">
        <v>0</v>
      </c>
      <c r="V735" s="1">
        <v>97.5</v>
      </c>
      <c r="W735">
        <v>0</v>
      </c>
    </row>
    <row r="736" spans="1:23" hidden="1" x14ac:dyDescent="0.35">
      <c r="A736" t="s">
        <v>487</v>
      </c>
      <c r="B736" t="s">
        <v>488</v>
      </c>
      <c r="C736" t="s">
        <v>113</v>
      </c>
      <c r="D736" t="s">
        <v>114</v>
      </c>
      <c r="E736" t="s">
        <v>115</v>
      </c>
      <c r="F736" t="s">
        <v>116</v>
      </c>
      <c r="G736" t="s">
        <v>117</v>
      </c>
      <c r="H736" t="s">
        <v>48</v>
      </c>
      <c r="I736" t="s">
        <v>49</v>
      </c>
      <c r="J736" t="s">
        <v>50</v>
      </c>
      <c r="K736" t="s">
        <v>33</v>
      </c>
      <c r="L736" t="s">
        <v>51</v>
      </c>
      <c r="M736" t="s">
        <v>118</v>
      </c>
      <c r="N736" t="s">
        <v>119</v>
      </c>
      <c r="O736" t="s">
        <v>37</v>
      </c>
      <c r="P736" t="s">
        <v>38</v>
      </c>
      <c r="Q736" t="s">
        <v>39</v>
      </c>
      <c r="R736" t="s">
        <v>40</v>
      </c>
      <c r="S736" s="1">
        <v>10451.6</v>
      </c>
      <c r="T736" s="1">
        <v>6671.1424999999999</v>
      </c>
      <c r="U736" s="1">
        <v>2045.3314</v>
      </c>
      <c r="V736" s="1">
        <v>3780.4575</v>
      </c>
      <c r="W736">
        <v>64</v>
      </c>
    </row>
    <row r="737" spans="1:23" hidden="1" x14ac:dyDescent="0.35">
      <c r="A737" t="s">
        <v>487</v>
      </c>
      <c r="B737" t="s">
        <v>488</v>
      </c>
      <c r="C737" t="s">
        <v>120</v>
      </c>
      <c r="D737" t="s">
        <v>114</v>
      </c>
      <c r="E737" t="s">
        <v>115</v>
      </c>
      <c r="F737" t="s">
        <v>116</v>
      </c>
      <c r="G737" t="s">
        <v>117</v>
      </c>
      <c r="H737" t="s">
        <v>48</v>
      </c>
      <c r="I737" t="s">
        <v>49</v>
      </c>
      <c r="J737" t="s">
        <v>50</v>
      </c>
      <c r="K737" t="s">
        <v>33</v>
      </c>
      <c r="L737" t="s">
        <v>51</v>
      </c>
      <c r="M737" t="s">
        <v>118</v>
      </c>
      <c r="N737" t="s">
        <v>119</v>
      </c>
      <c r="O737" t="s">
        <v>42</v>
      </c>
      <c r="P737" t="s">
        <v>43</v>
      </c>
      <c r="Q737" t="s">
        <v>39</v>
      </c>
      <c r="R737" t="s">
        <v>40</v>
      </c>
      <c r="S737" s="1">
        <v>9131.9</v>
      </c>
      <c r="T737" s="1">
        <v>5410.4978000000001</v>
      </c>
      <c r="U737" s="1">
        <v>43.0672</v>
      </c>
      <c r="V737" s="1">
        <v>3721.4022</v>
      </c>
      <c r="W737">
        <v>59</v>
      </c>
    </row>
    <row r="738" spans="1:23" hidden="1" x14ac:dyDescent="0.35">
      <c r="A738" t="s">
        <v>487</v>
      </c>
      <c r="B738" t="s">
        <v>488</v>
      </c>
      <c r="C738" t="s">
        <v>121</v>
      </c>
      <c r="D738" t="s">
        <v>114</v>
      </c>
      <c r="E738" t="s">
        <v>115</v>
      </c>
      <c r="F738" t="s">
        <v>116</v>
      </c>
      <c r="G738" t="s">
        <v>117</v>
      </c>
      <c r="H738" t="s">
        <v>48</v>
      </c>
      <c r="I738" t="s">
        <v>49</v>
      </c>
      <c r="J738" t="s">
        <v>50</v>
      </c>
      <c r="K738" t="s">
        <v>33</v>
      </c>
      <c r="L738" t="s">
        <v>51</v>
      </c>
      <c r="M738" t="s">
        <v>118</v>
      </c>
      <c r="N738" t="s">
        <v>119</v>
      </c>
      <c r="O738" t="s">
        <v>122</v>
      </c>
      <c r="P738" t="s">
        <v>123</v>
      </c>
      <c r="Q738" t="s">
        <v>39</v>
      </c>
      <c r="R738" t="s">
        <v>40</v>
      </c>
      <c r="S738" s="1">
        <v>8068.6</v>
      </c>
      <c r="T738" s="1">
        <v>5608.3874999999998</v>
      </c>
      <c r="U738" s="1">
        <v>0</v>
      </c>
      <c r="V738" s="1">
        <v>2460.2125000000001</v>
      </c>
      <c r="W738">
        <v>70</v>
      </c>
    </row>
    <row r="739" spans="1:23" hidden="1" x14ac:dyDescent="0.35">
      <c r="A739" t="s">
        <v>487</v>
      </c>
      <c r="B739" t="s">
        <v>488</v>
      </c>
      <c r="C739" t="s">
        <v>124</v>
      </c>
      <c r="D739" t="s">
        <v>114</v>
      </c>
      <c r="E739" t="s">
        <v>115</v>
      </c>
      <c r="F739" t="s">
        <v>116</v>
      </c>
      <c r="G739" t="s">
        <v>117</v>
      </c>
      <c r="H739" t="s">
        <v>48</v>
      </c>
      <c r="I739" t="s">
        <v>49</v>
      </c>
      <c r="J739" t="s">
        <v>50</v>
      </c>
      <c r="K739" t="s">
        <v>33</v>
      </c>
      <c r="L739" t="s">
        <v>51</v>
      </c>
      <c r="M739" t="s">
        <v>118</v>
      </c>
      <c r="N739" t="s">
        <v>119</v>
      </c>
      <c r="O739" t="s">
        <v>125</v>
      </c>
      <c r="P739" t="s">
        <v>126</v>
      </c>
      <c r="Q739" t="s">
        <v>39</v>
      </c>
      <c r="R739" t="s">
        <v>40</v>
      </c>
      <c r="S739" s="1">
        <v>3828.8</v>
      </c>
      <c r="T739" s="1">
        <v>2552.5104000000001</v>
      </c>
      <c r="U739" s="1">
        <v>674.48630000000003</v>
      </c>
      <c r="V739" s="1">
        <v>1276.2896000000001</v>
      </c>
      <c r="W739">
        <v>67</v>
      </c>
    </row>
    <row r="740" spans="1:23" hidden="1" x14ac:dyDescent="0.35">
      <c r="A740" t="s">
        <v>487</v>
      </c>
      <c r="B740" t="s">
        <v>488</v>
      </c>
      <c r="C740" t="s">
        <v>127</v>
      </c>
      <c r="D740" t="s">
        <v>114</v>
      </c>
      <c r="E740" t="s">
        <v>115</v>
      </c>
      <c r="F740" t="s">
        <v>116</v>
      </c>
      <c r="G740" t="s">
        <v>117</v>
      </c>
      <c r="H740" t="s">
        <v>48</v>
      </c>
      <c r="I740" t="s">
        <v>49</v>
      </c>
      <c r="J740" t="s">
        <v>50</v>
      </c>
      <c r="K740" t="s">
        <v>33</v>
      </c>
      <c r="L740" t="s">
        <v>51</v>
      </c>
      <c r="M740" t="s">
        <v>128</v>
      </c>
      <c r="N740" t="s">
        <v>129</v>
      </c>
      <c r="O740" t="s">
        <v>86</v>
      </c>
      <c r="P740" t="s">
        <v>87</v>
      </c>
      <c r="Q740" t="s">
        <v>39</v>
      </c>
      <c r="R740" t="s">
        <v>40</v>
      </c>
      <c r="S740" s="1">
        <v>19375.7</v>
      </c>
      <c r="T740" s="1">
        <v>4897.3999999999996</v>
      </c>
      <c r="U740" s="1">
        <v>4897.3999999999996</v>
      </c>
      <c r="V740" s="1">
        <v>14478.3</v>
      </c>
      <c r="W740">
        <v>25</v>
      </c>
    </row>
    <row r="741" spans="1:23" hidden="1" x14ac:dyDescent="0.35">
      <c r="A741" t="s">
        <v>487</v>
      </c>
      <c r="B741" t="s">
        <v>488</v>
      </c>
      <c r="C741" t="s">
        <v>130</v>
      </c>
      <c r="D741" t="s">
        <v>131</v>
      </c>
      <c r="E741" t="s">
        <v>115</v>
      </c>
      <c r="F741" t="s">
        <v>132</v>
      </c>
      <c r="G741" t="s">
        <v>133</v>
      </c>
      <c r="H741" t="s">
        <v>48</v>
      </c>
      <c r="I741" t="s">
        <v>49</v>
      </c>
      <c r="J741" t="s">
        <v>50</v>
      </c>
      <c r="K741" t="s">
        <v>33</v>
      </c>
      <c r="L741" t="s">
        <v>51</v>
      </c>
      <c r="M741" t="s">
        <v>134</v>
      </c>
      <c r="N741" t="s">
        <v>135</v>
      </c>
      <c r="O741" t="s">
        <v>37</v>
      </c>
      <c r="P741" t="s">
        <v>38</v>
      </c>
      <c r="Q741" t="s">
        <v>39</v>
      </c>
      <c r="R741" t="s">
        <v>40</v>
      </c>
      <c r="S741" s="1">
        <v>23.1</v>
      </c>
      <c r="T741" s="1">
        <v>18.925000000000001</v>
      </c>
      <c r="U741" s="1">
        <v>18.925000000000001</v>
      </c>
      <c r="V741" s="1">
        <v>4.1749999999999998</v>
      </c>
      <c r="W741">
        <v>82</v>
      </c>
    </row>
    <row r="742" spans="1:23" hidden="1" x14ac:dyDescent="0.35">
      <c r="A742" t="s">
        <v>487</v>
      </c>
      <c r="B742" t="s">
        <v>488</v>
      </c>
      <c r="C742" t="s">
        <v>445</v>
      </c>
      <c r="D742" t="s">
        <v>137</v>
      </c>
      <c r="E742" t="s">
        <v>138</v>
      </c>
      <c r="F742" t="s">
        <v>139</v>
      </c>
      <c r="G742" t="s">
        <v>140</v>
      </c>
      <c r="H742" t="s">
        <v>48</v>
      </c>
      <c r="I742" t="s">
        <v>49</v>
      </c>
      <c r="J742" t="s">
        <v>50</v>
      </c>
      <c r="K742" t="s">
        <v>33</v>
      </c>
      <c r="L742" t="s">
        <v>51</v>
      </c>
      <c r="M742" t="s">
        <v>446</v>
      </c>
      <c r="N742" t="s">
        <v>447</v>
      </c>
      <c r="O742" t="s">
        <v>37</v>
      </c>
      <c r="P742" t="s">
        <v>38</v>
      </c>
      <c r="Q742" t="s">
        <v>39</v>
      </c>
      <c r="R742" t="s">
        <v>40</v>
      </c>
      <c r="S742" s="1">
        <v>455.4</v>
      </c>
      <c r="T742" s="1">
        <v>0</v>
      </c>
      <c r="U742" s="1">
        <v>0</v>
      </c>
      <c r="V742" s="1">
        <v>455.4</v>
      </c>
      <c r="W742">
        <v>0</v>
      </c>
    </row>
    <row r="743" spans="1:23" hidden="1" x14ac:dyDescent="0.35">
      <c r="A743" t="s">
        <v>487</v>
      </c>
      <c r="B743" t="s">
        <v>488</v>
      </c>
      <c r="C743" t="s">
        <v>448</v>
      </c>
      <c r="D743" t="s">
        <v>137</v>
      </c>
      <c r="E743" t="s">
        <v>138</v>
      </c>
      <c r="F743" t="s">
        <v>139</v>
      </c>
      <c r="G743" t="s">
        <v>140</v>
      </c>
      <c r="H743" t="s">
        <v>48</v>
      </c>
      <c r="I743" t="s">
        <v>49</v>
      </c>
      <c r="J743" t="s">
        <v>50</v>
      </c>
      <c r="K743" t="s">
        <v>33</v>
      </c>
      <c r="L743" t="s">
        <v>51</v>
      </c>
      <c r="M743" t="s">
        <v>446</v>
      </c>
      <c r="N743" t="s">
        <v>447</v>
      </c>
      <c r="O743" t="s">
        <v>197</v>
      </c>
      <c r="P743" t="s">
        <v>198</v>
      </c>
      <c r="Q743" t="s">
        <v>39</v>
      </c>
      <c r="R743" t="s">
        <v>40</v>
      </c>
      <c r="S743" s="1">
        <v>36425.800000000003</v>
      </c>
      <c r="T743" s="1">
        <v>1047.9381000000001</v>
      </c>
      <c r="U743" s="1">
        <v>0</v>
      </c>
      <c r="V743" s="1">
        <v>35377.861900000004</v>
      </c>
      <c r="W743">
        <v>3</v>
      </c>
    </row>
    <row r="744" spans="1:23" hidden="1" x14ac:dyDescent="0.35">
      <c r="A744" t="s">
        <v>487</v>
      </c>
      <c r="B744" t="s">
        <v>488</v>
      </c>
      <c r="C744" t="s">
        <v>136</v>
      </c>
      <c r="D744" t="s">
        <v>137</v>
      </c>
      <c r="E744" t="s">
        <v>138</v>
      </c>
      <c r="F744" t="s">
        <v>139</v>
      </c>
      <c r="G744" t="s">
        <v>140</v>
      </c>
      <c r="H744" t="s">
        <v>30</v>
      </c>
      <c r="I744" t="s">
        <v>31</v>
      </c>
      <c r="J744" t="s">
        <v>32</v>
      </c>
      <c r="K744" t="s">
        <v>33</v>
      </c>
      <c r="L744" t="s">
        <v>34</v>
      </c>
      <c r="M744" t="s">
        <v>141</v>
      </c>
      <c r="N744" t="s">
        <v>142</v>
      </c>
      <c r="O744" t="s">
        <v>83</v>
      </c>
      <c r="P744" t="s">
        <v>84</v>
      </c>
      <c r="Q744" t="s">
        <v>39</v>
      </c>
      <c r="R744" t="s">
        <v>40</v>
      </c>
      <c r="S744" s="1">
        <v>5651.9</v>
      </c>
      <c r="T744" s="1">
        <v>1237.1952000000001</v>
      </c>
      <c r="U744" s="1">
        <v>307.08789999999999</v>
      </c>
      <c r="V744" s="1">
        <v>4414.7048000000004</v>
      </c>
      <c r="W744">
        <v>22</v>
      </c>
    </row>
    <row r="745" spans="1:23" hidden="1" x14ac:dyDescent="0.35">
      <c r="A745" t="s">
        <v>487</v>
      </c>
      <c r="B745" t="s">
        <v>488</v>
      </c>
      <c r="C745" t="s">
        <v>143</v>
      </c>
      <c r="D745" t="s">
        <v>144</v>
      </c>
      <c r="E745" t="s">
        <v>145</v>
      </c>
      <c r="F745" t="s">
        <v>146</v>
      </c>
      <c r="G745" t="s">
        <v>147</v>
      </c>
      <c r="H745" t="s">
        <v>116</v>
      </c>
      <c r="I745" t="s">
        <v>148</v>
      </c>
      <c r="J745" t="s">
        <v>149</v>
      </c>
      <c r="K745" t="s">
        <v>33</v>
      </c>
      <c r="L745" t="s">
        <v>34</v>
      </c>
      <c r="M745" t="s">
        <v>150</v>
      </c>
      <c r="N745" t="s">
        <v>151</v>
      </c>
      <c r="O745" t="s">
        <v>37</v>
      </c>
      <c r="P745" t="s">
        <v>38</v>
      </c>
      <c r="Q745" t="s">
        <v>39</v>
      </c>
      <c r="R745" t="s">
        <v>40</v>
      </c>
      <c r="S745" s="1">
        <v>5465.8</v>
      </c>
      <c r="T745" s="1">
        <v>0</v>
      </c>
      <c r="U745" s="1">
        <v>0</v>
      </c>
      <c r="V745" s="1">
        <v>5465.8</v>
      </c>
      <c r="W745">
        <v>0</v>
      </c>
    </row>
    <row r="746" spans="1:23" hidden="1" x14ac:dyDescent="0.35">
      <c r="A746" t="s">
        <v>487</v>
      </c>
      <c r="B746" t="s">
        <v>488</v>
      </c>
      <c r="C746" t="s">
        <v>152</v>
      </c>
      <c r="D746" t="s">
        <v>144</v>
      </c>
      <c r="E746" t="s">
        <v>145</v>
      </c>
      <c r="F746" t="s">
        <v>146</v>
      </c>
      <c r="G746" t="s">
        <v>147</v>
      </c>
      <c r="H746" t="s">
        <v>116</v>
      </c>
      <c r="I746" t="s">
        <v>148</v>
      </c>
      <c r="J746" t="s">
        <v>149</v>
      </c>
      <c r="K746" t="s">
        <v>33</v>
      </c>
      <c r="L746" t="s">
        <v>34</v>
      </c>
      <c r="M746" t="s">
        <v>153</v>
      </c>
      <c r="N746" t="s">
        <v>154</v>
      </c>
      <c r="O746" t="s">
        <v>37</v>
      </c>
      <c r="P746" t="s">
        <v>38</v>
      </c>
      <c r="Q746" t="s">
        <v>39</v>
      </c>
      <c r="R746" t="s">
        <v>40</v>
      </c>
      <c r="S746" s="1">
        <v>51391.8</v>
      </c>
      <c r="T746" s="1">
        <v>13940.956899999999</v>
      </c>
      <c r="U746" s="1">
        <v>7185.5142999999998</v>
      </c>
      <c r="V746" s="1">
        <v>37450.843099999998</v>
      </c>
      <c r="W746">
        <v>27</v>
      </c>
    </row>
    <row r="747" spans="1:23" hidden="1" x14ac:dyDescent="0.35">
      <c r="A747" t="s">
        <v>487</v>
      </c>
      <c r="B747" t="s">
        <v>488</v>
      </c>
      <c r="C747" t="s">
        <v>155</v>
      </c>
      <c r="D747" t="s">
        <v>144</v>
      </c>
      <c r="E747" t="s">
        <v>145</v>
      </c>
      <c r="F747" t="s">
        <v>146</v>
      </c>
      <c r="G747" t="s">
        <v>147</v>
      </c>
      <c r="H747" t="s">
        <v>116</v>
      </c>
      <c r="I747" t="s">
        <v>148</v>
      </c>
      <c r="J747" t="s">
        <v>149</v>
      </c>
      <c r="K747" t="s">
        <v>33</v>
      </c>
      <c r="L747" t="s">
        <v>34</v>
      </c>
      <c r="M747" t="s">
        <v>156</v>
      </c>
      <c r="N747" t="s">
        <v>157</v>
      </c>
      <c r="O747" t="s">
        <v>37</v>
      </c>
      <c r="P747" t="s">
        <v>38</v>
      </c>
      <c r="Q747" t="s">
        <v>39</v>
      </c>
      <c r="R747" t="s">
        <v>40</v>
      </c>
      <c r="S747" s="1">
        <v>3442.8</v>
      </c>
      <c r="T747" s="1">
        <v>2148.0954999999999</v>
      </c>
      <c r="U747" s="1">
        <v>769.09090000000003</v>
      </c>
      <c r="V747" s="1">
        <v>1294.7045000000001</v>
      </c>
      <c r="W747">
        <v>62</v>
      </c>
    </row>
    <row r="748" spans="1:23" hidden="1" x14ac:dyDescent="0.35">
      <c r="A748" t="s">
        <v>487</v>
      </c>
      <c r="B748" t="s">
        <v>488</v>
      </c>
      <c r="C748" t="s">
        <v>158</v>
      </c>
      <c r="D748" t="s">
        <v>144</v>
      </c>
      <c r="E748" t="s">
        <v>145</v>
      </c>
      <c r="F748" t="s">
        <v>146</v>
      </c>
      <c r="G748" t="s">
        <v>147</v>
      </c>
      <c r="H748" t="s">
        <v>116</v>
      </c>
      <c r="I748" t="s">
        <v>148</v>
      </c>
      <c r="J748" t="s">
        <v>149</v>
      </c>
      <c r="K748" t="s">
        <v>33</v>
      </c>
      <c r="L748" t="s">
        <v>34</v>
      </c>
      <c r="M748" t="s">
        <v>156</v>
      </c>
      <c r="N748" t="s">
        <v>157</v>
      </c>
      <c r="O748" t="s">
        <v>125</v>
      </c>
      <c r="P748" t="s">
        <v>126</v>
      </c>
      <c r="Q748" t="s">
        <v>39</v>
      </c>
      <c r="R748" t="s">
        <v>40</v>
      </c>
      <c r="S748" s="1">
        <v>86351.9</v>
      </c>
      <c r="T748" s="1">
        <v>61798.402499999997</v>
      </c>
      <c r="U748" s="1">
        <v>17790.924200000001</v>
      </c>
      <c r="V748" s="1">
        <v>24553.497500000001</v>
      </c>
      <c r="W748">
        <v>72</v>
      </c>
    </row>
    <row r="749" spans="1:23" hidden="1" x14ac:dyDescent="0.35">
      <c r="A749" t="s">
        <v>487</v>
      </c>
      <c r="B749" t="s">
        <v>488</v>
      </c>
      <c r="C749" t="s">
        <v>159</v>
      </c>
      <c r="D749" t="s">
        <v>144</v>
      </c>
      <c r="E749" t="s">
        <v>145</v>
      </c>
      <c r="F749" t="s">
        <v>146</v>
      </c>
      <c r="G749" t="s">
        <v>147</v>
      </c>
      <c r="H749" t="s">
        <v>116</v>
      </c>
      <c r="I749" t="s">
        <v>148</v>
      </c>
      <c r="J749" t="s">
        <v>149</v>
      </c>
      <c r="K749" t="s">
        <v>33</v>
      </c>
      <c r="L749" t="s">
        <v>34</v>
      </c>
      <c r="M749" t="s">
        <v>160</v>
      </c>
      <c r="N749" t="s">
        <v>161</v>
      </c>
      <c r="O749" t="s">
        <v>37</v>
      </c>
      <c r="P749" t="s">
        <v>38</v>
      </c>
      <c r="Q749" t="s">
        <v>39</v>
      </c>
      <c r="R749" t="s">
        <v>40</v>
      </c>
      <c r="S749" s="1">
        <v>16953.900000000001</v>
      </c>
      <c r="T749" s="1">
        <v>10400.175999999999</v>
      </c>
      <c r="U749" s="1">
        <v>2232.4097000000002</v>
      </c>
      <c r="V749" s="1">
        <v>6553.7240000000002</v>
      </c>
      <c r="W749">
        <v>61</v>
      </c>
    </row>
    <row r="750" spans="1:23" hidden="1" x14ac:dyDescent="0.35">
      <c r="A750" t="s">
        <v>487</v>
      </c>
      <c r="B750" t="s">
        <v>488</v>
      </c>
      <c r="C750" t="s">
        <v>162</v>
      </c>
      <c r="D750" t="s">
        <v>144</v>
      </c>
      <c r="E750" t="s">
        <v>145</v>
      </c>
      <c r="F750" t="s">
        <v>146</v>
      </c>
      <c r="G750" t="s">
        <v>147</v>
      </c>
      <c r="H750" t="s">
        <v>116</v>
      </c>
      <c r="I750" t="s">
        <v>148</v>
      </c>
      <c r="J750" t="s">
        <v>149</v>
      </c>
      <c r="K750" t="s">
        <v>33</v>
      </c>
      <c r="L750" t="s">
        <v>34</v>
      </c>
      <c r="M750" t="s">
        <v>160</v>
      </c>
      <c r="N750" t="s">
        <v>161</v>
      </c>
      <c r="O750" t="s">
        <v>42</v>
      </c>
      <c r="P750" t="s">
        <v>43</v>
      </c>
      <c r="Q750" t="s">
        <v>39</v>
      </c>
      <c r="R750" t="s">
        <v>40</v>
      </c>
      <c r="S750" s="1">
        <v>10536.1</v>
      </c>
      <c r="T750" s="1">
        <v>4620.9507999999996</v>
      </c>
      <c r="U750" s="1">
        <v>59.694200000000002</v>
      </c>
      <c r="V750" s="1">
        <v>5915.1491999999998</v>
      </c>
      <c r="W750">
        <v>44</v>
      </c>
    </row>
    <row r="751" spans="1:23" hidden="1" x14ac:dyDescent="0.35">
      <c r="A751" t="s">
        <v>487</v>
      </c>
      <c r="B751" t="s">
        <v>488</v>
      </c>
      <c r="C751" t="s">
        <v>163</v>
      </c>
      <c r="D751" t="s">
        <v>144</v>
      </c>
      <c r="E751" t="s">
        <v>145</v>
      </c>
      <c r="F751" t="s">
        <v>146</v>
      </c>
      <c r="G751" t="s">
        <v>147</v>
      </c>
      <c r="H751" t="s">
        <v>116</v>
      </c>
      <c r="I751" t="s">
        <v>148</v>
      </c>
      <c r="J751" t="s">
        <v>149</v>
      </c>
      <c r="K751" t="s">
        <v>33</v>
      </c>
      <c r="L751" t="s">
        <v>34</v>
      </c>
      <c r="M751" t="s">
        <v>160</v>
      </c>
      <c r="N751" t="s">
        <v>161</v>
      </c>
      <c r="O751" t="s">
        <v>125</v>
      </c>
      <c r="P751" t="s">
        <v>126</v>
      </c>
      <c r="Q751" t="s">
        <v>39</v>
      </c>
      <c r="R751" t="s">
        <v>40</v>
      </c>
      <c r="S751" s="1">
        <v>4003.4</v>
      </c>
      <c r="T751" s="1">
        <v>2897.9126999999999</v>
      </c>
      <c r="U751" s="1">
        <v>697.90279999999996</v>
      </c>
      <c r="V751" s="1">
        <v>1105.4873</v>
      </c>
      <c r="W751">
        <v>72</v>
      </c>
    </row>
    <row r="752" spans="1:23" hidden="1" x14ac:dyDescent="0.35">
      <c r="A752" t="s">
        <v>487</v>
      </c>
      <c r="B752" t="s">
        <v>488</v>
      </c>
      <c r="C752" t="s">
        <v>423</v>
      </c>
      <c r="D752" t="s">
        <v>165</v>
      </c>
      <c r="E752" t="s">
        <v>145</v>
      </c>
      <c r="F752" t="s">
        <v>28</v>
      </c>
      <c r="G752" t="s">
        <v>166</v>
      </c>
      <c r="H752" t="s">
        <v>139</v>
      </c>
      <c r="I752" t="s">
        <v>167</v>
      </c>
      <c r="J752" t="s">
        <v>168</v>
      </c>
      <c r="K752" t="s">
        <v>33</v>
      </c>
      <c r="L752" t="s">
        <v>51</v>
      </c>
      <c r="M752" t="s">
        <v>424</v>
      </c>
      <c r="N752" t="s">
        <v>425</v>
      </c>
      <c r="O752" t="s">
        <v>37</v>
      </c>
      <c r="P752" t="s">
        <v>38</v>
      </c>
      <c r="Q752" t="s">
        <v>39</v>
      </c>
      <c r="R752" t="s">
        <v>40</v>
      </c>
      <c r="S752" s="1">
        <v>894</v>
      </c>
      <c r="T752" s="1">
        <v>337.5</v>
      </c>
      <c r="U752" s="1">
        <v>0</v>
      </c>
      <c r="V752" s="1">
        <v>556.5</v>
      </c>
      <c r="W752">
        <v>38</v>
      </c>
    </row>
    <row r="753" spans="1:23" hidden="1" x14ac:dyDescent="0.35">
      <c r="A753" t="s">
        <v>487</v>
      </c>
      <c r="B753" t="s">
        <v>488</v>
      </c>
      <c r="C753" t="s">
        <v>164</v>
      </c>
      <c r="D753" t="s">
        <v>165</v>
      </c>
      <c r="E753" t="s">
        <v>145</v>
      </c>
      <c r="F753" t="s">
        <v>28</v>
      </c>
      <c r="G753" t="s">
        <v>166</v>
      </c>
      <c r="H753" t="s">
        <v>139</v>
      </c>
      <c r="I753" t="s">
        <v>167</v>
      </c>
      <c r="J753" t="s">
        <v>168</v>
      </c>
      <c r="K753" t="s">
        <v>33</v>
      </c>
      <c r="L753" t="s">
        <v>51</v>
      </c>
      <c r="M753" t="s">
        <v>169</v>
      </c>
      <c r="N753" t="s">
        <v>170</v>
      </c>
      <c r="O753" t="s">
        <v>37</v>
      </c>
      <c r="P753" t="s">
        <v>38</v>
      </c>
      <c r="Q753" t="s">
        <v>39</v>
      </c>
      <c r="R753" t="s">
        <v>40</v>
      </c>
      <c r="S753" s="1">
        <v>39130.300000000003</v>
      </c>
      <c r="T753" s="1">
        <v>7534.9349000000002</v>
      </c>
      <c r="U753" s="1">
        <v>1015.4012</v>
      </c>
      <c r="V753" s="1">
        <v>31595.365099999999</v>
      </c>
      <c r="W753">
        <v>19</v>
      </c>
    </row>
    <row r="754" spans="1:23" hidden="1" x14ac:dyDescent="0.35">
      <c r="A754" t="s">
        <v>487</v>
      </c>
      <c r="B754" t="s">
        <v>488</v>
      </c>
      <c r="C754" t="s">
        <v>171</v>
      </c>
      <c r="D754" t="s">
        <v>165</v>
      </c>
      <c r="E754" t="s">
        <v>145</v>
      </c>
      <c r="F754" t="s">
        <v>28</v>
      </c>
      <c r="G754" t="s">
        <v>166</v>
      </c>
      <c r="H754" t="s">
        <v>139</v>
      </c>
      <c r="I754" t="s">
        <v>167</v>
      </c>
      <c r="J754" t="s">
        <v>168</v>
      </c>
      <c r="K754" t="s">
        <v>33</v>
      </c>
      <c r="L754" t="s">
        <v>51</v>
      </c>
      <c r="M754" t="s">
        <v>172</v>
      </c>
      <c r="N754" t="s">
        <v>173</v>
      </c>
      <c r="O754" t="s">
        <v>37</v>
      </c>
      <c r="P754" t="s">
        <v>38</v>
      </c>
      <c r="Q754" t="s">
        <v>39</v>
      </c>
      <c r="R754" t="s">
        <v>40</v>
      </c>
      <c r="S754" s="1">
        <v>8650</v>
      </c>
      <c r="T754" s="1">
        <v>7072.3534</v>
      </c>
      <c r="U754" s="1">
        <v>0</v>
      </c>
      <c r="V754" s="1">
        <v>1577.6466</v>
      </c>
      <c r="W754">
        <v>82</v>
      </c>
    </row>
    <row r="755" spans="1:23" hidden="1" x14ac:dyDescent="0.35">
      <c r="A755" t="s">
        <v>487</v>
      </c>
      <c r="B755" t="s">
        <v>488</v>
      </c>
      <c r="C755" t="s">
        <v>470</v>
      </c>
      <c r="D755" t="s">
        <v>165</v>
      </c>
      <c r="E755" t="s">
        <v>145</v>
      </c>
      <c r="F755" t="s">
        <v>28</v>
      </c>
      <c r="G755" t="s">
        <v>166</v>
      </c>
      <c r="H755" t="s">
        <v>139</v>
      </c>
      <c r="I755" t="s">
        <v>167</v>
      </c>
      <c r="J755" t="s">
        <v>168</v>
      </c>
      <c r="K755" t="s">
        <v>33</v>
      </c>
      <c r="L755" t="s">
        <v>51</v>
      </c>
      <c r="M755" t="s">
        <v>471</v>
      </c>
      <c r="N755" t="s">
        <v>472</v>
      </c>
      <c r="O755" t="s">
        <v>37</v>
      </c>
      <c r="P755" t="s">
        <v>38</v>
      </c>
      <c r="Q755" t="s">
        <v>39</v>
      </c>
      <c r="R755" t="s">
        <v>40</v>
      </c>
      <c r="S755" s="1">
        <v>21254.1</v>
      </c>
      <c r="T755" s="1">
        <v>0</v>
      </c>
      <c r="U755" s="1">
        <v>0</v>
      </c>
      <c r="V755" s="1">
        <v>21254.1</v>
      </c>
      <c r="W755">
        <v>0</v>
      </c>
    </row>
    <row r="756" spans="1:23" hidden="1" x14ac:dyDescent="0.35">
      <c r="A756" t="s">
        <v>487</v>
      </c>
      <c r="B756" t="s">
        <v>488</v>
      </c>
      <c r="C756" t="s">
        <v>174</v>
      </c>
      <c r="D756" t="s">
        <v>175</v>
      </c>
      <c r="E756" t="s">
        <v>145</v>
      </c>
      <c r="F756" t="s">
        <v>176</v>
      </c>
      <c r="G756" t="s">
        <v>177</v>
      </c>
      <c r="H756" t="s">
        <v>116</v>
      </c>
      <c r="I756" t="s">
        <v>148</v>
      </c>
      <c r="J756" t="s">
        <v>149</v>
      </c>
      <c r="K756" t="s">
        <v>33</v>
      </c>
      <c r="L756" t="s">
        <v>34</v>
      </c>
      <c r="M756" t="s">
        <v>178</v>
      </c>
      <c r="N756" t="s">
        <v>179</v>
      </c>
      <c r="O756" t="s">
        <v>96</v>
      </c>
      <c r="P756" t="s">
        <v>97</v>
      </c>
      <c r="Q756" t="s">
        <v>39</v>
      </c>
      <c r="R756" t="s">
        <v>40</v>
      </c>
      <c r="S756" s="1">
        <v>586162.9</v>
      </c>
      <c r="T756" s="1">
        <v>327220.9326</v>
      </c>
      <c r="U756" s="1">
        <v>46956.894999999997</v>
      </c>
      <c r="V756" s="1">
        <v>258941.96739999999</v>
      </c>
      <c r="W756">
        <v>56</v>
      </c>
    </row>
    <row r="757" spans="1:23" hidden="1" x14ac:dyDescent="0.35">
      <c r="A757" t="s">
        <v>487</v>
      </c>
      <c r="B757" t="s">
        <v>488</v>
      </c>
      <c r="C757" t="s">
        <v>180</v>
      </c>
      <c r="D757" t="s">
        <v>175</v>
      </c>
      <c r="E757" t="s">
        <v>145</v>
      </c>
      <c r="F757" t="s">
        <v>176</v>
      </c>
      <c r="G757" t="s">
        <v>177</v>
      </c>
      <c r="H757" t="s">
        <v>116</v>
      </c>
      <c r="I757" t="s">
        <v>148</v>
      </c>
      <c r="J757" t="s">
        <v>149</v>
      </c>
      <c r="K757" t="s">
        <v>33</v>
      </c>
      <c r="L757" t="s">
        <v>34</v>
      </c>
      <c r="M757" t="s">
        <v>178</v>
      </c>
      <c r="N757" t="s">
        <v>179</v>
      </c>
      <c r="O757" t="s">
        <v>99</v>
      </c>
      <c r="P757" t="s">
        <v>100</v>
      </c>
      <c r="Q757" t="s">
        <v>39</v>
      </c>
      <c r="R757" t="s">
        <v>40</v>
      </c>
      <c r="S757" s="1">
        <v>176381.2</v>
      </c>
      <c r="T757" s="1">
        <v>92896.945800000001</v>
      </c>
      <c r="U757" s="1">
        <v>6372.8175000000001</v>
      </c>
      <c r="V757" s="1">
        <v>83484.254199999996</v>
      </c>
      <c r="W757">
        <v>53</v>
      </c>
    </row>
    <row r="758" spans="1:23" hidden="1" x14ac:dyDescent="0.35">
      <c r="A758" t="s">
        <v>487</v>
      </c>
      <c r="B758" t="s">
        <v>488</v>
      </c>
      <c r="C758" t="s">
        <v>181</v>
      </c>
      <c r="D758" t="s">
        <v>175</v>
      </c>
      <c r="E758" t="s">
        <v>145</v>
      </c>
      <c r="F758" t="s">
        <v>176</v>
      </c>
      <c r="G758" t="s">
        <v>177</v>
      </c>
      <c r="H758" t="s">
        <v>116</v>
      </c>
      <c r="I758" t="s">
        <v>148</v>
      </c>
      <c r="J758" t="s">
        <v>149</v>
      </c>
      <c r="K758" t="s">
        <v>33</v>
      </c>
      <c r="L758" t="s">
        <v>34</v>
      </c>
      <c r="M758" t="s">
        <v>178</v>
      </c>
      <c r="N758" t="s">
        <v>179</v>
      </c>
      <c r="O758" t="s">
        <v>37</v>
      </c>
      <c r="P758" t="s">
        <v>38</v>
      </c>
      <c r="Q758" t="s">
        <v>39</v>
      </c>
      <c r="R758" t="s">
        <v>40</v>
      </c>
      <c r="S758" s="1">
        <v>124679.9</v>
      </c>
      <c r="T758" s="1">
        <v>48724.630700000002</v>
      </c>
      <c r="U758" s="1">
        <v>7722.8828000000003</v>
      </c>
      <c r="V758" s="1">
        <v>75955.2693</v>
      </c>
      <c r="W758">
        <v>39</v>
      </c>
    </row>
    <row r="759" spans="1:23" hidden="1" x14ac:dyDescent="0.35">
      <c r="A759" t="s">
        <v>487</v>
      </c>
      <c r="B759" t="s">
        <v>488</v>
      </c>
      <c r="C759" t="s">
        <v>182</v>
      </c>
      <c r="D759" t="s">
        <v>175</v>
      </c>
      <c r="E759" t="s">
        <v>145</v>
      </c>
      <c r="F759" t="s">
        <v>176</v>
      </c>
      <c r="G759" t="s">
        <v>177</v>
      </c>
      <c r="H759" t="s">
        <v>116</v>
      </c>
      <c r="I759" t="s">
        <v>148</v>
      </c>
      <c r="J759" t="s">
        <v>149</v>
      </c>
      <c r="K759" t="s">
        <v>33</v>
      </c>
      <c r="L759" t="s">
        <v>34</v>
      </c>
      <c r="M759" t="s">
        <v>178</v>
      </c>
      <c r="N759" t="s">
        <v>179</v>
      </c>
      <c r="O759" t="s">
        <v>42</v>
      </c>
      <c r="P759" t="s">
        <v>43</v>
      </c>
      <c r="Q759" t="s">
        <v>39</v>
      </c>
      <c r="R759" t="s">
        <v>40</v>
      </c>
      <c r="S759" s="1">
        <v>8102</v>
      </c>
      <c r="T759" s="1">
        <v>3603.5614999999998</v>
      </c>
      <c r="U759" s="1">
        <v>412.55380000000002</v>
      </c>
      <c r="V759" s="1">
        <v>4498.4385000000002</v>
      </c>
      <c r="W759">
        <v>44</v>
      </c>
    </row>
    <row r="760" spans="1:23" hidden="1" x14ac:dyDescent="0.35">
      <c r="A760" t="s">
        <v>487</v>
      </c>
      <c r="B760" t="s">
        <v>488</v>
      </c>
      <c r="C760" t="s">
        <v>486</v>
      </c>
      <c r="D760" t="s">
        <v>175</v>
      </c>
      <c r="E760" t="s">
        <v>145</v>
      </c>
      <c r="F760" t="s">
        <v>176</v>
      </c>
      <c r="G760" t="s">
        <v>177</v>
      </c>
      <c r="H760" t="s">
        <v>116</v>
      </c>
      <c r="I760" t="s">
        <v>148</v>
      </c>
      <c r="J760" t="s">
        <v>149</v>
      </c>
      <c r="K760" t="s">
        <v>33</v>
      </c>
      <c r="L760" t="s">
        <v>34</v>
      </c>
      <c r="M760" t="s">
        <v>178</v>
      </c>
      <c r="N760" t="s">
        <v>179</v>
      </c>
      <c r="O760" t="s">
        <v>91</v>
      </c>
      <c r="P760" t="s">
        <v>92</v>
      </c>
      <c r="Q760" t="s">
        <v>39</v>
      </c>
      <c r="R760" t="s">
        <v>40</v>
      </c>
      <c r="S760" s="1">
        <v>193.7</v>
      </c>
      <c r="T760" s="1">
        <v>193.48070000000001</v>
      </c>
      <c r="U760" s="1">
        <v>161.13900000000001</v>
      </c>
      <c r="V760" s="1">
        <v>0.21929999999999999</v>
      </c>
      <c r="W760">
        <v>100</v>
      </c>
    </row>
    <row r="761" spans="1:23" hidden="1" x14ac:dyDescent="0.35">
      <c r="A761" t="s">
        <v>487</v>
      </c>
      <c r="B761" t="s">
        <v>488</v>
      </c>
      <c r="C761" t="s">
        <v>183</v>
      </c>
      <c r="D761" t="s">
        <v>175</v>
      </c>
      <c r="E761" t="s">
        <v>145</v>
      </c>
      <c r="F761" t="s">
        <v>176</v>
      </c>
      <c r="G761" t="s">
        <v>177</v>
      </c>
      <c r="H761" t="s">
        <v>116</v>
      </c>
      <c r="I761" t="s">
        <v>148</v>
      </c>
      <c r="J761" t="s">
        <v>149</v>
      </c>
      <c r="K761" t="s">
        <v>33</v>
      </c>
      <c r="L761" t="s">
        <v>34</v>
      </c>
      <c r="M761" t="s">
        <v>178</v>
      </c>
      <c r="N761" t="s">
        <v>179</v>
      </c>
      <c r="O761" t="s">
        <v>122</v>
      </c>
      <c r="P761" t="s">
        <v>123</v>
      </c>
      <c r="Q761" t="s">
        <v>39</v>
      </c>
      <c r="R761" t="s">
        <v>40</v>
      </c>
      <c r="S761" s="1">
        <v>183.2</v>
      </c>
      <c r="T761" s="1">
        <v>89.35</v>
      </c>
      <c r="U761" s="1">
        <v>0</v>
      </c>
      <c r="V761" s="1">
        <v>93.85</v>
      </c>
      <c r="W761">
        <v>49</v>
      </c>
    </row>
    <row r="762" spans="1:23" hidden="1" x14ac:dyDescent="0.35">
      <c r="A762" t="s">
        <v>487</v>
      </c>
      <c r="B762" t="s">
        <v>488</v>
      </c>
      <c r="C762" t="s">
        <v>184</v>
      </c>
      <c r="D762" t="s">
        <v>175</v>
      </c>
      <c r="E762" t="s">
        <v>145</v>
      </c>
      <c r="F762" t="s">
        <v>176</v>
      </c>
      <c r="G762" t="s">
        <v>177</v>
      </c>
      <c r="H762" t="s">
        <v>116</v>
      </c>
      <c r="I762" t="s">
        <v>148</v>
      </c>
      <c r="J762" t="s">
        <v>149</v>
      </c>
      <c r="K762" t="s">
        <v>33</v>
      </c>
      <c r="L762" t="s">
        <v>34</v>
      </c>
      <c r="M762" t="s">
        <v>178</v>
      </c>
      <c r="N762" t="s">
        <v>179</v>
      </c>
      <c r="O762" t="s">
        <v>103</v>
      </c>
      <c r="P762" t="s">
        <v>104</v>
      </c>
      <c r="Q762" t="s">
        <v>39</v>
      </c>
      <c r="R762" t="s">
        <v>40</v>
      </c>
      <c r="S762" s="1">
        <v>2450.3000000000002</v>
      </c>
      <c r="T762" s="1">
        <v>823.31200000000001</v>
      </c>
      <c r="U762" s="1">
        <v>185.148</v>
      </c>
      <c r="V762" s="1">
        <v>1626.9880000000001</v>
      </c>
      <c r="W762">
        <v>34</v>
      </c>
    </row>
    <row r="763" spans="1:23" hidden="1" x14ac:dyDescent="0.35">
      <c r="A763" t="s">
        <v>487</v>
      </c>
      <c r="B763" t="s">
        <v>488</v>
      </c>
      <c r="C763" t="s">
        <v>473</v>
      </c>
      <c r="D763" t="s">
        <v>175</v>
      </c>
      <c r="E763" t="s">
        <v>145</v>
      </c>
      <c r="F763" t="s">
        <v>176</v>
      </c>
      <c r="G763" t="s">
        <v>177</v>
      </c>
      <c r="H763" t="s">
        <v>116</v>
      </c>
      <c r="I763" t="s">
        <v>148</v>
      </c>
      <c r="J763" t="s">
        <v>149</v>
      </c>
      <c r="K763" t="s">
        <v>33</v>
      </c>
      <c r="L763" t="s">
        <v>34</v>
      </c>
      <c r="M763" t="s">
        <v>474</v>
      </c>
      <c r="N763" t="s">
        <v>475</v>
      </c>
      <c r="O763" t="s">
        <v>37</v>
      </c>
      <c r="P763" t="s">
        <v>38</v>
      </c>
      <c r="Q763" t="s">
        <v>39</v>
      </c>
      <c r="R763" t="s">
        <v>40</v>
      </c>
      <c r="S763" s="1">
        <v>824.6</v>
      </c>
      <c r="T763" s="1">
        <v>0</v>
      </c>
      <c r="U763" s="1">
        <v>0</v>
      </c>
      <c r="V763" s="1">
        <v>824.6</v>
      </c>
      <c r="W763">
        <v>0</v>
      </c>
    </row>
    <row r="764" spans="1:23" x14ac:dyDescent="0.35">
      <c r="A764" s="3" t="s">
        <v>487</v>
      </c>
      <c r="B764" s="3" t="s">
        <v>488</v>
      </c>
      <c r="C764" s="3" t="s">
        <v>185</v>
      </c>
      <c r="D764" s="3" t="s">
        <v>186</v>
      </c>
      <c r="E764" s="3" t="s">
        <v>187</v>
      </c>
      <c r="F764" s="3" t="s">
        <v>146</v>
      </c>
      <c r="G764" s="3" t="s">
        <v>188</v>
      </c>
      <c r="H764" s="3" t="s">
        <v>189</v>
      </c>
      <c r="I764" s="3" t="s">
        <v>190</v>
      </c>
      <c r="J764" s="3" t="s">
        <v>191</v>
      </c>
      <c r="K764" s="3" t="s">
        <v>33</v>
      </c>
      <c r="L764" s="3" t="s">
        <v>34</v>
      </c>
      <c r="M764" s="3" t="s">
        <v>192</v>
      </c>
      <c r="N764" s="3" t="s">
        <v>193</v>
      </c>
      <c r="O764" s="3" t="s">
        <v>108</v>
      </c>
      <c r="P764" s="3" t="s">
        <v>109</v>
      </c>
      <c r="Q764" s="3" t="s">
        <v>39</v>
      </c>
      <c r="R764" s="3" t="s">
        <v>40</v>
      </c>
      <c r="S764" s="7">
        <v>5665542.5999999996</v>
      </c>
      <c r="T764" s="7">
        <v>3173489.4676000001</v>
      </c>
      <c r="U764" s="7">
        <v>568725.24919999996</v>
      </c>
      <c r="V764" s="7">
        <v>2492053.1324</v>
      </c>
      <c r="W764" s="3">
        <v>56</v>
      </c>
    </row>
    <row r="765" spans="1:23" x14ac:dyDescent="0.35">
      <c r="A765" s="3" t="s">
        <v>487</v>
      </c>
      <c r="B765" s="3" t="s">
        <v>488</v>
      </c>
      <c r="C765" s="3" t="s">
        <v>426</v>
      </c>
      <c r="D765" s="3" t="s">
        <v>186</v>
      </c>
      <c r="E765" s="3" t="s">
        <v>187</v>
      </c>
      <c r="F765" s="3" t="s">
        <v>146</v>
      </c>
      <c r="G765" s="3" t="s">
        <v>188</v>
      </c>
      <c r="H765" s="3" t="s">
        <v>189</v>
      </c>
      <c r="I765" s="3" t="s">
        <v>190</v>
      </c>
      <c r="J765" s="3" t="s">
        <v>191</v>
      </c>
      <c r="K765" s="3" t="s">
        <v>33</v>
      </c>
      <c r="L765" s="3" t="s">
        <v>34</v>
      </c>
      <c r="M765" s="3" t="s">
        <v>427</v>
      </c>
      <c r="N765" s="3" t="s">
        <v>428</v>
      </c>
      <c r="O765" s="3" t="s">
        <v>197</v>
      </c>
      <c r="P765" s="3" t="s">
        <v>198</v>
      </c>
      <c r="Q765" s="3" t="s">
        <v>39</v>
      </c>
      <c r="R765" s="3" t="s">
        <v>40</v>
      </c>
      <c r="S765" s="7">
        <v>4200</v>
      </c>
      <c r="T765" s="7">
        <v>0</v>
      </c>
      <c r="U765" s="7">
        <v>0</v>
      </c>
      <c r="V765" s="7">
        <v>4200</v>
      </c>
      <c r="W765" s="3">
        <v>0</v>
      </c>
    </row>
    <row r="766" spans="1:23" x14ac:dyDescent="0.35">
      <c r="A766" s="3" t="s">
        <v>487</v>
      </c>
      <c r="B766" s="3" t="s">
        <v>488</v>
      </c>
      <c r="C766" s="3" t="s">
        <v>194</v>
      </c>
      <c r="D766" s="3" t="s">
        <v>186</v>
      </c>
      <c r="E766" s="3" t="s">
        <v>187</v>
      </c>
      <c r="F766" s="3" t="s">
        <v>146</v>
      </c>
      <c r="G766" s="3" t="s">
        <v>188</v>
      </c>
      <c r="H766" s="3" t="s">
        <v>189</v>
      </c>
      <c r="I766" s="3" t="s">
        <v>190</v>
      </c>
      <c r="J766" s="3" t="s">
        <v>191</v>
      </c>
      <c r="K766" s="3" t="s">
        <v>33</v>
      </c>
      <c r="L766" s="3" t="s">
        <v>34</v>
      </c>
      <c r="M766" s="3" t="s">
        <v>195</v>
      </c>
      <c r="N766" s="3" t="s">
        <v>196</v>
      </c>
      <c r="O766" s="3" t="s">
        <v>197</v>
      </c>
      <c r="P766" s="3" t="s">
        <v>198</v>
      </c>
      <c r="Q766" s="3" t="s">
        <v>39</v>
      </c>
      <c r="R766" s="3" t="s">
        <v>40</v>
      </c>
      <c r="S766" s="7">
        <v>19486.7</v>
      </c>
      <c r="T766" s="7">
        <v>12332.049499999999</v>
      </c>
      <c r="U766" s="7">
        <v>4256.6455999999998</v>
      </c>
      <c r="V766" s="7">
        <v>7154.6504999999997</v>
      </c>
      <c r="W766" s="3">
        <v>63</v>
      </c>
    </row>
    <row r="767" spans="1:23" x14ac:dyDescent="0.35">
      <c r="A767" s="3" t="s">
        <v>487</v>
      </c>
      <c r="B767" s="3" t="s">
        <v>488</v>
      </c>
      <c r="C767" s="3" t="s">
        <v>449</v>
      </c>
      <c r="D767" s="3" t="s">
        <v>186</v>
      </c>
      <c r="E767" s="3" t="s">
        <v>187</v>
      </c>
      <c r="F767" s="3" t="s">
        <v>146</v>
      </c>
      <c r="G767" s="3" t="s">
        <v>188</v>
      </c>
      <c r="H767" s="3" t="s">
        <v>189</v>
      </c>
      <c r="I767" s="3" t="s">
        <v>190</v>
      </c>
      <c r="J767" s="3" t="s">
        <v>191</v>
      </c>
      <c r="K767" s="3" t="s">
        <v>33</v>
      </c>
      <c r="L767" s="3" t="s">
        <v>34</v>
      </c>
      <c r="M767" s="3" t="s">
        <v>450</v>
      </c>
      <c r="N767" s="3" t="s">
        <v>451</v>
      </c>
      <c r="O767" s="3" t="s">
        <v>197</v>
      </c>
      <c r="P767" s="3" t="s">
        <v>198</v>
      </c>
      <c r="Q767" s="3" t="s">
        <v>39</v>
      </c>
      <c r="R767" s="3" t="s">
        <v>40</v>
      </c>
      <c r="S767" s="7">
        <v>25400</v>
      </c>
      <c r="T767" s="7">
        <v>6440.9309000000003</v>
      </c>
      <c r="U767" s="7">
        <v>4163.1079</v>
      </c>
      <c r="V767" s="7">
        <v>18959.069100000001</v>
      </c>
      <c r="W767" s="3">
        <v>25</v>
      </c>
    </row>
    <row r="768" spans="1:23" x14ac:dyDescent="0.35">
      <c r="A768" s="3" t="s">
        <v>487</v>
      </c>
      <c r="B768" s="3" t="s">
        <v>488</v>
      </c>
      <c r="C768" s="3" t="s">
        <v>429</v>
      </c>
      <c r="D768" s="3" t="s">
        <v>200</v>
      </c>
      <c r="E768" s="3" t="s">
        <v>187</v>
      </c>
      <c r="F768" s="3" t="s">
        <v>189</v>
      </c>
      <c r="G768" s="3" t="s">
        <v>201</v>
      </c>
      <c r="H768" s="3" t="s">
        <v>189</v>
      </c>
      <c r="I768" s="3" t="s">
        <v>190</v>
      </c>
      <c r="J768" s="3" t="s">
        <v>202</v>
      </c>
      <c r="K768" s="3" t="s">
        <v>23</v>
      </c>
      <c r="L768" s="3" t="s">
        <v>203</v>
      </c>
      <c r="M768" s="3" t="s">
        <v>430</v>
      </c>
      <c r="N768" s="3" t="s">
        <v>431</v>
      </c>
      <c r="O768" s="3" t="s">
        <v>197</v>
      </c>
      <c r="P768" s="3" t="s">
        <v>198</v>
      </c>
      <c r="Q768" s="3" t="s">
        <v>39</v>
      </c>
      <c r="R768" s="3" t="s">
        <v>40</v>
      </c>
      <c r="S768" s="7">
        <v>6609.5</v>
      </c>
      <c r="T768" s="7">
        <v>6609.2277999999997</v>
      </c>
      <c r="U768" s="7">
        <v>0</v>
      </c>
      <c r="V768" s="7">
        <v>0.2722</v>
      </c>
      <c r="W768" s="3">
        <v>100</v>
      </c>
    </row>
    <row r="769" spans="1:23" x14ac:dyDescent="0.35">
      <c r="A769" s="3" t="s">
        <v>487</v>
      </c>
      <c r="B769" s="3" t="s">
        <v>488</v>
      </c>
      <c r="C769" s="3" t="s">
        <v>199</v>
      </c>
      <c r="D769" s="3" t="s">
        <v>200</v>
      </c>
      <c r="E769" s="3" t="s">
        <v>187</v>
      </c>
      <c r="F769" s="3" t="s">
        <v>189</v>
      </c>
      <c r="G769" s="3" t="s">
        <v>201</v>
      </c>
      <c r="H769" s="3" t="s">
        <v>189</v>
      </c>
      <c r="I769" s="3" t="s">
        <v>190</v>
      </c>
      <c r="J769" s="3" t="s">
        <v>202</v>
      </c>
      <c r="K769" s="3" t="s">
        <v>23</v>
      </c>
      <c r="L769" s="3" t="s">
        <v>203</v>
      </c>
      <c r="M769" s="3" t="s">
        <v>204</v>
      </c>
      <c r="N769" s="3" t="s">
        <v>205</v>
      </c>
      <c r="O769" s="3" t="s">
        <v>197</v>
      </c>
      <c r="P769" s="3" t="s">
        <v>198</v>
      </c>
      <c r="Q769" s="3" t="s">
        <v>39</v>
      </c>
      <c r="R769" s="3" t="s">
        <v>40</v>
      </c>
      <c r="S769" s="7">
        <v>19701.3</v>
      </c>
      <c r="T769" s="7">
        <v>13133.406199999999</v>
      </c>
      <c r="U769" s="7">
        <v>0</v>
      </c>
      <c r="V769" s="7">
        <v>6567.8937999999998</v>
      </c>
      <c r="W769" s="3">
        <v>67</v>
      </c>
    </row>
    <row r="770" spans="1:23" x14ac:dyDescent="0.35">
      <c r="A770" s="3" t="s">
        <v>487</v>
      </c>
      <c r="B770" s="3" t="s">
        <v>488</v>
      </c>
      <c r="C770" s="3" t="s">
        <v>206</v>
      </c>
      <c r="D770" s="3" t="s">
        <v>200</v>
      </c>
      <c r="E770" s="3" t="s">
        <v>187</v>
      </c>
      <c r="F770" s="3" t="s">
        <v>189</v>
      </c>
      <c r="G770" s="3" t="s">
        <v>201</v>
      </c>
      <c r="H770" s="3" t="s">
        <v>189</v>
      </c>
      <c r="I770" s="3" t="s">
        <v>190</v>
      </c>
      <c r="J770" s="3" t="s">
        <v>202</v>
      </c>
      <c r="K770" s="3" t="s">
        <v>23</v>
      </c>
      <c r="L770" s="3" t="s">
        <v>203</v>
      </c>
      <c r="M770" s="3" t="s">
        <v>207</v>
      </c>
      <c r="N770" s="3" t="s">
        <v>208</v>
      </c>
      <c r="O770" s="3" t="s">
        <v>197</v>
      </c>
      <c r="P770" s="3" t="s">
        <v>198</v>
      </c>
      <c r="Q770" s="3" t="s">
        <v>39</v>
      </c>
      <c r="R770" s="3" t="s">
        <v>40</v>
      </c>
      <c r="S770" s="7">
        <v>98275</v>
      </c>
      <c r="T770" s="7">
        <v>66032.3</v>
      </c>
      <c r="U770" s="7">
        <v>0</v>
      </c>
      <c r="V770" s="7">
        <v>32242.7</v>
      </c>
      <c r="W770" s="3">
        <v>67</v>
      </c>
    </row>
    <row r="771" spans="1:23" x14ac:dyDescent="0.35">
      <c r="A771" s="3" t="s">
        <v>487</v>
      </c>
      <c r="B771" s="3" t="s">
        <v>488</v>
      </c>
      <c r="C771" s="3" t="s">
        <v>209</v>
      </c>
      <c r="D771" s="3" t="s">
        <v>200</v>
      </c>
      <c r="E771" s="3" t="s">
        <v>187</v>
      </c>
      <c r="F771" s="3" t="s">
        <v>189</v>
      </c>
      <c r="G771" s="3" t="s">
        <v>201</v>
      </c>
      <c r="H771" s="3" t="s">
        <v>189</v>
      </c>
      <c r="I771" s="3" t="s">
        <v>190</v>
      </c>
      <c r="J771" s="3" t="s">
        <v>191</v>
      </c>
      <c r="K771" s="3" t="s">
        <v>33</v>
      </c>
      <c r="L771" s="3" t="s">
        <v>34</v>
      </c>
      <c r="M771" s="3" t="s">
        <v>210</v>
      </c>
      <c r="N771" s="3" t="s">
        <v>211</v>
      </c>
      <c r="O771" s="3" t="s">
        <v>108</v>
      </c>
      <c r="P771" s="3" t="s">
        <v>109</v>
      </c>
      <c r="Q771" s="3" t="s">
        <v>39</v>
      </c>
      <c r="R771" s="3" t="s">
        <v>40</v>
      </c>
      <c r="S771" s="7">
        <v>5474469.7000000002</v>
      </c>
      <c r="T771" s="7">
        <v>3428992.3330000001</v>
      </c>
      <c r="U771" s="7">
        <v>471767.14370000002</v>
      </c>
      <c r="V771" s="7">
        <v>2045477.3670000001</v>
      </c>
      <c r="W771" s="3">
        <v>63</v>
      </c>
    </row>
    <row r="772" spans="1:23" x14ac:dyDescent="0.35">
      <c r="A772" s="3" t="s">
        <v>487</v>
      </c>
      <c r="B772" s="3" t="s">
        <v>488</v>
      </c>
      <c r="C772" s="3" t="s">
        <v>212</v>
      </c>
      <c r="D772" s="3" t="s">
        <v>200</v>
      </c>
      <c r="E772" s="3" t="s">
        <v>187</v>
      </c>
      <c r="F772" s="3" t="s">
        <v>189</v>
      </c>
      <c r="G772" s="3" t="s">
        <v>201</v>
      </c>
      <c r="H772" s="3" t="s">
        <v>189</v>
      </c>
      <c r="I772" s="3" t="s">
        <v>190</v>
      </c>
      <c r="J772" s="3" t="s">
        <v>191</v>
      </c>
      <c r="K772" s="3" t="s">
        <v>33</v>
      </c>
      <c r="L772" s="3" t="s">
        <v>34</v>
      </c>
      <c r="M772" s="3" t="s">
        <v>213</v>
      </c>
      <c r="N772" s="3" t="s">
        <v>214</v>
      </c>
      <c r="O772" s="3" t="s">
        <v>108</v>
      </c>
      <c r="P772" s="3" t="s">
        <v>109</v>
      </c>
      <c r="Q772" s="3" t="s">
        <v>39</v>
      </c>
      <c r="R772" s="3" t="s">
        <v>40</v>
      </c>
      <c r="S772" s="7">
        <v>183013.6</v>
      </c>
      <c r="T772" s="7">
        <v>107283.8875</v>
      </c>
      <c r="U772" s="7">
        <v>13380.833199999999</v>
      </c>
      <c r="V772" s="7">
        <v>75729.712499999994</v>
      </c>
      <c r="W772" s="3">
        <v>59</v>
      </c>
    </row>
    <row r="773" spans="1:23" x14ac:dyDescent="0.35">
      <c r="A773" s="3" t="s">
        <v>487</v>
      </c>
      <c r="B773" s="3" t="s">
        <v>488</v>
      </c>
      <c r="C773" s="3" t="s">
        <v>215</v>
      </c>
      <c r="D773" s="3" t="s">
        <v>200</v>
      </c>
      <c r="E773" s="3" t="s">
        <v>187</v>
      </c>
      <c r="F773" s="3" t="s">
        <v>189</v>
      </c>
      <c r="G773" s="3" t="s">
        <v>201</v>
      </c>
      <c r="H773" s="3" t="s">
        <v>189</v>
      </c>
      <c r="I773" s="3" t="s">
        <v>190</v>
      </c>
      <c r="J773" s="3" t="s">
        <v>191</v>
      </c>
      <c r="K773" s="3" t="s">
        <v>33</v>
      </c>
      <c r="L773" s="3" t="s">
        <v>34</v>
      </c>
      <c r="M773" s="3" t="s">
        <v>216</v>
      </c>
      <c r="N773" s="3" t="s">
        <v>217</v>
      </c>
      <c r="O773" s="3" t="s">
        <v>108</v>
      </c>
      <c r="P773" s="3" t="s">
        <v>109</v>
      </c>
      <c r="Q773" s="3" t="s">
        <v>39</v>
      </c>
      <c r="R773" s="3" t="s">
        <v>40</v>
      </c>
      <c r="S773" s="7">
        <v>88494.399999999994</v>
      </c>
      <c r="T773" s="7">
        <v>56627.0772</v>
      </c>
      <c r="U773" s="7">
        <v>10197.9244</v>
      </c>
      <c r="V773" s="7">
        <v>31867.322800000002</v>
      </c>
      <c r="W773" s="3">
        <v>64</v>
      </c>
    </row>
    <row r="774" spans="1:23" x14ac:dyDescent="0.35">
      <c r="A774" s="3" t="s">
        <v>487</v>
      </c>
      <c r="B774" s="3" t="s">
        <v>488</v>
      </c>
      <c r="C774" s="3" t="s">
        <v>476</v>
      </c>
      <c r="D774" s="3" t="s">
        <v>200</v>
      </c>
      <c r="E774" s="3" t="s">
        <v>187</v>
      </c>
      <c r="F774" s="3" t="s">
        <v>189</v>
      </c>
      <c r="G774" s="3" t="s">
        <v>201</v>
      </c>
      <c r="H774" s="3" t="s">
        <v>189</v>
      </c>
      <c r="I774" s="3" t="s">
        <v>190</v>
      </c>
      <c r="J774" s="3" t="s">
        <v>191</v>
      </c>
      <c r="K774" s="3" t="s">
        <v>33</v>
      </c>
      <c r="L774" s="3" t="s">
        <v>34</v>
      </c>
      <c r="M774" s="3" t="s">
        <v>219</v>
      </c>
      <c r="N774" s="3" t="s">
        <v>220</v>
      </c>
      <c r="O774" s="3" t="s">
        <v>477</v>
      </c>
      <c r="P774" s="3" t="s">
        <v>478</v>
      </c>
      <c r="Q774" s="3" t="s">
        <v>39</v>
      </c>
      <c r="R774" s="3" t="s">
        <v>40</v>
      </c>
      <c r="S774" s="7">
        <v>1102.9000000000001</v>
      </c>
      <c r="T774" s="7">
        <v>0</v>
      </c>
      <c r="U774" s="7">
        <v>0</v>
      </c>
      <c r="V774" s="7">
        <v>1102.9000000000001</v>
      </c>
      <c r="W774" s="3">
        <v>0</v>
      </c>
    </row>
    <row r="775" spans="1:23" x14ac:dyDescent="0.35">
      <c r="A775" s="3" t="s">
        <v>487</v>
      </c>
      <c r="B775" s="3" t="s">
        <v>488</v>
      </c>
      <c r="C775" s="3" t="s">
        <v>223</v>
      </c>
      <c r="D775" s="3" t="s">
        <v>200</v>
      </c>
      <c r="E775" s="3" t="s">
        <v>187</v>
      </c>
      <c r="F775" s="3" t="s">
        <v>189</v>
      </c>
      <c r="G775" s="3" t="s">
        <v>201</v>
      </c>
      <c r="H775" s="3" t="s">
        <v>189</v>
      </c>
      <c r="I775" s="3" t="s">
        <v>190</v>
      </c>
      <c r="J775" s="3" t="s">
        <v>191</v>
      </c>
      <c r="K775" s="3" t="s">
        <v>33</v>
      </c>
      <c r="L775" s="3" t="s">
        <v>34</v>
      </c>
      <c r="M775" s="3" t="s">
        <v>224</v>
      </c>
      <c r="N775" s="3" t="s">
        <v>225</v>
      </c>
      <c r="O775" s="3" t="s">
        <v>197</v>
      </c>
      <c r="P775" s="3" t="s">
        <v>198</v>
      </c>
      <c r="Q775" s="3" t="s">
        <v>39</v>
      </c>
      <c r="R775" s="3" t="s">
        <v>40</v>
      </c>
      <c r="S775" s="7">
        <v>123977.4</v>
      </c>
      <c r="T775" s="7">
        <v>115191.3187</v>
      </c>
      <c r="U775" s="7">
        <v>19272.633099999999</v>
      </c>
      <c r="V775" s="7">
        <v>8786.0812999999998</v>
      </c>
      <c r="W775" s="3">
        <v>93</v>
      </c>
    </row>
    <row r="776" spans="1:23" x14ac:dyDescent="0.35">
      <c r="A776" s="3" t="s">
        <v>487</v>
      </c>
      <c r="B776" s="3" t="s">
        <v>488</v>
      </c>
      <c r="C776" s="3" t="s">
        <v>432</v>
      </c>
      <c r="D776" s="3" t="s">
        <v>200</v>
      </c>
      <c r="E776" s="3" t="s">
        <v>187</v>
      </c>
      <c r="F776" s="3" t="s">
        <v>189</v>
      </c>
      <c r="G776" s="3" t="s">
        <v>201</v>
      </c>
      <c r="H776" s="3" t="s">
        <v>189</v>
      </c>
      <c r="I776" s="3" t="s">
        <v>190</v>
      </c>
      <c r="J776" s="3" t="s">
        <v>191</v>
      </c>
      <c r="K776" s="3" t="s">
        <v>33</v>
      </c>
      <c r="L776" s="3" t="s">
        <v>34</v>
      </c>
      <c r="M776" s="3" t="s">
        <v>427</v>
      </c>
      <c r="N776" s="3" t="s">
        <v>428</v>
      </c>
      <c r="O776" s="3" t="s">
        <v>197</v>
      </c>
      <c r="P776" s="3" t="s">
        <v>198</v>
      </c>
      <c r="Q776" s="3" t="s">
        <v>39</v>
      </c>
      <c r="R776" s="3" t="s">
        <v>40</v>
      </c>
      <c r="S776" s="7">
        <v>23605.9</v>
      </c>
      <c r="T776" s="7">
        <v>15462.670400000001</v>
      </c>
      <c r="U776" s="7">
        <v>4876.4292999999998</v>
      </c>
      <c r="V776" s="7">
        <v>8143.2295999999997</v>
      </c>
      <c r="W776" s="3">
        <v>66</v>
      </c>
    </row>
    <row r="777" spans="1:23" x14ac:dyDescent="0.35">
      <c r="A777" s="3" t="s">
        <v>487</v>
      </c>
      <c r="B777" s="3" t="s">
        <v>488</v>
      </c>
      <c r="C777" s="3" t="s">
        <v>226</v>
      </c>
      <c r="D777" s="3" t="s">
        <v>200</v>
      </c>
      <c r="E777" s="3" t="s">
        <v>187</v>
      </c>
      <c r="F777" s="3" t="s">
        <v>189</v>
      </c>
      <c r="G777" s="3" t="s">
        <v>201</v>
      </c>
      <c r="H777" s="3" t="s">
        <v>189</v>
      </c>
      <c r="I777" s="3" t="s">
        <v>190</v>
      </c>
      <c r="J777" s="3" t="s">
        <v>191</v>
      </c>
      <c r="K777" s="3" t="s">
        <v>33</v>
      </c>
      <c r="L777" s="3" t="s">
        <v>34</v>
      </c>
      <c r="M777" s="3" t="s">
        <v>227</v>
      </c>
      <c r="N777" s="3" t="s">
        <v>228</v>
      </c>
      <c r="O777" s="3" t="s">
        <v>197</v>
      </c>
      <c r="P777" s="3" t="s">
        <v>198</v>
      </c>
      <c r="Q777" s="3" t="s">
        <v>39</v>
      </c>
      <c r="R777" s="3" t="s">
        <v>40</v>
      </c>
      <c r="S777" s="7">
        <v>115733.1</v>
      </c>
      <c r="T777" s="7">
        <v>526.04999999999995</v>
      </c>
      <c r="U777" s="7">
        <v>0</v>
      </c>
      <c r="V777" s="7">
        <v>115207.05</v>
      </c>
      <c r="W777" s="3">
        <v>0</v>
      </c>
    </row>
    <row r="778" spans="1:23" x14ac:dyDescent="0.35">
      <c r="A778" s="3" t="s">
        <v>487</v>
      </c>
      <c r="B778" s="3" t="s">
        <v>488</v>
      </c>
      <c r="C778" s="3" t="s">
        <v>229</v>
      </c>
      <c r="D778" s="3" t="s">
        <v>200</v>
      </c>
      <c r="E778" s="3" t="s">
        <v>187</v>
      </c>
      <c r="F778" s="3" t="s">
        <v>189</v>
      </c>
      <c r="G778" s="3" t="s">
        <v>201</v>
      </c>
      <c r="H778" s="3" t="s">
        <v>189</v>
      </c>
      <c r="I778" s="3" t="s">
        <v>190</v>
      </c>
      <c r="J778" s="3" t="s">
        <v>191</v>
      </c>
      <c r="K778" s="3" t="s">
        <v>33</v>
      </c>
      <c r="L778" s="3" t="s">
        <v>34</v>
      </c>
      <c r="M778" s="3" t="s">
        <v>195</v>
      </c>
      <c r="N778" s="3" t="s">
        <v>196</v>
      </c>
      <c r="O778" s="3" t="s">
        <v>197</v>
      </c>
      <c r="P778" s="3" t="s">
        <v>198</v>
      </c>
      <c r="Q778" s="3" t="s">
        <v>39</v>
      </c>
      <c r="R778" s="3" t="s">
        <v>40</v>
      </c>
      <c r="S778" s="7">
        <v>29599.599999999999</v>
      </c>
      <c r="T778" s="7">
        <v>12508.318499999999</v>
      </c>
      <c r="U778" s="7">
        <v>6092.8155999999999</v>
      </c>
      <c r="V778" s="7">
        <v>17091.281500000001</v>
      </c>
      <c r="W778" s="3">
        <v>42</v>
      </c>
    </row>
    <row r="779" spans="1:23" x14ac:dyDescent="0.35">
      <c r="A779" s="3" t="s">
        <v>487</v>
      </c>
      <c r="B779" s="3" t="s">
        <v>488</v>
      </c>
      <c r="C779" s="3" t="s">
        <v>433</v>
      </c>
      <c r="D779" s="3" t="s">
        <v>200</v>
      </c>
      <c r="E779" s="3" t="s">
        <v>187</v>
      </c>
      <c r="F779" s="3" t="s">
        <v>189</v>
      </c>
      <c r="G779" s="3" t="s">
        <v>201</v>
      </c>
      <c r="H779" s="3" t="s">
        <v>189</v>
      </c>
      <c r="I779" s="3" t="s">
        <v>190</v>
      </c>
      <c r="J779" s="3" t="s">
        <v>191</v>
      </c>
      <c r="K779" s="3" t="s">
        <v>33</v>
      </c>
      <c r="L779" s="3" t="s">
        <v>34</v>
      </c>
      <c r="M779" s="3" t="s">
        <v>434</v>
      </c>
      <c r="N779" s="3" t="s">
        <v>435</v>
      </c>
      <c r="O779" s="3" t="s">
        <v>197</v>
      </c>
      <c r="P779" s="3" t="s">
        <v>198</v>
      </c>
      <c r="Q779" s="3" t="s">
        <v>39</v>
      </c>
      <c r="R779" s="3" t="s">
        <v>40</v>
      </c>
      <c r="S779" s="7">
        <v>14900</v>
      </c>
      <c r="T779" s="7">
        <v>6411.1692000000003</v>
      </c>
      <c r="U779" s="7">
        <v>236.41200000000001</v>
      </c>
      <c r="V779" s="7">
        <v>8488.8307999999997</v>
      </c>
      <c r="W779" s="3">
        <v>43</v>
      </c>
    </row>
    <row r="780" spans="1:23" x14ac:dyDescent="0.35">
      <c r="A780" s="3" t="s">
        <v>487</v>
      </c>
      <c r="B780" s="3" t="s">
        <v>488</v>
      </c>
      <c r="C780" s="3" t="s">
        <v>230</v>
      </c>
      <c r="D780" s="3" t="s">
        <v>200</v>
      </c>
      <c r="E780" s="3" t="s">
        <v>187</v>
      </c>
      <c r="F780" s="3" t="s">
        <v>189</v>
      </c>
      <c r="G780" s="3" t="s">
        <v>201</v>
      </c>
      <c r="H780" s="3" t="s">
        <v>28</v>
      </c>
      <c r="I780" s="3" t="s">
        <v>231</v>
      </c>
      <c r="J780" s="3" t="s">
        <v>232</v>
      </c>
      <c r="K780" s="3" t="s">
        <v>33</v>
      </c>
      <c r="L780" s="3" t="s">
        <v>51</v>
      </c>
      <c r="M780" s="3" t="s">
        <v>233</v>
      </c>
      <c r="N780" s="3" t="s">
        <v>234</v>
      </c>
      <c r="O780" s="3" t="s">
        <v>197</v>
      </c>
      <c r="P780" s="3" t="s">
        <v>198</v>
      </c>
      <c r="Q780" s="3" t="s">
        <v>39</v>
      </c>
      <c r="R780" s="3" t="s">
        <v>40</v>
      </c>
      <c r="S780" s="7">
        <v>340444.3</v>
      </c>
      <c r="T780" s="7">
        <v>163326.85130000001</v>
      </c>
      <c r="U780" s="7">
        <v>0</v>
      </c>
      <c r="V780" s="7">
        <v>177117.44870000001</v>
      </c>
      <c r="W780" s="3">
        <v>48</v>
      </c>
    </row>
    <row r="781" spans="1:23" x14ac:dyDescent="0.35">
      <c r="A781" s="3" t="s">
        <v>487</v>
      </c>
      <c r="B781" s="3" t="s">
        <v>488</v>
      </c>
      <c r="C781" s="3" t="s">
        <v>235</v>
      </c>
      <c r="D781" s="3" t="s">
        <v>200</v>
      </c>
      <c r="E781" s="3" t="s">
        <v>187</v>
      </c>
      <c r="F781" s="3" t="s">
        <v>189</v>
      </c>
      <c r="G781" s="3" t="s">
        <v>201</v>
      </c>
      <c r="H781" s="3" t="s">
        <v>28</v>
      </c>
      <c r="I781" s="3" t="s">
        <v>231</v>
      </c>
      <c r="J781" s="3" t="s">
        <v>232</v>
      </c>
      <c r="K781" s="3" t="s">
        <v>33</v>
      </c>
      <c r="L781" s="3" t="s">
        <v>51</v>
      </c>
      <c r="M781" s="3" t="s">
        <v>236</v>
      </c>
      <c r="N781" s="3" t="s">
        <v>237</v>
      </c>
      <c r="O781" s="3" t="s">
        <v>197</v>
      </c>
      <c r="P781" s="3" t="s">
        <v>198</v>
      </c>
      <c r="Q781" s="3" t="s">
        <v>39</v>
      </c>
      <c r="R781" s="3" t="s">
        <v>40</v>
      </c>
      <c r="S781" s="7">
        <v>188979.20000000001</v>
      </c>
      <c r="T781" s="7">
        <v>114564.7626</v>
      </c>
      <c r="U781" s="7">
        <v>0</v>
      </c>
      <c r="V781" s="7">
        <v>74414.437399999995</v>
      </c>
      <c r="W781" s="3">
        <v>61</v>
      </c>
    </row>
    <row r="782" spans="1:23" x14ac:dyDescent="0.35">
      <c r="A782" s="3" t="s">
        <v>487</v>
      </c>
      <c r="B782" s="3" t="s">
        <v>488</v>
      </c>
      <c r="C782" s="3" t="s">
        <v>238</v>
      </c>
      <c r="D782" s="3" t="s">
        <v>239</v>
      </c>
      <c r="E782" s="3" t="s">
        <v>187</v>
      </c>
      <c r="F782" s="3" t="s">
        <v>28</v>
      </c>
      <c r="G782" s="3" t="s">
        <v>240</v>
      </c>
      <c r="H782" s="3" t="s">
        <v>189</v>
      </c>
      <c r="I782" s="3" t="s">
        <v>190</v>
      </c>
      <c r="J782" s="3" t="s">
        <v>191</v>
      </c>
      <c r="K782" s="3" t="s">
        <v>33</v>
      </c>
      <c r="L782" s="3" t="s">
        <v>34</v>
      </c>
      <c r="M782" s="3" t="s">
        <v>241</v>
      </c>
      <c r="N782" s="3" t="s">
        <v>242</v>
      </c>
      <c r="O782" s="3" t="s">
        <v>108</v>
      </c>
      <c r="P782" s="3" t="s">
        <v>109</v>
      </c>
      <c r="Q782" s="3" t="s">
        <v>39</v>
      </c>
      <c r="R782" s="3" t="s">
        <v>40</v>
      </c>
      <c r="S782" s="7">
        <v>300340.90000000002</v>
      </c>
      <c r="T782" s="7">
        <v>177598.8757</v>
      </c>
      <c r="U782" s="7">
        <v>36850.744100000004</v>
      </c>
      <c r="V782" s="7">
        <v>122742.0243</v>
      </c>
      <c r="W782" s="3">
        <v>59</v>
      </c>
    </row>
    <row r="783" spans="1:23" x14ac:dyDescent="0.35">
      <c r="A783" s="3" t="s">
        <v>487</v>
      </c>
      <c r="B783" s="3" t="s">
        <v>488</v>
      </c>
      <c r="C783" s="3" t="s">
        <v>243</v>
      </c>
      <c r="D783" s="3" t="s">
        <v>244</v>
      </c>
      <c r="E783" s="3" t="s">
        <v>187</v>
      </c>
      <c r="F783" s="3" t="s">
        <v>245</v>
      </c>
      <c r="G783" s="3" t="s">
        <v>246</v>
      </c>
      <c r="H783" s="3" t="s">
        <v>66</v>
      </c>
      <c r="I783" s="3" t="s">
        <v>67</v>
      </c>
      <c r="J783" s="3" t="s">
        <v>68</v>
      </c>
      <c r="K783" s="3" t="s">
        <v>33</v>
      </c>
      <c r="L783" s="3" t="s">
        <v>51</v>
      </c>
      <c r="M783" s="3" t="s">
        <v>247</v>
      </c>
      <c r="N783" s="3" t="s">
        <v>248</v>
      </c>
      <c r="O783" s="3" t="s">
        <v>108</v>
      </c>
      <c r="P783" s="3" t="s">
        <v>109</v>
      </c>
      <c r="Q783" s="3" t="s">
        <v>39</v>
      </c>
      <c r="R783" s="3" t="s">
        <v>40</v>
      </c>
      <c r="S783" s="7">
        <v>241260.4</v>
      </c>
      <c r="T783" s="7">
        <v>101456.05899999999</v>
      </c>
      <c r="U783" s="7">
        <v>19949.8701</v>
      </c>
      <c r="V783" s="7">
        <v>139804.34099999999</v>
      </c>
      <c r="W783" s="3">
        <v>42</v>
      </c>
    </row>
    <row r="784" spans="1:23" x14ac:dyDescent="0.35">
      <c r="A784" s="3" t="s">
        <v>487</v>
      </c>
      <c r="B784" s="3" t="s">
        <v>488</v>
      </c>
      <c r="C784" s="3" t="s">
        <v>249</v>
      </c>
      <c r="D784" s="3" t="s">
        <v>244</v>
      </c>
      <c r="E784" s="3" t="s">
        <v>187</v>
      </c>
      <c r="F784" s="3" t="s">
        <v>245</v>
      </c>
      <c r="G784" s="3" t="s">
        <v>246</v>
      </c>
      <c r="H784" s="3" t="s">
        <v>66</v>
      </c>
      <c r="I784" s="3" t="s">
        <v>67</v>
      </c>
      <c r="J784" s="3" t="s">
        <v>68</v>
      </c>
      <c r="K784" s="3" t="s">
        <v>33</v>
      </c>
      <c r="L784" s="3" t="s">
        <v>51</v>
      </c>
      <c r="M784" s="3" t="s">
        <v>250</v>
      </c>
      <c r="N784" s="3" t="s">
        <v>251</v>
      </c>
      <c r="O784" s="3" t="s">
        <v>197</v>
      </c>
      <c r="P784" s="3" t="s">
        <v>198</v>
      </c>
      <c r="Q784" s="3" t="s">
        <v>39</v>
      </c>
      <c r="R784" s="3" t="s">
        <v>40</v>
      </c>
      <c r="S784" s="7">
        <v>82757.8</v>
      </c>
      <c r="T784" s="7">
        <v>0</v>
      </c>
      <c r="U784" s="7">
        <v>0</v>
      </c>
      <c r="V784" s="7">
        <v>82757.8</v>
      </c>
      <c r="W784" s="3">
        <v>0</v>
      </c>
    </row>
    <row r="785" spans="1:23" x14ac:dyDescent="0.35">
      <c r="A785" s="3" t="s">
        <v>487</v>
      </c>
      <c r="B785" s="3" t="s">
        <v>488</v>
      </c>
      <c r="C785" s="3" t="s">
        <v>252</v>
      </c>
      <c r="D785" s="3" t="s">
        <v>244</v>
      </c>
      <c r="E785" s="3" t="s">
        <v>187</v>
      </c>
      <c r="F785" s="3" t="s">
        <v>245</v>
      </c>
      <c r="G785" s="3" t="s">
        <v>246</v>
      </c>
      <c r="H785" s="3" t="s">
        <v>66</v>
      </c>
      <c r="I785" s="3" t="s">
        <v>67</v>
      </c>
      <c r="J785" s="3" t="s">
        <v>68</v>
      </c>
      <c r="K785" s="3" t="s">
        <v>33</v>
      </c>
      <c r="L785" s="3" t="s">
        <v>51</v>
      </c>
      <c r="M785" s="3" t="s">
        <v>253</v>
      </c>
      <c r="N785" s="3" t="s">
        <v>254</v>
      </c>
      <c r="O785" s="3" t="s">
        <v>197</v>
      </c>
      <c r="P785" s="3" t="s">
        <v>198</v>
      </c>
      <c r="Q785" s="3" t="s">
        <v>39</v>
      </c>
      <c r="R785" s="3" t="s">
        <v>40</v>
      </c>
      <c r="S785" s="7">
        <v>1724.3</v>
      </c>
      <c r="T785" s="7">
        <v>185.48349999999999</v>
      </c>
      <c r="U785" s="7">
        <v>0</v>
      </c>
      <c r="V785" s="7">
        <v>1538.8164999999999</v>
      </c>
      <c r="W785" s="3">
        <v>11</v>
      </c>
    </row>
    <row r="786" spans="1:23" x14ac:dyDescent="0.35">
      <c r="A786" s="3" t="s">
        <v>487</v>
      </c>
      <c r="B786" s="3" t="s">
        <v>488</v>
      </c>
      <c r="C786" s="3" t="s">
        <v>255</v>
      </c>
      <c r="D786" s="3" t="s">
        <v>244</v>
      </c>
      <c r="E786" s="3" t="s">
        <v>187</v>
      </c>
      <c r="F786" s="3" t="s">
        <v>245</v>
      </c>
      <c r="G786" s="3" t="s">
        <v>246</v>
      </c>
      <c r="H786" s="3" t="s">
        <v>66</v>
      </c>
      <c r="I786" s="3" t="s">
        <v>67</v>
      </c>
      <c r="J786" s="3" t="s">
        <v>68</v>
      </c>
      <c r="K786" s="3" t="s">
        <v>33</v>
      </c>
      <c r="L786" s="3" t="s">
        <v>51</v>
      </c>
      <c r="M786" s="3" t="s">
        <v>256</v>
      </c>
      <c r="N786" s="3" t="s">
        <v>257</v>
      </c>
      <c r="O786" s="3" t="s">
        <v>197</v>
      </c>
      <c r="P786" s="3" t="s">
        <v>198</v>
      </c>
      <c r="Q786" s="3" t="s">
        <v>39</v>
      </c>
      <c r="R786" s="3" t="s">
        <v>40</v>
      </c>
      <c r="S786" s="7">
        <v>23957.3</v>
      </c>
      <c r="T786" s="7">
        <v>3690.6228999999998</v>
      </c>
      <c r="U786" s="7">
        <v>2034.1642999999999</v>
      </c>
      <c r="V786" s="7">
        <v>20266.677100000001</v>
      </c>
      <c r="W786" s="3">
        <v>15</v>
      </c>
    </row>
    <row r="787" spans="1:23" x14ac:dyDescent="0.35">
      <c r="A787" s="3" t="s">
        <v>487</v>
      </c>
      <c r="B787" s="3" t="s">
        <v>488</v>
      </c>
      <c r="C787" s="3" t="s">
        <v>258</v>
      </c>
      <c r="D787" s="3" t="s">
        <v>259</v>
      </c>
      <c r="E787" s="3" t="s">
        <v>187</v>
      </c>
      <c r="F787" s="3" t="s">
        <v>116</v>
      </c>
      <c r="G787" s="3" t="s">
        <v>260</v>
      </c>
      <c r="H787" s="3" t="s">
        <v>189</v>
      </c>
      <c r="I787" s="3" t="s">
        <v>190</v>
      </c>
      <c r="J787" s="3" t="s">
        <v>202</v>
      </c>
      <c r="K787" s="3" t="s">
        <v>23</v>
      </c>
      <c r="L787" s="3" t="s">
        <v>203</v>
      </c>
      <c r="M787" s="3" t="s">
        <v>261</v>
      </c>
      <c r="N787" s="3" t="s">
        <v>262</v>
      </c>
      <c r="O787" s="3" t="s">
        <v>197</v>
      </c>
      <c r="P787" s="3" t="s">
        <v>198</v>
      </c>
      <c r="Q787" s="3" t="s">
        <v>39</v>
      </c>
      <c r="R787" s="3" t="s">
        <v>40</v>
      </c>
      <c r="S787" s="7">
        <v>3437.3</v>
      </c>
      <c r="T787" s="7">
        <v>2291.2800000000002</v>
      </c>
      <c r="U787" s="7">
        <v>0</v>
      </c>
      <c r="V787" s="7">
        <v>1146.02</v>
      </c>
      <c r="W787" s="3">
        <v>67</v>
      </c>
    </row>
    <row r="788" spans="1:23" x14ac:dyDescent="0.35">
      <c r="A788" s="3" t="s">
        <v>487</v>
      </c>
      <c r="B788" s="3" t="s">
        <v>488</v>
      </c>
      <c r="C788" s="3" t="s">
        <v>263</v>
      </c>
      <c r="D788" s="3" t="s">
        <v>259</v>
      </c>
      <c r="E788" s="3" t="s">
        <v>187</v>
      </c>
      <c r="F788" s="3" t="s">
        <v>116</v>
      </c>
      <c r="G788" s="3" t="s">
        <v>260</v>
      </c>
      <c r="H788" s="3" t="s">
        <v>189</v>
      </c>
      <c r="I788" s="3" t="s">
        <v>190</v>
      </c>
      <c r="J788" s="3" t="s">
        <v>191</v>
      </c>
      <c r="K788" s="3" t="s">
        <v>33</v>
      </c>
      <c r="L788" s="3" t="s">
        <v>34</v>
      </c>
      <c r="M788" s="3" t="s">
        <v>264</v>
      </c>
      <c r="N788" s="3" t="s">
        <v>265</v>
      </c>
      <c r="O788" s="3" t="s">
        <v>197</v>
      </c>
      <c r="P788" s="3" t="s">
        <v>198</v>
      </c>
      <c r="Q788" s="3" t="s">
        <v>39</v>
      </c>
      <c r="R788" s="3" t="s">
        <v>40</v>
      </c>
      <c r="S788" s="7">
        <v>1718.3</v>
      </c>
      <c r="T788" s="7">
        <v>1718.3</v>
      </c>
      <c r="U788" s="7">
        <v>0</v>
      </c>
      <c r="V788" s="7">
        <v>0</v>
      </c>
      <c r="W788" s="3">
        <v>100</v>
      </c>
    </row>
    <row r="789" spans="1:23" x14ac:dyDescent="0.35">
      <c r="A789" s="3" t="s">
        <v>487</v>
      </c>
      <c r="B789" s="3" t="s">
        <v>488</v>
      </c>
      <c r="C789" s="3" t="s">
        <v>266</v>
      </c>
      <c r="D789" s="3" t="s">
        <v>259</v>
      </c>
      <c r="E789" s="3" t="s">
        <v>187</v>
      </c>
      <c r="F789" s="3" t="s">
        <v>116</v>
      </c>
      <c r="G789" s="3" t="s">
        <v>260</v>
      </c>
      <c r="H789" s="3" t="s">
        <v>189</v>
      </c>
      <c r="I789" s="3" t="s">
        <v>190</v>
      </c>
      <c r="J789" s="3" t="s">
        <v>191</v>
      </c>
      <c r="K789" s="3" t="s">
        <v>33</v>
      </c>
      <c r="L789" s="3" t="s">
        <v>34</v>
      </c>
      <c r="M789" s="3" t="s">
        <v>267</v>
      </c>
      <c r="N789" s="3" t="s">
        <v>268</v>
      </c>
      <c r="O789" s="3" t="s">
        <v>37</v>
      </c>
      <c r="P789" s="3" t="s">
        <v>38</v>
      </c>
      <c r="Q789" s="3" t="s">
        <v>39</v>
      </c>
      <c r="R789" s="3" t="s">
        <v>40</v>
      </c>
      <c r="S789" s="7">
        <v>94089.600000000006</v>
      </c>
      <c r="T789" s="7">
        <v>38466.095999999998</v>
      </c>
      <c r="U789" s="7">
        <v>36018.495999999999</v>
      </c>
      <c r="V789" s="7">
        <v>55623.504000000001</v>
      </c>
      <c r="W789" s="3">
        <v>41</v>
      </c>
    </row>
    <row r="790" spans="1:23" x14ac:dyDescent="0.35">
      <c r="A790" s="3" t="s">
        <v>487</v>
      </c>
      <c r="B790" s="3" t="s">
        <v>488</v>
      </c>
      <c r="C790" s="3" t="s">
        <v>269</v>
      </c>
      <c r="D790" s="3" t="s">
        <v>259</v>
      </c>
      <c r="E790" s="3" t="s">
        <v>187</v>
      </c>
      <c r="F790" s="3" t="s">
        <v>116</v>
      </c>
      <c r="G790" s="3" t="s">
        <v>260</v>
      </c>
      <c r="H790" s="3" t="s">
        <v>189</v>
      </c>
      <c r="I790" s="3" t="s">
        <v>190</v>
      </c>
      <c r="J790" s="3" t="s">
        <v>191</v>
      </c>
      <c r="K790" s="3" t="s">
        <v>33</v>
      </c>
      <c r="L790" s="3" t="s">
        <v>34</v>
      </c>
      <c r="M790" s="3" t="s">
        <v>267</v>
      </c>
      <c r="N790" s="3" t="s">
        <v>268</v>
      </c>
      <c r="O790" s="3" t="s">
        <v>197</v>
      </c>
      <c r="P790" s="3" t="s">
        <v>198</v>
      </c>
      <c r="Q790" s="3" t="s">
        <v>39</v>
      </c>
      <c r="R790" s="3" t="s">
        <v>40</v>
      </c>
      <c r="S790" s="7">
        <v>15777.7</v>
      </c>
      <c r="T790" s="7">
        <v>14303.4483</v>
      </c>
      <c r="U790" s="7">
        <v>12438.494199999999</v>
      </c>
      <c r="V790" s="7">
        <v>1474.2517</v>
      </c>
      <c r="W790" s="3">
        <v>91</v>
      </c>
    </row>
    <row r="791" spans="1:23" x14ac:dyDescent="0.35">
      <c r="A791" s="3" t="s">
        <v>487</v>
      </c>
      <c r="B791" s="3" t="s">
        <v>488</v>
      </c>
      <c r="C791" s="3" t="s">
        <v>270</v>
      </c>
      <c r="D791" s="3" t="s">
        <v>259</v>
      </c>
      <c r="E791" s="3" t="s">
        <v>187</v>
      </c>
      <c r="F791" s="3" t="s">
        <v>116</v>
      </c>
      <c r="G791" s="3" t="s">
        <v>260</v>
      </c>
      <c r="H791" s="3" t="s">
        <v>189</v>
      </c>
      <c r="I791" s="3" t="s">
        <v>190</v>
      </c>
      <c r="J791" s="3" t="s">
        <v>191</v>
      </c>
      <c r="K791" s="3" t="s">
        <v>33</v>
      </c>
      <c r="L791" s="3" t="s">
        <v>34</v>
      </c>
      <c r="M791" s="3" t="s">
        <v>271</v>
      </c>
      <c r="N791" s="3" t="s">
        <v>272</v>
      </c>
      <c r="O791" s="3" t="s">
        <v>108</v>
      </c>
      <c r="P791" s="3" t="s">
        <v>109</v>
      </c>
      <c r="Q791" s="3" t="s">
        <v>39</v>
      </c>
      <c r="R791" s="3" t="s">
        <v>40</v>
      </c>
      <c r="S791" s="7">
        <v>46883.7</v>
      </c>
      <c r="T791" s="7">
        <v>34448.357400000001</v>
      </c>
      <c r="U791" s="7">
        <v>4320.0550000000003</v>
      </c>
      <c r="V791" s="7">
        <v>12435.3426</v>
      </c>
      <c r="W791" s="3">
        <v>73</v>
      </c>
    </row>
    <row r="792" spans="1:23" x14ac:dyDescent="0.35">
      <c r="A792" s="3" t="s">
        <v>487</v>
      </c>
      <c r="B792" s="3" t="s">
        <v>488</v>
      </c>
      <c r="C792" s="3" t="s">
        <v>273</v>
      </c>
      <c r="D792" s="3" t="s">
        <v>259</v>
      </c>
      <c r="E792" s="3" t="s">
        <v>187</v>
      </c>
      <c r="F792" s="3" t="s">
        <v>116</v>
      </c>
      <c r="G792" s="3" t="s">
        <v>260</v>
      </c>
      <c r="H792" s="3" t="s">
        <v>189</v>
      </c>
      <c r="I792" s="3" t="s">
        <v>190</v>
      </c>
      <c r="J792" s="3" t="s">
        <v>191</v>
      </c>
      <c r="K792" s="3" t="s">
        <v>33</v>
      </c>
      <c r="L792" s="3" t="s">
        <v>34</v>
      </c>
      <c r="M792" s="3" t="s">
        <v>274</v>
      </c>
      <c r="N792" s="3" t="s">
        <v>275</v>
      </c>
      <c r="O792" s="3" t="s">
        <v>108</v>
      </c>
      <c r="P792" s="3" t="s">
        <v>109</v>
      </c>
      <c r="Q792" s="3" t="s">
        <v>39</v>
      </c>
      <c r="R792" s="3" t="s">
        <v>40</v>
      </c>
      <c r="S792" s="7">
        <v>66303.8</v>
      </c>
      <c r="T792" s="7">
        <v>42642.6175</v>
      </c>
      <c r="U792" s="7">
        <v>7127.3257000000003</v>
      </c>
      <c r="V792" s="7">
        <v>23661.182499999999</v>
      </c>
      <c r="W792" s="3">
        <v>64</v>
      </c>
    </row>
    <row r="793" spans="1:23" x14ac:dyDescent="0.35">
      <c r="A793" s="3" t="s">
        <v>487</v>
      </c>
      <c r="B793" s="3" t="s">
        <v>488</v>
      </c>
      <c r="C793" s="3" t="s">
        <v>460</v>
      </c>
      <c r="D793" s="3" t="s">
        <v>259</v>
      </c>
      <c r="E793" s="3" t="s">
        <v>187</v>
      </c>
      <c r="F793" s="3" t="s">
        <v>116</v>
      </c>
      <c r="G793" s="3" t="s">
        <v>260</v>
      </c>
      <c r="H793" s="3" t="s">
        <v>189</v>
      </c>
      <c r="I793" s="3" t="s">
        <v>190</v>
      </c>
      <c r="J793" s="3" t="s">
        <v>191</v>
      </c>
      <c r="K793" s="3" t="s">
        <v>33</v>
      </c>
      <c r="L793" s="3" t="s">
        <v>34</v>
      </c>
      <c r="M793" s="3" t="s">
        <v>461</v>
      </c>
      <c r="N793" s="3" t="s">
        <v>462</v>
      </c>
      <c r="O793" s="3" t="s">
        <v>197</v>
      </c>
      <c r="P793" s="3" t="s">
        <v>198</v>
      </c>
      <c r="Q793" s="3" t="s">
        <v>39</v>
      </c>
      <c r="R793" s="3" t="s">
        <v>40</v>
      </c>
      <c r="S793" s="7">
        <v>21095.5</v>
      </c>
      <c r="T793" s="7">
        <v>9775.2278999999999</v>
      </c>
      <c r="U793" s="7">
        <v>7656.3854000000001</v>
      </c>
      <c r="V793" s="7">
        <v>11320.2721</v>
      </c>
      <c r="W793" s="3">
        <v>46</v>
      </c>
    </row>
    <row r="794" spans="1:23" x14ac:dyDescent="0.35">
      <c r="A794" s="3" t="s">
        <v>487</v>
      </c>
      <c r="B794" s="3" t="s">
        <v>488</v>
      </c>
      <c r="C794" s="3" t="s">
        <v>276</v>
      </c>
      <c r="D794" s="3" t="s">
        <v>259</v>
      </c>
      <c r="E794" s="3" t="s">
        <v>187</v>
      </c>
      <c r="F794" s="3" t="s">
        <v>116</v>
      </c>
      <c r="G794" s="3" t="s">
        <v>260</v>
      </c>
      <c r="H794" s="3" t="s">
        <v>189</v>
      </c>
      <c r="I794" s="3" t="s">
        <v>190</v>
      </c>
      <c r="J794" s="3" t="s">
        <v>191</v>
      </c>
      <c r="K794" s="3" t="s">
        <v>33</v>
      </c>
      <c r="L794" s="3" t="s">
        <v>34</v>
      </c>
      <c r="M794" s="3" t="s">
        <v>277</v>
      </c>
      <c r="N794" s="3" t="s">
        <v>278</v>
      </c>
      <c r="O794" s="3" t="s">
        <v>197</v>
      </c>
      <c r="P794" s="3" t="s">
        <v>198</v>
      </c>
      <c r="Q794" s="3" t="s">
        <v>39</v>
      </c>
      <c r="R794" s="3" t="s">
        <v>40</v>
      </c>
      <c r="S794" s="7">
        <v>5928.5</v>
      </c>
      <c r="T794" s="7">
        <v>344.96910000000003</v>
      </c>
      <c r="U794" s="7">
        <v>344.96910000000003</v>
      </c>
      <c r="V794" s="7">
        <v>5583.5308999999997</v>
      </c>
      <c r="W794" s="3">
        <v>6</v>
      </c>
    </row>
    <row r="795" spans="1:23" x14ac:dyDescent="0.35">
      <c r="A795" s="3" t="s">
        <v>487</v>
      </c>
      <c r="B795" s="3" t="s">
        <v>488</v>
      </c>
      <c r="C795" s="3" t="s">
        <v>279</v>
      </c>
      <c r="D795" s="3" t="s">
        <v>259</v>
      </c>
      <c r="E795" s="3" t="s">
        <v>187</v>
      </c>
      <c r="F795" s="3" t="s">
        <v>116</v>
      </c>
      <c r="G795" s="3" t="s">
        <v>260</v>
      </c>
      <c r="H795" s="3" t="s">
        <v>189</v>
      </c>
      <c r="I795" s="3" t="s">
        <v>190</v>
      </c>
      <c r="J795" s="3" t="s">
        <v>191</v>
      </c>
      <c r="K795" s="3" t="s">
        <v>33</v>
      </c>
      <c r="L795" s="3" t="s">
        <v>34</v>
      </c>
      <c r="M795" s="3" t="s">
        <v>280</v>
      </c>
      <c r="N795" s="3" t="s">
        <v>281</v>
      </c>
      <c r="O795" s="3" t="s">
        <v>197</v>
      </c>
      <c r="P795" s="3" t="s">
        <v>198</v>
      </c>
      <c r="Q795" s="3" t="s">
        <v>39</v>
      </c>
      <c r="R795" s="3" t="s">
        <v>40</v>
      </c>
      <c r="S795" s="7">
        <v>7523.1</v>
      </c>
      <c r="T795" s="7">
        <v>0</v>
      </c>
      <c r="U795" s="7">
        <v>0</v>
      </c>
      <c r="V795" s="7">
        <v>7523.1</v>
      </c>
      <c r="W795" s="3">
        <v>0</v>
      </c>
    </row>
    <row r="796" spans="1:23" x14ac:dyDescent="0.35">
      <c r="A796" s="3" t="s">
        <v>487</v>
      </c>
      <c r="B796" s="3" t="s">
        <v>488</v>
      </c>
      <c r="C796" s="3" t="s">
        <v>282</v>
      </c>
      <c r="D796" s="3" t="s">
        <v>259</v>
      </c>
      <c r="E796" s="3" t="s">
        <v>187</v>
      </c>
      <c r="F796" s="3" t="s">
        <v>116</v>
      </c>
      <c r="G796" s="3" t="s">
        <v>260</v>
      </c>
      <c r="H796" s="3" t="s">
        <v>66</v>
      </c>
      <c r="I796" s="3" t="s">
        <v>67</v>
      </c>
      <c r="J796" s="3" t="s">
        <v>68</v>
      </c>
      <c r="K796" s="3" t="s">
        <v>33</v>
      </c>
      <c r="L796" s="3" t="s">
        <v>51</v>
      </c>
      <c r="M796" s="3" t="s">
        <v>283</v>
      </c>
      <c r="N796" s="3" t="s">
        <v>284</v>
      </c>
      <c r="O796" s="3" t="s">
        <v>197</v>
      </c>
      <c r="P796" s="3" t="s">
        <v>198</v>
      </c>
      <c r="Q796" s="3" t="s">
        <v>39</v>
      </c>
      <c r="R796" s="3" t="s">
        <v>40</v>
      </c>
      <c r="S796" s="7">
        <v>500</v>
      </c>
      <c r="T796" s="7">
        <v>48</v>
      </c>
      <c r="U796" s="7">
        <v>0</v>
      </c>
      <c r="V796" s="7">
        <v>452</v>
      </c>
      <c r="W796" s="3">
        <v>10</v>
      </c>
    </row>
    <row r="797" spans="1:23" x14ac:dyDescent="0.35">
      <c r="A797" s="3" t="s">
        <v>487</v>
      </c>
      <c r="B797" s="3" t="s">
        <v>488</v>
      </c>
      <c r="C797" s="3" t="s">
        <v>285</v>
      </c>
      <c r="D797" s="3" t="s">
        <v>259</v>
      </c>
      <c r="E797" s="3" t="s">
        <v>187</v>
      </c>
      <c r="F797" s="3" t="s">
        <v>116</v>
      </c>
      <c r="G797" s="3" t="s">
        <v>260</v>
      </c>
      <c r="H797" s="3" t="s">
        <v>30</v>
      </c>
      <c r="I797" s="3" t="s">
        <v>31</v>
      </c>
      <c r="J797" s="3" t="s">
        <v>32</v>
      </c>
      <c r="K797" s="3" t="s">
        <v>33</v>
      </c>
      <c r="L797" s="3" t="s">
        <v>34</v>
      </c>
      <c r="M797" s="3" t="s">
        <v>286</v>
      </c>
      <c r="N797" s="3" t="s">
        <v>287</v>
      </c>
      <c r="O797" s="3" t="s">
        <v>37</v>
      </c>
      <c r="P797" s="3" t="s">
        <v>38</v>
      </c>
      <c r="Q797" s="3" t="s">
        <v>39</v>
      </c>
      <c r="R797" s="3" t="s">
        <v>40</v>
      </c>
      <c r="S797" s="7">
        <v>900.4</v>
      </c>
      <c r="T797" s="7">
        <v>0</v>
      </c>
      <c r="U797" s="7">
        <v>0</v>
      </c>
      <c r="V797" s="7">
        <v>900.4</v>
      </c>
      <c r="W797" s="3">
        <v>0</v>
      </c>
    </row>
    <row r="798" spans="1:23" x14ac:dyDescent="0.35">
      <c r="A798" s="3" t="s">
        <v>487</v>
      </c>
      <c r="B798" s="3" t="s">
        <v>488</v>
      </c>
      <c r="C798" s="3" t="s">
        <v>288</v>
      </c>
      <c r="D798" s="3" t="s">
        <v>259</v>
      </c>
      <c r="E798" s="3" t="s">
        <v>187</v>
      </c>
      <c r="F798" s="3" t="s">
        <v>116</v>
      </c>
      <c r="G798" s="3" t="s">
        <v>260</v>
      </c>
      <c r="H798" s="3" t="s">
        <v>30</v>
      </c>
      <c r="I798" s="3" t="s">
        <v>31</v>
      </c>
      <c r="J798" s="3" t="s">
        <v>32</v>
      </c>
      <c r="K798" s="3" t="s">
        <v>33</v>
      </c>
      <c r="L798" s="3" t="s">
        <v>34</v>
      </c>
      <c r="M798" s="3" t="s">
        <v>286</v>
      </c>
      <c r="N798" s="3" t="s">
        <v>287</v>
      </c>
      <c r="O798" s="3" t="s">
        <v>42</v>
      </c>
      <c r="P798" s="3" t="s">
        <v>43</v>
      </c>
      <c r="Q798" s="3" t="s">
        <v>39</v>
      </c>
      <c r="R798" s="3" t="s">
        <v>40</v>
      </c>
      <c r="S798" s="7">
        <v>67.400000000000006</v>
      </c>
      <c r="T798" s="7">
        <v>0</v>
      </c>
      <c r="U798" s="7">
        <v>0</v>
      </c>
      <c r="V798" s="7">
        <v>67.400000000000006</v>
      </c>
      <c r="W798" s="3">
        <v>0</v>
      </c>
    </row>
    <row r="799" spans="1:23" hidden="1" x14ac:dyDescent="0.35">
      <c r="A799" t="s">
        <v>487</v>
      </c>
      <c r="B799" t="s">
        <v>488</v>
      </c>
      <c r="C799" t="s">
        <v>289</v>
      </c>
      <c r="D799" t="s">
        <v>290</v>
      </c>
      <c r="E799" t="s">
        <v>291</v>
      </c>
      <c r="F799" t="s">
        <v>146</v>
      </c>
      <c r="G799" t="s">
        <v>292</v>
      </c>
      <c r="H799" t="s">
        <v>293</v>
      </c>
      <c r="I799" t="s">
        <v>294</v>
      </c>
      <c r="J799" t="s">
        <v>295</v>
      </c>
      <c r="K799" t="s">
        <v>33</v>
      </c>
      <c r="L799" t="s">
        <v>51</v>
      </c>
      <c r="M799" t="s">
        <v>296</v>
      </c>
      <c r="N799" t="s">
        <v>297</v>
      </c>
      <c r="O799" t="s">
        <v>108</v>
      </c>
      <c r="P799" t="s">
        <v>109</v>
      </c>
      <c r="Q799" t="s">
        <v>39</v>
      </c>
      <c r="R799" t="s">
        <v>40</v>
      </c>
      <c r="S799" s="1">
        <v>263750</v>
      </c>
      <c r="T799" s="1">
        <v>158294.7739</v>
      </c>
      <c r="U799" s="1">
        <v>33126.8845</v>
      </c>
      <c r="V799" s="1">
        <v>105455.2261</v>
      </c>
      <c r="W799">
        <v>60</v>
      </c>
    </row>
    <row r="800" spans="1:23" hidden="1" x14ac:dyDescent="0.35">
      <c r="A800" t="s">
        <v>487</v>
      </c>
      <c r="B800" t="s">
        <v>488</v>
      </c>
      <c r="C800" t="s">
        <v>298</v>
      </c>
      <c r="D800" t="s">
        <v>290</v>
      </c>
      <c r="E800" t="s">
        <v>291</v>
      </c>
      <c r="F800" t="s">
        <v>146</v>
      </c>
      <c r="G800" t="s">
        <v>292</v>
      </c>
      <c r="H800" t="s">
        <v>293</v>
      </c>
      <c r="I800" t="s">
        <v>294</v>
      </c>
      <c r="J800" t="s">
        <v>295</v>
      </c>
      <c r="K800" t="s">
        <v>33</v>
      </c>
      <c r="L800" t="s">
        <v>51</v>
      </c>
      <c r="M800" t="s">
        <v>299</v>
      </c>
      <c r="N800" t="s">
        <v>300</v>
      </c>
      <c r="O800" t="s">
        <v>108</v>
      </c>
      <c r="P800" t="s">
        <v>109</v>
      </c>
      <c r="Q800" t="s">
        <v>39</v>
      </c>
      <c r="R800" t="s">
        <v>40</v>
      </c>
      <c r="S800" s="1">
        <v>93678.1</v>
      </c>
      <c r="T800" s="1">
        <v>53707.436600000001</v>
      </c>
      <c r="U800" s="1">
        <v>6018.5919000000004</v>
      </c>
      <c r="V800" s="1">
        <v>39970.663399999998</v>
      </c>
      <c r="W800">
        <v>57</v>
      </c>
    </row>
    <row r="801" spans="1:23" hidden="1" x14ac:dyDescent="0.35">
      <c r="A801" t="s">
        <v>487</v>
      </c>
      <c r="B801" t="s">
        <v>488</v>
      </c>
      <c r="C801" t="s">
        <v>301</v>
      </c>
      <c r="D801" t="s">
        <v>290</v>
      </c>
      <c r="E801" t="s">
        <v>291</v>
      </c>
      <c r="F801" t="s">
        <v>146</v>
      </c>
      <c r="G801" t="s">
        <v>292</v>
      </c>
      <c r="H801" t="s">
        <v>293</v>
      </c>
      <c r="I801" t="s">
        <v>294</v>
      </c>
      <c r="J801" t="s">
        <v>295</v>
      </c>
      <c r="K801" t="s">
        <v>33</v>
      </c>
      <c r="L801" t="s">
        <v>51</v>
      </c>
      <c r="M801" t="s">
        <v>302</v>
      </c>
      <c r="N801" t="s">
        <v>303</v>
      </c>
      <c r="O801" t="s">
        <v>108</v>
      </c>
      <c r="P801" t="s">
        <v>109</v>
      </c>
      <c r="Q801" t="s">
        <v>39</v>
      </c>
      <c r="R801" t="s">
        <v>40</v>
      </c>
      <c r="S801" s="1">
        <v>207715.20000000001</v>
      </c>
      <c r="T801" s="1">
        <v>131046.92080000001</v>
      </c>
      <c r="U801" s="1">
        <v>18568.805700000001</v>
      </c>
      <c r="V801" s="1">
        <v>76668.279200000004</v>
      </c>
      <c r="W801">
        <v>63</v>
      </c>
    </row>
    <row r="802" spans="1:23" hidden="1" x14ac:dyDescent="0.35">
      <c r="A802" t="s">
        <v>487</v>
      </c>
      <c r="B802" t="s">
        <v>488</v>
      </c>
      <c r="C802" t="s">
        <v>304</v>
      </c>
      <c r="D802" t="s">
        <v>290</v>
      </c>
      <c r="E802" t="s">
        <v>291</v>
      </c>
      <c r="F802" t="s">
        <v>146</v>
      </c>
      <c r="G802" t="s">
        <v>292</v>
      </c>
      <c r="H802" t="s">
        <v>293</v>
      </c>
      <c r="I802" t="s">
        <v>294</v>
      </c>
      <c r="J802" t="s">
        <v>295</v>
      </c>
      <c r="K802" t="s">
        <v>33</v>
      </c>
      <c r="L802" t="s">
        <v>51</v>
      </c>
      <c r="M802" t="s">
        <v>305</v>
      </c>
      <c r="N802" t="s">
        <v>306</v>
      </c>
      <c r="O802" t="s">
        <v>108</v>
      </c>
      <c r="P802" t="s">
        <v>109</v>
      </c>
      <c r="Q802" t="s">
        <v>39</v>
      </c>
      <c r="R802" t="s">
        <v>40</v>
      </c>
      <c r="S802" s="1">
        <v>87050.7</v>
      </c>
      <c r="T802" s="1">
        <v>49686.557099999998</v>
      </c>
      <c r="U802" s="1">
        <v>8154.6192000000001</v>
      </c>
      <c r="V802" s="1">
        <v>37364.142899999999</v>
      </c>
      <c r="W802">
        <v>57</v>
      </c>
    </row>
    <row r="803" spans="1:23" hidden="1" x14ac:dyDescent="0.35">
      <c r="A803" t="s">
        <v>487</v>
      </c>
      <c r="B803" t="s">
        <v>488</v>
      </c>
      <c r="C803" t="s">
        <v>307</v>
      </c>
      <c r="D803" t="s">
        <v>290</v>
      </c>
      <c r="E803" t="s">
        <v>291</v>
      </c>
      <c r="F803" t="s">
        <v>146</v>
      </c>
      <c r="G803" t="s">
        <v>292</v>
      </c>
      <c r="H803" t="s">
        <v>293</v>
      </c>
      <c r="I803" t="s">
        <v>294</v>
      </c>
      <c r="J803" t="s">
        <v>295</v>
      </c>
      <c r="K803" t="s">
        <v>33</v>
      </c>
      <c r="L803" t="s">
        <v>51</v>
      </c>
      <c r="M803" t="s">
        <v>308</v>
      </c>
      <c r="N803" t="s">
        <v>309</v>
      </c>
      <c r="O803" t="s">
        <v>37</v>
      </c>
      <c r="P803" t="s">
        <v>38</v>
      </c>
      <c r="Q803" t="s">
        <v>39</v>
      </c>
      <c r="R803" t="s">
        <v>40</v>
      </c>
      <c r="S803" s="1">
        <v>9529.5</v>
      </c>
      <c r="T803" s="1">
        <v>5213.2</v>
      </c>
      <c r="U803" s="1">
        <v>331.26940000000002</v>
      </c>
      <c r="V803" s="1">
        <v>4316.3</v>
      </c>
      <c r="W803">
        <v>55</v>
      </c>
    </row>
    <row r="804" spans="1:23" hidden="1" x14ac:dyDescent="0.35">
      <c r="A804" t="s">
        <v>487</v>
      </c>
      <c r="B804" t="s">
        <v>488</v>
      </c>
      <c r="C804" t="s">
        <v>436</v>
      </c>
      <c r="D804" t="s">
        <v>290</v>
      </c>
      <c r="E804" t="s">
        <v>291</v>
      </c>
      <c r="F804" t="s">
        <v>146</v>
      </c>
      <c r="G804" t="s">
        <v>292</v>
      </c>
      <c r="H804" t="s">
        <v>293</v>
      </c>
      <c r="I804" t="s">
        <v>294</v>
      </c>
      <c r="J804" t="s">
        <v>295</v>
      </c>
      <c r="K804" t="s">
        <v>33</v>
      </c>
      <c r="L804" t="s">
        <v>51</v>
      </c>
      <c r="M804" t="s">
        <v>308</v>
      </c>
      <c r="N804" t="s">
        <v>309</v>
      </c>
      <c r="O804" t="s">
        <v>197</v>
      </c>
      <c r="P804" t="s">
        <v>198</v>
      </c>
      <c r="Q804" t="s">
        <v>39</v>
      </c>
      <c r="R804" t="s">
        <v>40</v>
      </c>
      <c r="S804" s="1">
        <v>2252</v>
      </c>
      <c r="T804" s="1">
        <v>396.52159999999998</v>
      </c>
      <c r="U804" s="1">
        <v>0</v>
      </c>
      <c r="V804" s="1">
        <v>1855.4784</v>
      </c>
      <c r="W804">
        <v>18</v>
      </c>
    </row>
    <row r="805" spans="1:23" hidden="1" x14ac:dyDescent="0.35">
      <c r="A805" t="s">
        <v>487</v>
      </c>
      <c r="B805" t="s">
        <v>488</v>
      </c>
      <c r="C805" t="s">
        <v>310</v>
      </c>
      <c r="D805" t="s">
        <v>290</v>
      </c>
      <c r="E805" t="s">
        <v>291</v>
      </c>
      <c r="F805" t="s">
        <v>146</v>
      </c>
      <c r="G805" t="s">
        <v>292</v>
      </c>
      <c r="H805" t="s">
        <v>293</v>
      </c>
      <c r="I805" t="s">
        <v>294</v>
      </c>
      <c r="J805" t="s">
        <v>295</v>
      </c>
      <c r="K805" t="s">
        <v>33</v>
      </c>
      <c r="L805" t="s">
        <v>51</v>
      </c>
      <c r="M805" t="s">
        <v>311</v>
      </c>
      <c r="N805" t="s">
        <v>312</v>
      </c>
      <c r="O805" t="s">
        <v>197</v>
      </c>
      <c r="P805" t="s">
        <v>198</v>
      </c>
      <c r="Q805" t="s">
        <v>39</v>
      </c>
      <c r="R805" t="s">
        <v>40</v>
      </c>
      <c r="S805" s="1">
        <v>10264.799999999999</v>
      </c>
      <c r="T805" s="1">
        <v>0</v>
      </c>
      <c r="U805" s="1">
        <v>0</v>
      </c>
      <c r="V805" s="1">
        <v>10264.799999999999</v>
      </c>
      <c r="W805">
        <v>0</v>
      </c>
    </row>
    <row r="806" spans="1:23" hidden="1" x14ac:dyDescent="0.35">
      <c r="A806" t="s">
        <v>487</v>
      </c>
      <c r="B806" t="s">
        <v>488</v>
      </c>
      <c r="C806" t="s">
        <v>313</v>
      </c>
      <c r="D806" t="s">
        <v>290</v>
      </c>
      <c r="E806" t="s">
        <v>291</v>
      </c>
      <c r="F806" t="s">
        <v>146</v>
      </c>
      <c r="G806" t="s">
        <v>292</v>
      </c>
      <c r="H806" t="s">
        <v>293</v>
      </c>
      <c r="I806" t="s">
        <v>294</v>
      </c>
      <c r="J806" t="s">
        <v>295</v>
      </c>
      <c r="K806" t="s">
        <v>33</v>
      </c>
      <c r="L806" t="s">
        <v>51</v>
      </c>
      <c r="M806" t="s">
        <v>314</v>
      </c>
      <c r="N806" t="s">
        <v>315</v>
      </c>
      <c r="O806" t="s">
        <v>197</v>
      </c>
      <c r="P806" t="s">
        <v>198</v>
      </c>
      <c r="Q806" t="s">
        <v>39</v>
      </c>
      <c r="R806" t="s">
        <v>40</v>
      </c>
      <c r="S806" s="1">
        <v>128.69999999999999</v>
      </c>
      <c r="T806" s="1">
        <v>128.69999999999999</v>
      </c>
      <c r="U806" s="1">
        <v>0</v>
      </c>
      <c r="V806" s="1">
        <v>0</v>
      </c>
      <c r="W806">
        <v>100</v>
      </c>
    </row>
    <row r="807" spans="1:23" hidden="1" x14ac:dyDescent="0.35">
      <c r="A807" t="s">
        <v>487</v>
      </c>
      <c r="B807" t="s">
        <v>488</v>
      </c>
      <c r="C807" t="s">
        <v>316</v>
      </c>
      <c r="D807" t="s">
        <v>317</v>
      </c>
      <c r="E807" t="s">
        <v>291</v>
      </c>
      <c r="F807" t="s">
        <v>318</v>
      </c>
      <c r="G807" t="s">
        <v>319</v>
      </c>
      <c r="H807" t="s">
        <v>293</v>
      </c>
      <c r="I807" t="s">
        <v>294</v>
      </c>
      <c r="J807" t="s">
        <v>295</v>
      </c>
      <c r="K807" t="s">
        <v>33</v>
      </c>
      <c r="L807" t="s">
        <v>51</v>
      </c>
      <c r="M807" t="s">
        <v>320</v>
      </c>
      <c r="N807" t="s">
        <v>321</v>
      </c>
      <c r="O807" t="s">
        <v>37</v>
      </c>
      <c r="P807" t="s">
        <v>38</v>
      </c>
      <c r="Q807" t="s">
        <v>39</v>
      </c>
      <c r="R807" t="s">
        <v>40</v>
      </c>
      <c r="S807" s="1">
        <v>16495.3</v>
      </c>
      <c r="T807" s="1">
        <v>0</v>
      </c>
      <c r="U807" s="1">
        <v>0</v>
      </c>
      <c r="V807" s="1">
        <v>16495.3</v>
      </c>
      <c r="W807">
        <v>0</v>
      </c>
    </row>
    <row r="808" spans="1:23" hidden="1" x14ac:dyDescent="0.35">
      <c r="A808" t="s">
        <v>487</v>
      </c>
      <c r="B808" t="s">
        <v>488</v>
      </c>
      <c r="C808" t="s">
        <v>322</v>
      </c>
      <c r="D808" t="s">
        <v>317</v>
      </c>
      <c r="E808" t="s">
        <v>291</v>
      </c>
      <c r="F808" t="s">
        <v>318</v>
      </c>
      <c r="G808" t="s">
        <v>319</v>
      </c>
      <c r="H808" t="s">
        <v>293</v>
      </c>
      <c r="I808" t="s">
        <v>294</v>
      </c>
      <c r="J808" t="s">
        <v>295</v>
      </c>
      <c r="K808" t="s">
        <v>33</v>
      </c>
      <c r="L808" t="s">
        <v>51</v>
      </c>
      <c r="M808" t="s">
        <v>323</v>
      </c>
      <c r="N808" t="s">
        <v>324</v>
      </c>
      <c r="O808" t="s">
        <v>197</v>
      </c>
      <c r="P808" t="s">
        <v>198</v>
      </c>
      <c r="Q808" t="s">
        <v>39</v>
      </c>
      <c r="R808" t="s">
        <v>40</v>
      </c>
      <c r="S808" s="1">
        <v>8766.7000000000007</v>
      </c>
      <c r="T808" s="1">
        <v>0</v>
      </c>
      <c r="U808" s="1">
        <v>0</v>
      </c>
      <c r="V808" s="1">
        <v>8766.7000000000007</v>
      </c>
      <c r="W808">
        <v>0</v>
      </c>
    </row>
    <row r="809" spans="1:23" hidden="1" x14ac:dyDescent="0.35">
      <c r="A809" t="s">
        <v>487</v>
      </c>
      <c r="B809" t="s">
        <v>488</v>
      </c>
      <c r="C809" t="s">
        <v>325</v>
      </c>
      <c r="D809" t="s">
        <v>326</v>
      </c>
      <c r="E809" t="s">
        <v>327</v>
      </c>
      <c r="F809" t="s">
        <v>189</v>
      </c>
      <c r="G809" t="s">
        <v>328</v>
      </c>
      <c r="H809" t="s">
        <v>146</v>
      </c>
      <c r="I809" t="s">
        <v>329</v>
      </c>
      <c r="J809" t="s">
        <v>330</v>
      </c>
      <c r="K809" t="s">
        <v>33</v>
      </c>
      <c r="L809" t="s">
        <v>34</v>
      </c>
      <c r="M809" t="s">
        <v>331</v>
      </c>
      <c r="N809" t="s">
        <v>332</v>
      </c>
      <c r="O809" t="s">
        <v>108</v>
      </c>
      <c r="P809" t="s">
        <v>109</v>
      </c>
      <c r="Q809" t="s">
        <v>39</v>
      </c>
      <c r="R809" t="s">
        <v>40</v>
      </c>
      <c r="S809" s="1">
        <v>662520.5</v>
      </c>
      <c r="T809" s="1">
        <v>386995.8285</v>
      </c>
      <c r="U809" s="1">
        <v>72997.515700000004</v>
      </c>
      <c r="V809" s="1">
        <v>275524.6715</v>
      </c>
      <c r="W809">
        <v>58</v>
      </c>
    </row>
    <row r="810" spans="1:23" hidden="1" x14ac:dyDescent="0.35">
      <c r="A810" t="s">
        <v>487</v>
      </c>
      <c r="B810" t="s">
        <v>488</v>
      </c>
      <c r="C810" t="s">
        <v>333</v>
      </c>
      <c r="D810" t="s">
        <v>326</v>
      </c>
      <c r="E810" t="s">
        <v>327</v>
      </c>
      <c r="F810" t="s">
        <v>189</v>
      </c>
      <c r="G810" t="s">
        <v>328</v>
      </c>
      <c r="H810" t="s">
        <v>146</v>
      </c>
      <c r="I810" t="s">
        <v>329</v>
      </c>
      <c r="J810" t="s">
        <v>330</v>
      </c>
      <c r="K810" t="s">
        <v>33</v>
      </c>
      <c r="L810" t="s">
        <v>34</v>
      </c>
      <c r="M810" t="s">
        <v>331</v>
      </c>
      <c r="N810" t="s">
        <v>332</v>
      </c>
      <c r="O810" t="s">
        <v>334</v>
      </c>
      <c r="P810" t="s">
        <v>335</v>
      </c>
      <c r="Q810" t="s">
        <v>39</v>
      </c>
      <c r="R810" t="s">
        <v>40</v>
      </c>
      <c r="S810" s="1">
        <v>5379.7</v>
      </c>
      <c r="T810" s="1">
        <v>2059.4634000000001</v>
      </c>
      <c r="U810" s="1">
        <v>261.36649999999997</v>
      </c>
      <c r="V810" s="1">
        <v>3320.2366000000002</v>
      </c>
      <c r="W810">
        <v>38</v>
      </c>
    </row>
    <row r="811" spans="1:23" hidden="1" x14ac:dyDescent="0.35">
      <c r="A811" t="s">
        <v>487</v>
      </c>
      <c r="B811" t="s">
        <v>488</v>
      </c>
      <c r="C811" t="s">
        <v>336</v>
      </c>
      <c r="D811" t="s">
        <v>337</v>
      </c>
      <c r="E811" t="s">
        <v>327</v>
      </c>
      <c r="F811" t="s">
        <v>116</v>
      </c>
      <c r="G811" t="s">
        <v>338</v>
      </c>
      <c r="H811" t="s">
        <v>146</v>
      </c>
      <c r="I811" t="s">
        <v>329</v>
      </c>
      <c r="J811" t="s">
        <v>339</v>
      </c>
      <c r="K811" t="s">
        <v>23</v>
      </c>
      <c r="L811" t="s">
        <v>203</v>
      </c>
      <c r="M811" t="s">
        <v>340</v>
      </c>
      <c r="N811" t="s">
        <v>341</v>
      </c>
      <c r="O811" t="s">
        <v>197</v>
      </c>
      <c r="P811" t="s">
        <v>198</v>
      </c>
      <c r="Q811" t="s">
        <v>39</v>
      </c>
      <c r="R811" t="s">
        <v>40</v>
      </c>
      <c r="S811" s="1">
        <v>104471.3</v>
      </c>
      <c r="T811" s="1">
        <v>88428.677200000006</v>
      </c>
      <c r="U811" s="1">
        <v>0</v>
      </c>
      <c r="V811" s="1">
        <v>16042.622799999999</v>
      </c>
      <c r="W811">
        <v>85</v>
      </c>
    </row>
    <row r="812" spans="1:23" hidden="1" x14ac:dyDescent="0.35">
      <c r="A812" t="s">
        <v>487</v>
      </c>
      <c r="B812" t="s">
        <v>488</v>
      </c>
      <c r="C812" t="s">
        <v>452</v>
      </c>
      <c r="D812" t="s">
        <v>337</v>
      </c>
      <c r="E812" t="s">
        <v>327</v>
      </c>
      <c r="F812" t="s">
        <v>116</v>
      </c>
      <c r="G812" t="s">
        <v>338</v>
      </c>
      <c r="H812" t="s">
        <v>146</v>
      </c>
      <c r="I812" t="s">
        <v>329</v>
      </c>
      <c r="J812" t="s">
        <v>339</v>
      </c>
      <c r="K812" t="s">
        <v>23</v>
      </c>
      <c r="L812" t="s">
        <v>203</v>
      </c>
      <c r="M812" t="s">
        <v>453</v>
      </c>
      <c r="N812" t="s">
        <v>454</v>
      </c>
      <c r="O812" t="s">
        <v>197</v>
      </c>
      <c r="P812" t="s">
        <v>198</v>
      </c>
      <c r="Q812" t="s">
        <v>39</v>
      </c>
      <c r="R812" t="s">
        <v>40</v>
      </c>
      <c r="S812" s="1">
        <v>12819.6</v>
      </c>
      <c r="T812" s="1">
        <v>12819.572</v>
      </c>
      <c r="U812" s="1">
        <v>12819.572</v>
      </c>
      <c r="V812" s="1">
        <v>2.8000000000000001E-2</v>
      </c>
      <c r="W812">
        <v>100</v>
      </c>
    </row>
    <row r="813" spans="1:23" hidden="1" x14ac:dyDescent="0.35">
      <c r="A813" t="s">
        <v>487</v>
      </c>
      <c r="B813" t="s">
        <v>488</v>
      </c>
      <c r="C813" t="s">
        <v>437</v>
      </c>
      <c r="D813" t="s">
        <v>337</v>
      </c>
      <c r="E813" t="s">
        <v>327</v>
      </c>
      <c r="F813" t="s">
        <v>116</v>
      </c>
      <c r="G813" t="s">
        <v>338</v>
      </c>
      <c r="H813" t="s">
        <v>146</v>
      </c>
      <c r="I813" t="s">
        <v>329</v>
      </c>
      <c r="J813" t="s">
        <v>330</v>
      </c>
      <c r="K813" t="s">
        <v>33</v>
      </c>
      <c r="L813" t="s">
        <v>34</v>
      </c>
      <c r="M813" t="s">
        <v>438</v>
      </c>
      <c r="N813" t="s">
        <v>439</v>
      </c>
      <c r="O813" t="s">
        <v>197</v>
      </c>
      <c r="P813" t="s">
        <v>198</v>
      </c>
      <c r="Q813" t="s">
        <v>39</v>
      </c>
      <c r="R813" t="s">
        <v>40</v>
      </c>
      <c r="S813" s="1">
        <v>34518.6</v>
      </c>
      <c r="T813" s="1">
        <v>12768.075800000001</v>
      </c>
      <c r="U813" s="1">
        <v>1250.5785000000001</v>
      </c>
      <c r="V813" s="1">
        <v>21750.5242</v>
      </c>
      <c r="W813">
        <v>37</v>
      </c>
    </row>
    <row r="814" spans="1:23" hidden="1" x14ac:dyDescent="0.35">
      <c r="A814" t="s">
        <v>487</v>
      </c>
      <c r="B814" t="s">
        <v>488</v>
      </c>
      <c r="C814" t="s">
        <v>342</v>
      </c>
      <c r="D814" t="s">
        <v>337</v>
      </c>
      <c r="E814" t="s">
        <v>327</v>
      </c>
      <c r="F814" t="s">
        <v>116</v>
      </c>
      <c r="G814" t="s">
        <v>338</v>
      </c>
      <c r="H814" t="s">
        <v>146</v>
      </c>
      <c r="I814" t="s">
        <v>329</v>
      </c>
      <c r="J814" t="s">
        <v>330</v>
      </c>
      <c r="K814" t="s">
        <v>33</v>
      </c>
      <c r="L814" t="s">
        <v>34</v>
      </c>
      <c r="M814" t="s">
        <v>343</v>
      </c>
      <c r="N814" t="s">
        <v>344</v>
      </c>
      <c r="O814" t="s">
        <v>37</v>
      </c>
      <c r="P814" t="s">
        <v>38</v>
      </c>
      <c r="Q814" t="s">
        <v>39</v>
      </c>
      <c r="R814" t="s">
        <v>40</v>
      </c>
      <c r="S814" s="1">
        <v>48.2</v>
      </c>
      <c r="T814" s="1">
        <v>0</v>
      </c>
      <c r="U814" s="1">
        <v>0</v>
      </c>
      <c r="V814" s="1">
        <v>48.2</v>
      </c>
      <c r="W814">
        <v>0</v>
      </c>
    </row>
    <row r="815" spans="1:23" hidden="1" x14ac:dyDescent="0.35">
      <c r="A815" t="s">
        <v>487</v>
      </c>
      <c r="B815" t="s">
        <v>488</v>
      </c>
      <c r="C815" t="s">
        <v>345</v>
      </c>
      <c r="D815" t="s">
        <v>337</v>
      </c>
      <c r="E815" t="s">
        <v>327</v>
      </c>
      <c r="F815" t="s">
        <v>116</v>
      </c>
      <c r="G815" t="s">
        <v>338</v>
      </c>
      <c r="H815" t="s">
        <v>146</v>
      </c>
      <c r="I815" t="s">
        <v>329</v>
      </c>
      <c r="J815" t="s">
        <v>330</v>
      </c>
      <c r="K815" t="s">
        <v>33</v>
      </c>
      <c r="L815" t="s">
        <v>34</v>
      </c>
      <c r="M815" t="s">
        <v>346</v>
      </c>
      <c r="N815" t="s">
        <v>347</v>
      </c>
      <c r="O815" t="s">
        <v>197</v>
      </c>
      <c r="P815" t="s">
        <v>198</v>
      </c>
      <c r="Q815" t="s">
        <v>39</v>
      </c>
      <c r="R815" t="s">
        <v>40</v>
      </c>
      <c r="S815" s="1">
        <v>223871.4</v>
      </c>
      <c r="T815" s="1">
        <v>76240.403600000005</v>
      </c>
      <c r="U815" s="1">
        <v>15852.4197</v>
      </c>
      <c r="V815" s="1">
        <v>147630.9964</v>
      </c>
      <c r="W815">
        <v>34</v>
      </c>
    </row>
    <row r="816" spans="1:23" hidden="1" x14ac:dyDescent="0.35">
      <c r="A816" t="s">
        <v>487</v>
      </c>
      <c r="B816" t="s">
        <v>488</v>
      </c>
      <c r="C816" t="s">
        <v>489</v>
      </c>
      <c r="D816" t="s">
        <v>337</v>
      </c>
      <c r="E816" t="s">
        <v>327</v>
      </c>
      <c r="F816" t="s">
        <v>116</v>
      </c>
      <c r="G816" t="s">
        <v>338</v>
      </c>
      <c r="H816" t="s">
        <v>146</v>
      </c>
      <c r="I816" t="s">
        <v>329</v>
      </c>
      <c r="J816" t="s">
        <v>330</v>
      </c>
      <c r="K816" t="s">
        <v>33</v>
      </c>
      <c r="L816" t="s">
        <v>34</v>
      </c>
      <c r="M816" t="s">
        <v>490</v>
      </c>
      <c r="N816" t="s">
        <v>491</v>
      </c>
      <c r="O816" t="s">
        <v>197</v>
      </c>
      <c r="P816" t="s">
        <v>198</v>
      </c>
      <c r="Q816" t="s">
        <v>39</v>
      </c>
      <c r="R816" t="s">
        <v>40</v>
      </c>
      <c r="S816" s="1">
        <v>15000</v>
      </c>
      <c r="T816" s="1">
        <v>0</v>
      </c>
      <c r="U816" s="1">
        <v>0</v>
      </c>
      <c r="V816" s="1">
        <v>15000</v>
      </c>
      <c r="W816">
        <v>0</v>
      </c>
    </row>
    <row r="817" spans="1:23" hidden="1" x14ac:dyDescent="0.35">
      <c r="A817" t="s">
        <v>487</v>
      </c>
      <c r="B817" t="s">
        <v>488</v>
      </c>
      <c r="C817" t="s">
        <v>348</v>
      </c>
      <c r="D817" t="s">
        <v>337</v>
      </c>
      <c r="E817" t="s">
        <v>327</v>
      </c>
      <c r="F817" t="s">
        <v>116</v>
      </c>
      <c r="G817" t="s">
        <v>338</v>
      </c>
      <c r="H817" t="s">
        <v>146</v>
      </c>
      <c r="I817" t="s">
        <v>329</v>
      </c>
      <c r="J817" t="s">
        <v>330</v>
      </c>
      <c r="K817" t="s">
        <v>33</v>
      </c>
      <c r="L817" t="s">
        <v>34</v>
      </c>
      <c r="M817" t="s">
        <v>349</v>
      </c>
      <c r="N817" t="s">
        <v>350</v>
      </c>
      <c r="O817" t="s">
        <v>197</v>
      </c>
      <c r="P817" t="s">
        <v>198</v>
      </c>
      <c r="Q817" t="s">
        <v>39</v>
      </c>
      <c r="R817" t="s">
        <v>40</v>
      </c>
      <c r="S817" s="1">
        <v>29779.9</v>
      </c>
      <c r="T817" s="1">
        <v>0</v>
      </c>
      <c r="U817" s="1">
        <v>0</v>
      </c>
      <c r="V817" s="1">
        <v>29779.9</v>
      </c>
      <c r="W817">
        <v>0</v>
      </c>
    </row>
    <row r="818" spans="1:23" hidden="1" x14ac:dyDescent="0.35">
      <c r="A818" t="s">
        <v>487</v>
      </c>
      <c r="B818" t="s">
        <v>488</v>
      </c>
      <c r="C818" t="s">
        <v>351</v>
      </c>
      <c r="D818" t="s">
        <v>337</v>
      </c>
      <c r="E818" t="s">
        <v>327</v>
      </c>
      <c r="F818" t="s">
        <v>116</v>
      </c>
      <c r="G818" t="s">
        <v>338</v>
      </c>
      <c r="H818" t="s">
        <v>146</v>
      </c>
      <c r="I818" t="s">
        <v>329</v>
      </c>
      <c r="J818" t="s">
        <v>330</v>
      </c>
      <c r="K818" t="s">
        <v>33</v>
      </c>
      <c r="L818" t="s">
        <v>34</v>
      </c>
      <c r="M818" t="s">
        <v>352</v>
      </c>
      <c r="N818" t="s">
        <v>353</v>
      </c>
      <c r="O818" t="s">
        <v>197</v>
      </c>
      <c r="P818" t="s">
        <v>198</v>
      </c>
      <c r="Q818" t="s">
        <v>39</v>
      </c>
      <c r="R818" t="s">
        <v>40</v>
      </c>
      <c r="S818" s="1">
        <v>7460.5</v>
      </c>
      <c r="T818" s="1">
        <v>1424.1917000000001</v>
      </c>
      <c r="U818" s="1">
        <v>0</v>
      </c>
      <c r="V818" s="1">
        <v>6036.3082999999997</v>
      </c>
      <c r="W818">
        <v>19</v>
      </c>
    </row>
    <row r="819" spans="1:23" hidden="1" x14ac:dyDescent="0.35">
      <c r="A819" t="s">
        <v>487</v>
      </c>
      <c r="B819" t="s">
        <v>488</v>
      </c>
      <c r="C819" t="s">
        <v>455</v>
      </c>
      <c r="D819" t="s">
        <v>337</v>
      </c>
      <c r="E819" t="s">
        <v>327</v>
      </c>
      <c r="F819" t="s">
        <v>116</v>
      </c>
      <c r="G819" t="s">
        <v>338</v>
      </c>
      <c r="H819" t="s">
        <v>146</v>
      </c>
      <c r="I819" t="s">
        <v>329</v>
      </c>
      <c r="J819" t="s">
        <v>330</v>
      </c>
      <c r="K819" t="s">
        <v>33</v>
      </c>
      <c r="L819" t="s">
        <v>34</v>
      </c>
      <c r="M819" t="s">
        <v>456</v>
      </c>
      <c r="N819" t="s">
        <v>457</v>
      </c>
      <c r="O819" t="s">
        <v>197</v>
      </c>
      <c r="P819" t="s">
        <v>198</v>
      </c>
      <c r="Q819" t="s">
        <v>39</v>
      </c>
      <c r="R819" t="s">
        <v>40</v>
      </c>
      <c r="S819" s="1">
        <v>1889.2</v>
      </c>
      <c r="T819" s="1">
        <v>806.99900000000002</v>
      </c>
      <c r="U819" s="1">
        <v>0</v>
      </c>
      <c r="V819" s="1">
        <v>1082.201</v>
      </c>
      <c r="W819">
        <v>43</v>
      </c>
    </row>
    <row r="820" spans="1:23" hidden="1" x14ac:dyDescent="0.35">
      <c r="A820" t="s">
        <v>487</v>
      </c>
      <c r="B820" t="s">
        <v>488</v>
      </c>
      <c r="C820" t="s">
        <v>354</v>
      </c>
      <c r="D820" t="s">
        <v>337</v>
      </c>
      <c r="E820" t="s">
        <v>327</v>
      </c>
      <c r="F820" t="s">
        <v>116</v>
      </c>
      <c r="G820" t="s">
        <v>338</v>
      </c>
      <c r="H820" t="s">
        <v>146</v>
      </c>
      <c r="I820" t="s">
        <v>329</v>
      </c>
      <c r="J820" t="s">
        <v>330</v>
      </c>
      <c r="K820" t="s">
        <v>33</v>
      </c>
      <c r="L820" t="s">
        <v>34</v>
      </c>
      <c r="M820" t="s">
        <v>355</v>
      </c>
      <c r="N820" t="s">
        <v>356</v>
      </c>
      <c r="O820" t="s">
        <v>197</v>
      </c>
      <c r="P820" t="s">
        <v>198</v>
      </c>
      <c r="Q820" t="s">
        <v>39</v>
      </c>
      <c r="R820" t="s">
        <v>40</v>
      </c>
      <c r="S820" s="1">
        <v>45132.3</v>
      </c>
      <c r="T820" s="1">
        <v>19156.459200000001</v>
      </c>
      <c r="U820" s="1">
        <v>4133.2478000000001</v>
      </c>
      <c r="V820" s="1">
        <v>25975.840800000002</v>
      </c>
      <c r="W820">
        <v>42</v>
      </c>
    </row>
    <row r="821" spans="1:23" hidden="1" x14ac:dyDescent="0.35">
      <c r="A821" t="s">
        <v>487</v>
      </c>
      <c r="B821" t="s">
        <v>488</v>
      </c>
      <c r="C821" t="s">
        <v>463</v>
      </c>
      <c r="D821" t="s">
        <v>337</v>
      </c>
      <c r="E821" t="s">
        <v>327</v>
      </c>
      <c r="F821" t="s">
        <v>116</v>
      </c>
      <c r="G821" t="s">
        <v>338</v>
      </c>
      <c r="H821" t="s">
        <v>146</v>
      </c>
      <c r="I821" t="s">
        <v>329</v>
      </c>
      <c r="J821" t="s">
        <v>330</v>
      </c>
      <c r="K821" t="s">
        <v>33</v>
      </c>
      <c r="L821" t="s">
        <v>34</v>
      </c>
      <c r="M821" t="s">
        <v>464</v>
      </c>
      <c r="N821" t="s">
        <v>465</v>
      </c>
      <c r="O821" t="s">
        <v>197</v>
      </c>
      <c r="P821" t="s">
        <v>198</v>
      </c>
      <c r="Q821" t="s">
        <v>39</v>
      </c>
      <c r="R821" t="s">
        <v>40</v>
      </c>
      <c r="S821" s="1">
        <v>5997.5</v>
      </c>
      <c r="T821" s="1">
        <v>4379.0312000000004</v>
      </c>
      <c r="U821" s="1">
        <v>4379.0312000000004</v>
      </c>
      <c r="V821" s="1">
        <v>1618.4688000000001</v>
      </c>
      <c r="W821">
        <v>73</v>
      </c>
    </row>
    <row r="822" spans="1:23" hidden="1" x14ac:dyDescent="0.35">
      <c r="A822" t="s">
        <v>487</v>
      </c>
      <c r="B822" t="s">
        <v>488</v>
      </c>
      <c r="C822" t="s">
        <v>357</v>
      </c>
      <c r="D822" t="s">
        <v>337</v>
      </c>
      <c r="E822" t="s">
        <v>327</v>
      </c>
      <c r="F822" t="s">
        <v>116</v>
      </c>
      <c r="G822" t="s">
        <v>338</v>
      </c>
      <c r="H822" t="s">
        <v>146</v>
      </c>
      <c r="I822" t="s">
        <v>329</v>
      </c>
      <c r="J822" t="s">
        <v>330</v>
      </c>
      <c r="K822" t="s">
        <v>33</v>
      </c>
      <c r="L822" t="s">
        <v>34</v>
      </c>
      <c r="M822" t="s">
        <v>358</v>
      </c>
      <c r="N822" t="s">
        <v>359</v>
      </c>
      <c r="O822" t="s">
        <v>197</v>
      </c>
      <c r="P822" t="s">
        <v>198</v>
      </c>
      <c r="Q822" t="s">
        <v>39</v>
      </c>
      <c r="R822" t="s">
        <v>40</v>
      </c>
      <c r="S822" s="1">
        <v>100.2</v>
      </c>
      <c r="T822" s="1">
        <v>100.11799999999999</v>
      </c>
      <c r="U822" s="1">
        <v>0</v>
      </c>
      <c r="V822" s="1">
        <v>8.2000000000000003E-2</v>
      </c>
      <c r="W822">
        <v>100</v>
      </c>
    </row>
    <row r="823" spans="1:23" hidden="1" x14ac:dyDescent="0.35">
      <c r="A823" t="s">
        <v>487</v>
      </c>
      <c r="B823" t="s">
        <v>488</v>
      </c>
      <c r="C823" t="s">
        <v>360</v>
      </c>
      <c r="D823" t="s">
        <v>337</v>
      </c>
      <c r="E823" t="s">
        <v>327</v>
      </c>
      <c r="F823" t="s">
        <v>116</v>
      </c>
      <c r="G823" t="s">
        <v>338</v>
      </c>
      <c r="H823" t="s">
        <v>48</v>
      </c>
      <c r="I823" t="s">
        <v>49</v>
      </c>
      <c r="J823" t="s">
        <v>50</v>
      </c>
      <c r="K823" t="s">
        <v>33</v>
      </c>
      <c r="L823" t="s">
        <v>51</v>
      </c>
      <c r="M823" t="s">
        <v>361</v>
      </c>
      <c r="N823" t="s">
        <v>362</v>
      </c>
      <c r="O823" t="s">
        <v>197</v>
      </c>
      <c r="P823" t="s">
        <v>198</v>
      </c>
      <c r="Q823" t="s">
        <v>39</v>
      </c>
      <c r="R823" t="s">
        <v>40</v>
      </c>
      <c r="S823" s="1">
        <v>3155.1</v>
      </c>
      <c r="T823" s="1">
        <v>460.16809999999998</v>
      </c>
      <c r="U823" s="1">
        <v>77.120999999999995</v>
      </c>
      <c r="V823" s="1">
        <v>2694.9319</v>
      </c>
      <c r="W823">
        <v>15</v>
      </c>
    </row>
    <row r="824" spans="1:23" hidden="1" x14ac:dyDescent="0.35">
      <c r="A824" t="s">
        <v>487</v>
      </c>
      <c r="B824" t="s">
        <v>488</v>
      </c>
      <c r="C824" t="s">
        <v>363</v>
      </c>
      <c r="D824" t="s">
        <v>364</v>
      </c>
      <c r="E824" t="s">
        <v>365</v>
      </c>
      <c r="F824" t="s">
        <v>189</v>
      </c>
      <c r="G824" t="s">
        <v>366</v>
      </c>
      <c r="H824" t="s">
        <v>28</v>
      </c>
      <c r="I824" t="s">
        <v>231</v>
      </c>
      <c r="J824" t="s">
        <v>232</v>
      </c>
      <c r="K824" t="s">
        <v>33</v>
      </c>
      <c r="L824" t="s">
        <v>51</v>
      </c>
      <c r="M824" t="s">
        <v>367</v>
      </c>
      <c r="N824" t="s">
        <v>368</v>
      </c>
      <c r="O824" t="s">
        <v>108</v>
      </c>
      <c r="P824" t="s">
        <v>109</v>
      </c>
      <c r="Q824" t="s">
        <v>39</v>
      </c>
      <c r="R824" t="s">
        <v>40</v>
      </c>
      <c r="S824" s="1">
        <v>211289.8</v>
      </c>
      <c r="T824" s="1">
        <v>124316.9166</v>
      </c>
      <c r="U824" s="1">
        <v>17574.975399999999</v>
      </c>
      <c r="V824" s="1">
        <v>86972.883400000006</v>
      </c>
      <c r="W824">
        <v>59</v>
      </c>
    </row>
    <row r="825" spans="1:23" hidden="1" x14ac:dyDescent="0.35">
      <c r="A825" t="s">
        <v>487</v>
      </c>
      <c r="B825" t="s">
        <v>488</v>
      </c>
      <c r="C825" t="s">
        <v>369</v>
      </c>
      <c r="D825" t="s">
        <v>364</v>
      </c>
      <c r="E825" t="s">
        <v>365</v>
      </c>
      <c r="F825" t="s">
        <v>189</v>
      </c>
      <c r="G825" t="s">
        <v>366</v>
      </c>
      <c r="H825" t="s">
        <v>28</v>
      </c>
      <c r="I825" t="s">
        <v>231</v>
      </c>
      <c r="J825" t="s">
        <v>232</v>
      </c>
      <c r="K825" t="s">
        <v>33</v>
      </c>
      <c r="L825" t="s">
        <v>51</v>
      </c>
      <c r="M825" t="s">
        <v>367</v>
      </c>
      <c r="N825" t="s">
        <v>368</v>
      </c>
      <c r="O825" t="s">
        <v>334</v>
      </c>
      <c r="P825" t="s">
        <v>335</v>
      </c>
      <c r="Q825" t="s">
        <v>39</v>
      </c>
      <c r="R825" t="s">
        <v>40</v>
      </c>
      <c r="S825" s="1">
        <v>21225</v>
      </c>
      <c r="T825" s="1">
        <v>10969.8868</v>
      </c>
      <c r="U825" s="1">
        <v>1422.2352000000001</v>
      </c>
      <c r="V825" s="1">
        <v>10255.1132</v>
      </c>
      <c r="W825">
        <v>52</v>
      </c>
    </row>
    <row r="826" spans="1:23" hidden="1" x14ac:dyDescent="0.35">
      <c r="A826" t="s">
        <v>487</v>
      </c>
      <c r="B826" t="s">
        <v>488</v>
      </c>
      <c r="C826" t="s">
        <v>370</v>
      </c>
      <c r="D826" t="s">
        <v>364</v>
      </c>
      <c r="E826" t="s">
        <v>365</v>
      </c>
      <c r="F826" t="s">
        <v>189</v>
      </c>
      <c r="G826" t="s">
        <v>366</v>
      </c>
      <c r="H826" t="s">
        <v>28</v>
      </c>
      <c r="I826" t="s">
        <v>231</v>
      </c>
      <c r="J826" t="s">
        <v>232</v>
      </c>
      <c r="K826" t="s">
        <v>33</v>
      </c>
      <c r="L826" t="s">
        <v>51</v>
      </c>
      <c r="M826" t="s">
        <v>371</v>
      </c>
      <c r="N826" t="s">
        <v>372</v>
      </c>
      <c r="O826" t="s">
        <v>108</v>
      </c>
      <c r="P826" t="s">
        <v>109</v>
      </c>
      <c r="Q826" t="s">
        <v>39</v>
      </c>
      <c r="R826" t="s">
        <v>40</v>
      </c>
      <c r="S826" s="1">
        <v>3994.2</v>
      </c>
      <c r="T826" s="1">
        <v>2253.2411000000002</v>
      </c>
      <c r="U826" s="1">
        <v>296.84769999999997</v>
      </c>
      <c r="V826" s="1">
        <v>1740.9589000000001</v>
      </c>
      <c r="W826">
        <v>56</v>
      </c>
    </row>
    <row r="827" spans="1:23" hidden="1" x14ac:dyDescent="0.35">
      <c r="A827" t="s">
        <v>487</v>
      </c>
      <c r="B827" t="s">
        <v>488</v>
      </c>
      <c r="C827" t="s">
        <v>373</v>
      </c>
      <c r="D827" t="s">
        <v>364</v>
      </c>
      <c r="E827" t="s">
        <v>365</v>
      </c>
      <c r="F827" t="s">
        <v>189</v>
      </c>
      <c r="G827" t="s">
        <v>366</v>
      </c>
      <c r="H827" t="s">
        <v>28</v>
      </c>
      <c r="I827" t="s">
        <v>231</v>
      </c>
      <c r="J827" t="s">
        <v>232</v>
      </c>
      <c r="K827" t="s">
        <v>33</v>
      </c>
      <c r="L827" t="s">
        <v>51</v>
      </c>
      <c r="M827" t="s">
        <v>371</v>
      </c>
      <c r="N827" t="s">
        <v>372</v>
      </c>
      <c r="O827" t="s">
        <v>334</v>
      </c>
      <c r="P827" t="s">
        <v>335</v>
      </c>
      <c r="Q827" t="s">
        <v>39</v>
      </c>
      <c r="R827" t="s">
        <v>40</v>
      </c>
      <c r="S827" s="1">
        <v>128356.9</v>
      </c>
      <c r="T827" s="1">
        <v>82230.388900000005</v>
      </c>
      <c r="U827" s="1">
        <v>16321.3449</v>
      </c>
      <c r="V827" s="1">
        <v>46126.511100000003</v>
      </c>
      <c r="W827">
        <v>64</v>
      </c>
    </row>
    <row r="828" spans="1:23" hidden="1" x14ac:dyDescent="0.35">
      <c r="A828" t="s">
        <v>487</v>
      </c>
      <c r="B828" t="s">
        <v>488</v>
      </c>
      <c r="C828" t="s">
        <v>374</v>
      </c>
      <c r="D828" t="s">
        <v>364</v>
      </c>
      <c r="E828" t="s">
        <v>365</v>
      </c>
      <c r="F828" t="s">
        <v>189</v>
      </c>
      <c r="G828" t="s">
        <v>366</v>
      </c>
      <c r="H828" t="s">
        <v>28</v>
      </c>
      <c r="I828" t="s">
        <v>231</v>
      </c>
      <c r="J828" t="s">
        <v>232</v>
      </c>
      <c r="K828" t="s">
        <v>33</v>
      </c>
      <c r="L828" t="s">
        <v>51</v>
      </c>
      <c r="M828" t="s">
        <v>375</v>
      </c>
      <c r="N828" t="s">
        <v>376</v>
      </c>
      <c r="O828" t="s">
        <v>197</v>
      </c>
      <c r="P828" t="s">
        <v>198</v>
      </c>
      <c r="Q828" t="s">
        <v>39</v>
      </c>
      <c r="R828" t="s">
        <v>40</v>
      </c>
      <c r="S828" s="1">
        <v>21376.1</v>
      </c>
      <c r="T828" s="1">
        <v>18259.561099999999</v>
      </c>
      <c r="U828" s="1">
        <v>0</v>
      </c>
      <c r="V828" s="1">
        <v>3116.5389</v>
      </c>
      <c r="W828">
        <v>85</v>
      </c>
    </row>
    <row r="829" spans="1:23" hidden="1" x14ac:dyDescent="0.35">
      <c r="A829" t="s">
        <v>487</v>
      </c>
      <c r="B829" t="s">
        <v>488</v>
      </c>
      <c r="C829" t="s">
        <v>377</v>
      </c>
      <c r="D829" t="s">
        <v>364</v>
      </c>
      <c r="E829" t="s">
        <v>365</v>
      </c>
      <c r="F829" t="s">
        <v>189</v>
      </c>
      <c r="G829" t="s">
        <v>366</v>
      </c>
      <c r="H829" t="s">
        <v>28</v>
      </c>
      <c r="I829" t="s">
        <v>231</v>
      </c>
      <c r="J829" t="s">
        <v>232</v>
      </c>
      <c r="K829" t="s">
        <v>33</v>
      </c>
      <c r="L829" t="s">
        <v>51</v>
      </c>
      <c r="M829" t="s">
        <v>378</v>
      </c>
      <c r="N829" t="s">
        <v>379</v>
      </c>
      <c r="O829" t="s">
        <v>108</v>
      </c>
      <c r="P829" t="s">
        <v>109</v>
      </c>
      <c r="Q829" t="s">
        <v>39</v>
      </c>
      <c r="R829" t="s">
        <v>40</v>
      </c>
      <c r="S829" s="1">
        <v>15133.5</v>
      </c>
      <c r="T829" s="1">
        <v>8457.2721999999994</v>
      </c>
      <c r="U829" s="1">
        <v>1526.4064000000001</v>
      </c>
      <c r="V829" s="1">
        <v>6676.2277999999997</v>
      </c>
      <c r="W829">
        <v>56</v>
      </c>
    </row>
    <row r="830" spans="1:23" hidden="1" x14ac:dyDescent="0.35">
      <c r="A830" t="s">
        <v>487</v>
      </c>
      <c r="B830" t="s">
        <v>488</v>
      </c>
      <c r="C830" t="s">
        <v>380</v>
      </c>
      <c r="D830" t="s">
        <v>364</v>
      </c>
      <c r="E830" t="s">
        <v>365</v>
      </c>
      <c r="F830" t="s">
        <v>189</v>
      </c>
      <c r="G830" t="s">
        <v>366</v>
      </c>
      <c r="H830" t="s">
        <v>28</v>
      </c>
      <c r="I830" t="s">
        <v>231</v>
      </c>
      <c r="J830" t="s">
        <v>232</v>
      </c>
      <c r="K830" t="s">
        <v>33</v>
      </c>
      <c r="L830" t="s">
        <v>51</v>
      </c>
      <c r="M830" t="s">
        <v>378</v>
      </c>
      <c r="N830" t="s">
        <v>379</v>
      </c>
      <c r="O830" t="s">
        <v>334</v>
      </c>
      <c r="P830" t="s">
        <v>335</v>
      </c>
      <c r="Q830" t="s">
        <v>39</v>
      </c>
      <c r="R830" t="s">
        <v>40</v>
      </c>
      <c r="S830" s="1">
        <v>509027.5</v>
      </c>
      <c r="T830" s="1">
        <v>303282.35950000002</v>
      </c>
      <c r="U830" s="1">
        <v>43540.302199999998</v>
      </c>
      <c r="V830" s="1">
        <v>205745.14050000001</v>
      </c>
      <c r="W830">
        <v>60</v>
      </c>
    </row>
    <row r="831" spans="1:23" hidden="1" x14ac:dyDescent="0.35">
      <c r="A831" t="s">
        <v>487</v>
      </c>
      <c r="B831" t="s">
        <v>488</v>
      </c>
      <c r="C831" t="s">
        <v>381</v>
      </c>
      <c r="D831" t="s">
        <v>364</v>
      </c>
      <c r="E831" t="s">
        <v>365</v>
      </c>
      <c r="F831" t="s">
        <v>189</v>
      </c>
      <c r="G831" t="s">
        <v>366</v>
      </c>
      <c r="H831" t="s">
        <v>28</v>
      </c>
      <c r="I831" t="s">
        <v>231</v>
      </c>
      <c r="J831" t="s">
        <v>232</v>
      </c>
      <c r="K831" t="s">
        <v>33</v>
      </c>
      <c r="L831" t="s">
        <v>51</v>
      </c>
      <c r="M831" t="s">
        <v>382</v>
      </c>
      <c r="N831" t="s">
        <v>383</v>
      </c>
      <c r="O831" t="s">
        <v>108</v>
      </c>
      <c r="P831" t="s">
        <v>109</v>
      </c>
      <c r="Q831" t="s">
        <v>39</v>
      </c>
      <c r="R831" t="s">
        <v>40</v>
      </c>
      <c r="S831" s="1">
        <v>4541.7</v>
      </c>
      <c r="T831" s="1">
        <v>2246.1939000000002</v>
      </c>
      <c r="U831" s="1">
        <v>438.06790000000001</v>
      </c>
      <c r="V831" s="1">
        <v>2295.5061000000001</v>
      </c>
      <c r="W831">
        <v>49</v>
      </c>
    </row>
    <row r="832" spans="1:23" hidden="1" x14ac:dyDescent="0.35">
      <c r="A832" t="s">
        <v>487</v>
      </c>
      <c r="B832" t="s">
        <v>488</v>
      </c>
      <c r="C832" t="s">
        <v>384</v>
      </c>
      <c r="D832" t="s">
        <v>364</v>
      </c>
      <c r="E832" t="s">
        <v>365</v>
      </c>
      <c r="F832" t="s">
        <v>189</v>
      </c>
      <c r="G832" t="s">
        <v>366</v>
      </c>
      <c r="H832" t="s">
        <v>28</v>
      </c>
      <c r="I832" t="s">
        <v>231</v>
      </c>
      <c r="J832" t="s">
        <v>232</v>
      </c>
      <c r="K832" t="s">
        <v>33</v>
      </c>
      <c r="L832" t="s">
        <v>51</v>
      </c>
      <c r="M832" t="s">
        <v>382</v>
      </c>
      <c r="N832" t="s">
        <v>383</v>
      </c>
      <c r="O832" t="s">
        <v>334</v>
      </c>
      <c r="P832" t="s">
        <v>335</v>
      </c>
      <c r="Q832" t="s">
        <v>39</v>
      </c>
      <c r="R832" t="s">
        <v>40</v>
      </c>
      <c r="S832" s="1">
        <v>59802</v>
      </c>
      <c r="T832" s="1">
        <v>33684.4306</v>
      </c>
      <c r="U832" s="1">
        <v>6009.8692000000001</v>
      </c>
      <c r="V832" s="1">
        <v>26117.5694</v>
      </c>
      <c r="W832">
        <v>56</v>
      </c>
    </row>
    <row r="833" spans="1:23" hidden="1" x14ac:dyDescent="0.35">
      <c r="A833" t="s">
        <v>487</v>
      </c>
      <c r="B833" t="s">
        <v>488</v>
      </c>
      <c r="C833" t="s">
        <v>385</v>
      </c>
      <c r="D833" t="s">
        <v>364</v>
      </c>
      <c r="E833" t="s">
        <v>365</v>
      </c>
      <c r="F833" t="s">
        <v>189</v>
      </c>
      <c r="G833" t="s">
        <v>366</v>
      </c>
      <c r="H833" t="s">
        <v>28</v>
      </c>
      <c r="I833" t="s">
        <v>231</v>
      </c>
      <c r="J833" t="s">
        <v>232</v>
      </c>
      <c r="K833" t="s">
        <v>33</v>
      </c>
      <c r="L833" t="s">
        <v>51</v>
      </c>
      <c r="M833" t="s">
        <v>386</v>
      </c>
      <c r="N833" t="s">
        <v>387</v>
      </c>
      <c r="O833" t="s">
        <v>197</v>
      </c>
      <c r="P833" t="s">
        <v>198</v>
      </c>
      <c r="Q833" t="s">
        <v>39</v>
      </c>
      <c r="R833" t="s">
        <v>40</v>
      </c>
      <c r="S833" s="1">
        <v>3856.7</v>
      </c>
      <c r="T833" s="1">
        <v>2935.1909999999998</v>
      </c>
      <c r="U833" s="1">
        <v>851.43539999999996</v>
      </c>
      <c r="V833" s="1">
        <v>921.50900000000001</v>
      </c>
      <c r="W833">
        <v>76</v>
      </c>
    </row>
    <row r="834" spans="1:23" hidden="1" x14ac:dyDescent="0.35">
      <c r="A834" t="s">
        <v>487</v>
      </c>
      <c r="B834" t="s">
        <v>488</v>
      </c>
      <c r="C834" t="s">
        <v>388</v>
      </c>
      <c r="D834" t="s">
        <v>364</v>
      </c>
      <c r="E834" t="s">
        <v>365</v>
      </c>
      <c r="F834" t="s">
        <v>189</v>
      </c>
      <c r="G834" t="s">
        <v>366</v>
      </c>
      <c r="H834" t="s">
        <v>28</v>
      </c>
      <c r="I834" t="s">
        <v>231</v>
      </c>
      <c r="J834" t="s">
        <v>232</v>
      </c>
      <c r="K834" t="s">
        <v>33</v>
      </c>
      <c r="L834" t="s">
        <v>51</v>
      </c>
      <c r="M834" t="s">
        <v>389</v>
      </c>
      <c r="N834" t="s">
        <v>390</v>
      </c>
      <c r="O834" t="s">
        <v>197</v>
      </c>
      <c r="P834" t="s">
        <v>198</v>
      </c>
      <c r="Q834" t="s">
        <v>39</v>
      </c>
      <c r="R834" t="s">
        <v>40</v>
      </c>
      <c r="S834" s="1">
        <v>2500</v>
      </c>
      <c r="T834" s="1">
        <v>1439.7729999999999</v>
      </c>
      <c r="U834" s="1">
        <v>1439.7729999999999</v>
      </c>
      <c r="V834" s="1">
        <v>1060.2270000000001</v>
      </c>
      <c r="W834">
        <v>58</v>
      </c>
    </row>
    <row r="835" spans="1:23" hidden="1" x14ac:dyDescent="0.35">
      <c r="A835" t="s">
        <v>487</v>
      </c>
      <c r="B835" t="s">
        <v>488</v>
      </c>
      <c r="C835" t="s">
        <v>391</v>
      </c>
      <c r="D835" t="s">
        <v>392</v>
      </c>
      <c r="E835" t="s">
        <v>365</v>
      </c>
      <c r="F835" t="s">
        <v>28</v>
      </c>
      <c r="G835" t="s">
        <v>393</v>
      </c>
      <c r="H835" t="s">
        <v>28</v>
      </c>
      <c r="I835" t="s">
        <v>231</v>
      </c>
      <c r="J835" t="s">
        <v>232</v>
      </c>
      <c r="K835" t="s">
        <v>33</v>
      </c>
      <c r="L835" t="s">
        <v>51</v>
      </c>
      <c r="M835" t="s">
        <v>394</v>
      </c>
      <c r="N835" t="s">
        <v>395</v>
      </c>
      <c r="O835" t="s">
        <v>197</v>
      </c>
      <c r="P835" t="s">
        <v>198</v>
      </c>
      <c r="Q835" t="s">
        <v>39</v>
      </c>
      <c r="R835" t="s">
        <v>40</v>
      </c>
      <c r="S835" s="1">
        <v>51205.3</v>
      </c>
      <c r="T835" s="1">
        <v>43100.6875</v>
      </c>
      <c r="U835" s="1">
        <v>1544.7245</v>
      </c>
      <c r="V835" s="1">
        <v>8104.6125000000002</v>
      </c>
      <c r="W835">
        <v>84</v>
      </c>
    </row>
    <row r="836" spans="1:23" hidden="1" x14ac:dyDescent="0.35">
      <c r="A836" t="s">
        <v>487</v>
      </c>
      <c r="B836" t="s">
        <v>488</v>
      </c>
      <c r="C836" t="s">
        <v>479</v>
      </c>
      <c r="D836" t="s">
        <v>397</v>
      </c>
      <c r="E836" t="s">
        <v>365</v>
      </c>
      <c r="F836" t="s">
        <v>318</v>
      </c>
      <c r="G836" t="s">
        <v>398</v>
      </c>
      <c r="H836" t="s">
        <v>28</v>
      </c>
      <c r="I836" t="s">
        <v>231</v>
      </c>
      <c r="J836" t="s">
        <v>480</v>
      </c>
      <c r="K836" t="s">
        <v>23</v>
      </c>
      <c r="L836" t="s">
        <v>203</v>
      </c>
      <c r="M836" t="s">
        <v>481</v>
      </c>
      <c r="N836" t="s">
        <v>482</v>
      </c>
      <c r="O836" t="s">
        <v>197</v>
      </c>
      <c r="P836" t="s">
        <v>198</v>
      </c>
      <c r="Q836" t="s">
        <v>39</v>
      </c>
      <c r="R836" t="s">
        <v>40</v>
      </c>
      <c r="S836" s="1">
        <v>11784.4</v>
      </c>
      <c r="T836" s="1">
        <v>11784.34</v>
      </c>
      <c r="U836" s="1">
        <v>0</v>
      </c>
      <c r="V836" s="1">
        <v>0.06</v>
      </c>
      <c r="W836">
        <v>100</v>
      </c>
    </row>
    <row r="837" spans="1:23" hidden="1" x14ac:dyDescent="0.35">
      <c r="A837" t="s">
        <v>487</v>
      </c>
      <c r="B837" t="s">
        <v>488</v>
      </c>
      <c r="C837" t="s">
        <v>396</v>
      </c>
      <c r="D837" t="s">
        <v>397</v>
      </c>
      <c r="E837" t="s">
        <v>365</v>
      </c>
      <c r="F837" t="s">
        <v>318</v>
      </c>
      <c r="G837" t="s">
        <v>398</v>
      </c>
      <c r="H837" t="s">
        <v>116</v>
      </c>
      <c r="I837" t="s">
        <v>148</v>
      </c>
      <c r="J837" t="s">
        <v>149</v>
      </c>
      <c r="K837" t="s">
        <v>33</v>
      </c>
      <c r="L837" t="s">
        <v>34</v>
      </c>
      <c r="M837" t="s">
        <v>399</v>
      </c>
      <c r="N837" t="s">
        <v>400</v>
      </c>
      <c r="O837" t="s">
        <v>401</v>
      </c>
      <c r="P837" t="s">
        <v>402</v>
      </c>
      <c r="Q837" t="s">
        <v>39</v>
      </c>
      <c r="R837" t="s">
        <v>40</v>
      </c>
      <c r="S837" s="1">
        <v>1328.7</v>
      </c>
      <c r="T837" s="1">
        <v>658.73329999999999</v>
      </c>
      <c r="U837" s="1">
        <v>0</v>
      </c>
      <c r="V837" s="1">
        <v>669.96669999999995</v>
      </c>
      <c r="W837">
        <v>50</v>
      </c>
    </row>
    <row r="838" spans="1:23" hidden="1" x14ac:dyDescent="0.35">
      <c r="A838" t="s">
        <v>487</v>
      </c>
      <c r="B838" t="s">
        <v>488</v>
      </c>
      <c r="C838" t="s">
        <v>403</v>
      </c>
      <c r="D838" t="s">
        <v>404</v>
      </c>
      <c r="E838" t="s">
        <v>405</v>
      </c>
      <c r="F838" t="s">
        <v>146</v>
      </c>
      <c r="G838" t="s">
        <v>406</v>
      </c>
      <c r="H838" t="s">
        <v>318</v>
      </c>
      <c r="I838" t="s">
        <v>407</v>
      </c>
      <c r="J838" t="s">
        <v>408</v>
      </c>
      <c r="K838" t="s">
        <v>33</v>
      </c>
      <c r="L838" t="s">
        <v>51</v>
      </c>
      <c r="M838" t="s">
        <v>409</v>
      </c>
      <c r="N838" t="s">
        <v>410</v>
      </c>
      <c r="O838" t="s">
        <v>108</v>
      </c>
      <c r="P838" t="s">
        <v>109</v>
      </c>
      <c r="Q838" t="s">
        <v>39</v>
      </c>
      <c r="R838" t="s">
        <v>40</v>
      </c>
      <c r="S838" s="1">
        <v>191160.4</v>
      </c>
      <c r="T838" s="1">
        <v>105231.93520000001</v>
      </c>
      <c r="U838" s="1">
        <v>15234.904200000001</v>
      </c>
      <c r="V838" s="1">
        <v>85928.464800000002</v>
      </c>
      <c r="W838">
        <v>55</v>
      </c>
    </row>
    <row r="839" spans="1:23" hidden="1" x14ac:dyDescent="0.35">
      <c r="A839" t="s">
        <v>487</v>
      </c>
      <c r="B839" t="s">
        <v>488</v>
      </c>
      <c r="C839" t="s">
        <v>440</v>
      </c>
      <c r="D839" t="s">
        <v>404</v>
      </c>
      <c r="E839" t="s">
        <v>405</v>
      </c>
      <c r="F839" t="s">
        <v>146</v>
      </c>
      <c r="G839" t="s">
        <v>406</v>
      </c>
      <c r="H839" t="s">
        <v>318</v>
      </c>
      <c r="I839" t="s">
        <v>407</v>
      </c>
      <c r="J839" t="s">
        <v>408</v>
      </c>
      <c r="K839" t="s">
        <v>33</v>
      </c>
      <c r="L839" t="s">
        <v>51</v>
      </c>
      <c r="M839" t="s">
        <v>441</v>
      </c>
      <c r="N839" t="s">
        <v>442</v>
      </c>
      <c r="O839" t="s">
        <v>197</v>
      </c>
      <c r="P839" t="s">
        <v>198</v>
      </c>
      <c r="Q839" t="s">
        <v>39</v>
      </c>
      <c r="R839" t="s">
        <v>40</v>
      </c>
      <c r="S839" s="1">
        <v>35508.9</v>
      </c>
      <c r="T839" s="1">
        <v>57</v>
      </c>
      <c r="U839" s="1">
        <v>0</v>
      </c>
      <c r="V839" s="1">
        <v>35451.9</v>
      </c>
      <c r="W839">
        <v>0</v>
      </c>
    </row>
    <row r="840" spans="1:23" hidden="1" x14ac:dyDescent="0.35">
      <c r="A840" t="s">
        <v>487</v>
      </c>
      <c r="B840" t="s">
        <v>488</v>
      </c>
      <c r="C840" t="s">
        <v>411</v>
      </c>
      <c r="D840" t="s">
        <v>412</v>
      </c>
      <c r="E840" t="s">
        <v>405</v>
      </c>
      <c r="F840" t="s">
        <v>189</v>
      </c>
      <c r="G840" t="s">
        <v>413</v>
      </c>
      <c r="H840" t="s">
        <v>318</v>
      </c>
      <c r="I840" t="s">
        <v>407</v>
      </c>
      <c r="J840" t="s">
        <v>408</v>
      </c>
      <c r="K840" t="s">
        <v>33</v>
      </c>
      <c r="L840" t="s">
        <v>51</v>
      </c>
      <c r="M840" t="s">
        <v>414</v>
      </c>
      <c r="N840" t="s">
        <v>415</v>
      </c>
      <c r="O840" t="s">
        <v>197</v>
      </c>
      <c r="P840" t="s">
        <v>198</v>
      </c>
      <c r="Q840" t="s">
        <v>39</v>
      </c>
      <c r="R840" t="s">
        <v>40</v>
      </c>
      <c r="S840" s="1">
        <v>3693.1</v>
      </c>
      <c r="T840" s="1">
        <v>1010.1804</v>
      </c>
      <c r="U840" s="1">
        <v>220.63040000000001</v>
      </c>
      <c r="V840" s="1">
        <v>2682.9196000000002</v>
      </c>
      <c r="W840">
        <v>27</v>
      </c>
    </row>
    <row r="841" spans="1:23" hidden="1" x14ac:dyDescent="0.35">
      <c r="A841" t="s">
        <v>487</v>
      </c>
      <c r="B841" t="s">
        <v>488</v>
      </c>
      <c r="C841" t="s">
        <v>416</v>
      </c>
      <c r="D841" t="s">
        <v>417</v>
      </c>
      <c r="E841" t="s">
        <v>405</v>
      </c>
      <c r="F841" t="s">
        <v>28</v>
      </c>
      <c r="G841" t="s">
        <v>418</v>
      </c>
      <c r="H841" t="s">
        <v>318</v>
      </c>
      <c r="I841" t="s">
        <v>407</v>
      </c>
      <c r="J841" t="s">
        <v>408</v>
      </c>
      <c r="K841" t="s">
        <v>33</v>
      </c>
      <c r="L841" t="s">
        <v>51</v>
      </c>
      <c r="M841" t="s">
        <v>419</v>
      </c>
      <c r="N841" t="s">
        <v>420</v>
      </c>
      <c r="O841" t="s">
        <v>108</v>
      </c>
      <c r="P841" t="s">
        <v>109</v>
      </c>
      <c r="Q841" t="s">
        <v>39</v>
      </c>
      <c r="R841" t="s">
        <v>40</v>
      </c>
      <c r="S841" s="1">
        <v>356415.3</v>
      </c>
      <c r="T841" s="1">
        <v>180152.2947</v>
      </c>
      <c r="U841" s="1">
        <v>34705.531000000003</v>
      </c>
      <c r="V841" s="1">
        <v>176263.00529999999</v>
      </c>
      <c r="W841">
        <v>51</v>
      </c>
    </row>
    <row r="842" spans="1:23" hidden="1" x14ac:dyDescent="0.35">
      <c r="A842" t="s">
        <v>492</v>
      </c>
      <c r="B842" t="s">
        <v>493</v>
      </c>
      <c r="C842" t="s">
        <v>25</v>
      </c>
      <c r="D842" t="s">
        <v>26</v>
      </c>
      <c r="E842" t="s">
        <v>27</v>
      </c>
      <c r="F842" t="s">
        <v>28</v>
      </c>
      <c r="G842" t="s">
        <v>29</v>
      </c>
      <c r="H842" t="s">
        <v>30</v>
      </c>
      <c r="I842" t="s">
        <v>31</v>
      </c>
      <c r="J842" t="s">
        <v>32</v>
      </c>
      <c r="K842" t="s">
        <v>33</v>
      </c>
      <c r="L842" t="s">
        <v>34</v>
      </c>
      <c r="M842" t="s">
        <v>35</v>
      </c>
      <c r="N842" t="s">
        <v>36</v>
      </c>
      <c r="O842" t="s">
        <v>37</v>
      </c>
      <c r="P842" t="s">
        <v>38</v>
      </c>
      <c r="Q842" t="s">
        <v>39</v>
      </c>
      <c r="R842" t="s">
        <v>40</v>
      </c>
      <c r="S842" s="1">
        <v>597.70000000000005</v>
      </c>
      <c r="T842" s="1">
        <v>160.22020000000001</v>
      </c>
      <c r="U842" s="1">
        <v>34.851999999999997</v>
      </c>
      <c r="V842" s="1">
        <v>437.47980000000001</v>
      </c>
      <c r="W842">
        <v>27</v>
      </c>
    </row>
    <row r="843" spans="1:23" hidden="1" x14ac:dyDescent="0.35">
      <c r="A843" t="s">
        <v>492</v>
      </c>
      <c r="B843" t="s">
        <v>493</v>
      </c>
      <c r="C843" t="s">
        <v>41</v>
      </c>
      <c r="D843" t="s">
        <v>26</v>
      </c>
      <c r="E843" t="s">
        <v>27</v>
      </c>
      <c r="F843" t="s">
        <v>28</v>
      </c>
      <c r="G843" t="s">
        <v>29</v>
      </c>
      <c r="H843" t="s">
        <v>30</v>
      </c>
      <c r="I843" t="s">
        <v>31</v>
      </c>
      <c r="J843" t="s">
        <v>32</v>
      </c>
      <c r="K843" t="s">
        <v>33</v>
      </c>
      <c r="L843" t="s">
        <v>34</v>
      </c>
      <c r="M843" t="s">
        <v>35</v>
      </c>
      <c r="N843" t="s">
        <v>36</v>
      </c>
      <c r="O843" t="s">
        <v>42</v>
      </c>
      <c r="P843" t="s">
        <v>43</v>
      </c>
      <c r="Q843" t="s">
        <v>39</v>
      </c>
      <c r="R843" t="s">
        <v>40</v>
      </c>
      <c r="S843" s="1">
        <v>165.3</v>
      </c>
      <c r="T843" s="1">
        <v>133.9605</v>
      </c>
      <c r="U843" s="1">
        <v>5.3387000000000002</v>
      </c>
      <c r="V843" s="1">
        <v>31.339500000000001</v>
      </c>
      <c r="W843">
        <v>81</v>
      </c>
    </row>
    <row r="844" spans="1:23" hidden="1" x14ac:dyDescent="0.35">
      <c r="A844" t="s">
        <v>492</v>
      </c>
      <c r="B844" t="s">
        <v>493</v>
      </c>
      <c r="C844" t="s">
        <v>44</v>
      </c>
      <c r="D844" t="s">
        <v>45</v>
      </c>
      <c r="E844" t="s">
        <v>27</v>
      </c>
      <c r="F844" t="s">
        <v>46</v>
      </c>
      <c r="G844" t="s">
        <v>47</v>
      </c>
      <c r="H844" t="s">
        <v>48</v>
      </c>
      <c r="I844" t="s">
        <v>49</v>
      </c>
      <c r="J844" t="s">
        <v>50</v>
      </c>
      <c r="K844" t="s">
        <v>33</v>
      </c>
      <c r="L844" t="s">
        <v>51</v>
      </c>
      <c r="M844" t="s">
        <v>52</v>
      </c>
      <c r="N844" t="s">
        <v>53</v>
      </c>
      <c r="O844" t="s">
        <v>54</v>
      </c>
      <c r="P844" t="s">
        <v>55</v>
      </c>
      <c r="Q844" t="s">
        <v>39</v>
      </c>
      <c r="R844" t="s">
        <v>40</v>
      </c>
      <c r="S844" s="1">
        <v>67.2</v>
      </c>
      <c r="T844" s="1">
        <v>0</v>
      </c>
      <c r="U844" s="1">
        <v>0</v>
      </c>
      <c r="V844" s="1">
        <v>67.2</v>
      </c>
      <c r="W844">
        <v>0</v>
      </c>
    </row>
    <row r="845" spans="1:23" hidden="1" x14ac:dyDescent="0.35">
      <c r="A845" t="s">
        <v>492</v>
      </c>
      <c r="B845" t="s">
        <v>493</v>
      </c>
      <c r="C845" t="s">
        <v>56</v>
      </c>
      <c r="D845" t="s">
        <v>45</v>
      </c>
      <c r="E845" t="s">
        <v>27</v>
      </c>
      <c r="F845" t="s">
        <v>46</v>
      </c>
      <c r="G845" t="s">
        <v>47</v>
      </c>
      <c r="H845" t="s">
        <v>48</v>
      </c>
      <c r="I845" t="s">
        <v>49</v>
      </c>
      <c r="J845" t="s">
        <v>50</v>
      </c>
      <c r="K845" t="s">
        <v>33</v>
      </c>
      <c r="L845" t="s">
        <v>51</v>
      </c>
      <c r="M845" t="s">
        <v>57</v>
      </c>
      <c r="N845" t="s">
        <v>58</v>
      </c>
      <c r="O845" t="s">
        <v>37</v>
      </c>
      <c r="P845" t="s">
        <v>38</v>
      </c>
      <c r="Q845" t="s">
        <v>39</v>
      </c>
      <c r="R845" t="s">
        <v>40</v>
      </c>
      <c r="S845" s="1">
        <v>61.9</v>
      </c>
      <c r="T845" s="1">
        <v>31.43</v>
      </c>
      <c r="U845" s="1">
        <v>31.43</v>
      </c>
      <c r="V845" s="1">
        <v>30.47</v>
      </c>
      <c r="W845">
        <v>51</v>
      </c>
    </row>
    <row r="846" spans="1:23" hidden="1" x14ac:dyDescent="0.35">
      <c r="A846" t="s">
        <v>492</v>
      </c>
      <c r="B846" t="s">
        <v>493</v>
      </c>
      <c r="C846" t="s">
        <v>59</v>
      </c>
      <c r="D846" t="s">
        <v>45</v>
      </c>
      <c r="E846" t="s">
        <v>27</v>
      </c>
      <c r="F846" t="s">
        <v>46</v>
      </c>
      <c r="G846" t="s">
        <v>47</v>
      </c>
      <c r="H846" t="s">
        <v>60</v>
      </c>
      <c r="I846" t="s">
        <v>61</v>
      </c>
      <c r="J846" t="s">
        <v>62</v>
      </c>
      <c r="K846" t="s">
        <v>33</v>
      </c>
      <c r="L846" t="s">
        <v>51</v>
      </c>
      <c r="M846" t="s">
        <v>63</v>
      </c>
      <c r="N846" t="s">
        <v>64</v>
      </c>
      <c r="O846" t="s">
        <v>37</v>
      </c>
      <c r="P846" t="s">
        <v>38</v>
      </c>
      <c r="Q846" t="s">
        <v>39</v>
      </c>
      <c r="R846" t="s">
        <v>40</v>
      </c>
      <c r="S846" s="1">
        <v>216.9</v>
      </c>
      <c r="T846" s="1">
        <v>168.1</v>
      </c>
      <c r="U846" s="1">
        <v>46</v>
      </c>
      <c r="V846" s="1">
        <v>48.8</v>
      </c>
      <c r="W846">
        <v>78</v>
      </c>
    </row>
    <row r="847" spans="1:23" hidden="1" x14ac:dyDescent="0.35">
      <c r="A847" t="s">
        <v>492</v>
      </c>
      <c r="B847" t="s">
        <v>493</v>
      </c>
      <c r="C847" t="s">
        <v>65</v>
      </c>
      <c r="D847" t="s">
        <v>45</v>
      </c>
      <c r="E847" t="s">
        <v>27</v>
      </c>
      <c r="F847" t="s">
        <v>46</v>
      </c>
      <c r="G847" t="s">
        <v>47</v>
      </c>
      <c r="H847" t="s">
        <v>66</v>
      </c>
      <c r="I847" t="s">
        <v>67</v>
      </c>
      <c r="J847" t="s">
        <v>68</v>
      </c>
      <c r="K847" t="s">
        <v>33</v>
      </c>
      <c r="L847" t="s">
        <v>51</v>
      </c>
      <c r="M847" t="s">
        <v>69</v>
      </c>
      <c r="N847" t="s">
        <v>70</v>
      </c>
      <c r="O847" t="s">
        <v>37</v>
      </c>
      <c r="P847" t="s">
        <v>38</v>
      </c>
      <c r="Q847" t="s">
        <v>39</v>
      </c>
      <c r="R847" t="s">
        <v>40</v>
      </c>
      <c r="S847" s="1">
        <v>557.5</v>
      </c>
      <c r="T847" s="1">
        <v>340.46629999999999</v>
      </c>
      <c r="U847" s="1">
        <v>0</v>
      </c>
      <c r="V847" s="1">
        <v>217.03370000000001</v>
      </c>
      <c r="W847">
        <v>61</v>
      </c>
    </row>
    <row r="848" spans="1:23" hidden="1" x14ac:dyDescent="0.35">
      <c r="A848" t="s">
        <v>492</v>
      </c>
      <c r="B848" t="s">
        <v>493</v>
      </c>
      <c r="C848" t="s">
        <v>71</v>
      </c>
      <c r="D848" t="s">
        <v>45</v>
      </c>
      <c r="E848" t="s">
        <v>27</v>
      </c>
      <c r="F848" t="s">
        <v>46</v>
      </c>
      <c r="G848" t="s">
        <v>47</v>
      </c>
      <c r="H848" t="s">
        <v>30</v>
      </c>
      <c r="I848" t="s">
        <v>31</v>
      </c>
      <c r="J848" t="s">
        <v>32</v>
      </c>
      <c r="K848" t="s">
        <v>33</v>
      </c>
      <c r="L848" t="s">
        <v>34</v>
      </c>
      <c r="M848" t="s">
        <v>72</v>
      </c>
      <c r="N848" t="s">
        <v>73</v>
      </c>
      <c r="O848" t="s">
        <v>74</v>
      </c>
      <c r="P848" t="s">
        <v>75</v>
      </c>
      <c r="Q848" t="s">
        <v>39</v>
      </c>
      <c r="R848" t="s">
        <v>40</v>
      </c>
      <c r="S848" s="1">
        <v>349800.7</v>
      </c>
      <c r="T848" s="1">
        <v>206173.36689999999</v>
      </c>
      <c r="U848" s="1">
        <v>27904.521400000001</v>
      </c>
      <c r="V848" s="1">
        <v>143627.33309999999</v>
      </c>
      <c r="W848">
        <v>59</v>
      </c>
    </row>
    <row r="849" spans="1:23" hidden="1" x14ac:dyDescent="0.35">
      <c r="A849" t="s">
        <v>492</v>
      </c>
      <c r="B849" t="s">
        <v>493</v>
      </c>
      <c r="C849" t="s">
        <v>76</v>
      </c>
      <c r="D849" t="s">
        <v>45</v>
      </c>
      <c r="E849" t="s">
        <v>27</v>
      </c>
      <c r="F849" t="s">
        <v>46</v>
      </c>
      <c r="G849" t="s">
        <v>47</v>
      </c>
      <c r="H849" t="s">
        <v>30</v>
      </c>
      <c r="I849" t="s">
        <v>31</v>
      </c>
      <c r="J849" t="s">
        <v>32</v>
      </c>
      <c r="K849" t="s">
        <v>33</v>
      </c>
      <c r="L849" t="s">
        <v>34</v>
      </c>
      <c r="M849" t="s">
        <v>72</v>
      </c>
      <c r="N849" t="s">
        <v>73</v>
      </c>
      <c r="O849" t="s">
        <v>77</v>
      </c>
      <c r="P849" t="s">
        <v>78</v>
      </c>
      <c r="Q849" t="s">
        <v>39</v>
      </c>
      <c r="R849" t="s">
        <v>40</v>
      </c>
      <c r="S849" s="1">
        <v>100.2</v>
      </c>
      <c r="T849" s="1">
        <v>36.892800000000001</v>
      </c>
      <c r="U849" s="1">
        <v>27.430800000000001</v>
      </c>
      <c r="V849" s="1">
        <v>63.307200000000002</v>
      </c>
      <c r="W849">
        <v>37</v>
      </c>
    </row>
    <row r="850" spans="1:23" hidden="1" x14ac:dyDescent="0.35">
      <c r="A850" t="s">
        <v>492</v>
      </c>
      <c r="B850" t="s">
        <v>493</v>
      </c>
      <c r="C850" t="s">
        <v>79</v>
      </c>
      <c r="D850" t="s">
        <v>45</v>
      </c>
      <c r="E850" t="s">
        <v>27</v>
      </c>
      <c r="F850" t="s">
        <v>46</v>
      </c>
      <c r="G850" t="s">
        <v>47</v>
      </c>
      <c r="H850" t="s">
        <v>30</v>
      </c>
      <c r="I850" t="s">
        <v>31</v>
      </c>
      <c r="J850" t="s">
        <v>32</v>
      </c>
      <c r="K850" t="s">
        <v>33</v>
      </c>
      <c r="L850" t="s">
        <v>34</v>
      </c>
      <c r="M850" t="s">
        <v>72</v>
      </c>
      <c r="N850" t="s">
        <v>73</v>
      </c>
      <c r="O850" t="s">
        <v>80</v>
      </c>
      <c r="P850" t="s">
        <v>81</v>
      </c>
      <c r="Q850" t="s">
        <v>39</v>
      </c>
      <c r="R850" t="s">
        <v>40</v>
      </c>
      <c r="S850" s="1">
        <v>105260</v>
      </c>
      <c r="T850" s="1">
        <v>64640.740599999997</v>
      </c>
      <c r="U850" s="1">
        <v>9639.7865999999995</v>
      </c>
      <c r="V850" s="1">
        <v>40619.259400000003</v>
      </c>
      <c r="W850">
        <v>61</v>
      </c>
    </row>
    <row r="851" spans="1:23" hidden="1" x14ac:dyDescent="0.35">
      <c r="A851" t="s">
        <v>492</v>
      </c>
      <c r="B851" t="s">
        <v>493</v>
      </c>
      <c r="C851" t="s">
        <v>82</v>
      </c>
      <c r="D851" t="s">
        <v>45</v>
      </c>
      <c r="E851" t="s">
        <v>27</v>
      </c>
      <c r="F851" t="s">
        <v>46</v>
      </c>
      <c r="G851" t="s">
        <v>47</v>
      </c>
      <c r="H851" t="s">
        <v>30</v>
      </c>
      <c r="I851" t="s">
        <v>31</v>
      </c>
      <c r="J851" t="s">
        <v>32</v>
      </c>
      <c r="K851" t="s">
        <v>33</v>
      </c>
      <c r="L851" t="s">
        <v>34</v>
      </c>
      <c r="M851" t="s">
        <v>72</v>
      </c>
      <c r="N851" t="s">
        <v>73</v>
      </c>
      <c r="O851" t="s">
        <v>83</v>
      </c>
      <c r="P851" t="s">
        <v>84</v>
      </c>
      <c r="Q851" t="s">
        <v>39</v>
      </c>
      <c r="R851" t="s">
        <v>40</v>
      </c>
      <c r="S851" s="1">
        <v>300</v>
      </c>
      <c r="T851" s="1">
        <v>148.41589999999999</v>
      </c>
      <c r="U851" s="1">
        <v>46.0792</v>
      </c>
      <c r="V851" s="1">
        <v>151.58410000000001</v>
      </c>
      <c r="W851">
        <v>49</v>
      </c>
    </row>
    <row r="852" spans="1:23" hidden="1" x14ac:dyDescent="0.35">
      <c r="A852" t="s">
        <v>492</v>
      </c>
      <c r="B852" t="s">
        <v>493</v>
      </c>
      <c r="C852" t="s">
        <v>85</v>
      </c>
      <c r="D852" t="s">
        <v>45</v>
      </c>
      <c r="E852" t="s">
        <v>27</v>
      </c>
      <c r="F852" t="s">
        <v>46</v>
      </c>
      <c r="G852" t="s">
        <v>47</v>
      </c>
      <c r="H852" t="s">
        <v>30</v>
      </c>
      <c r="I852" t="s">
        <v>31</v>
      </c>
      <c r="J852" t="s">
        <v>32</v>
      </c>
      <c r="K852" t="s">
        <v>33</v>
      </c>
      <c r="L852" t="s">
        <v>34</v>
      </c>
      <c r="M852" t="s">
        <v>72</v>
      </c>
      <c r="N852" t="s">
        <v>73</v>
      </c>
      <c r="O852" t="s">
        <v>86</v>
      </c>
      <c r="P852" t="s">
        <v>87</v>
      </c>
      <c r="Q852" t="s">
        <v>39</v>
      </c>
      <c r="R852" t="s">
        <v>40</v>
      </c>
      <c r="S852" s="1">
        <v>31341.1</v>
      </c>
      <c r="T852" s="1">
        <v>4636.8482000000004</v>
      </c>
      <c r="U852" s="1">
        <v>0</v>
      </c>
      <c r="V852" s="1">
        <v>26704.251799999998</v>
      </c>
      <c r="W852">
        <v>15</v>
      </c>
    </row>
    <row r="853" spans="1:23" hidden="1" x14ac:dyDescent="0.35">
      <c r="A853" t="s">
        <v>492</v>
      </c>
      <c r="B853" t="s">
        <v>493</v>
      </c>
      <c r="C853" t="s">
        <v>88</v>
      </c>
      <c r="D853" t="s">
        <v>45</v>
      </c>
      <c r="E853" t="s">
        <v>27</v>
      </c>
      <c r="F853" t="s">
        <v>46</v>
      </c>
      <c r="G853" t="s">
        <v>47</v>
      </c>
      <c r="H853" t="s">
        <v>30</v>
      </c>
      <c r="I853" t="s">
        <v>31</v>
      </c>
      <c r="J853" t="s">
        <v>32</v>
      </c>
      <c r="K853" t="s">
        <v>33</v>
      </c>
      <c r="L853" t="s">
        <v>34</v>
      </c>
      <c r="M853" t="s">
        <v>72</v>
      </c>
      <c r="N853" t="s">
        <v>73</v>
      </c>
      <c r="O853" t="s">
        <v>37</v>
      </c>
      <c r="P853" t="s">
        <v>38</v>
      </c>
      <c r="Q853" t="s">
        <v>39</v>
      </c>
      <c r="R853" t="s">
        <v>40</v>
      </c>
      <c r="S853" s="1">
        <v>67884.2</v>
      </c>
      <c r="T853" s="1">
        <v>15825.9036</v>
      </c>
      <c r="U853" s="1">
        <v>1465.7479000000001</v>
      </c>
      <c r="V853" s="1">
        <v>52058.296399999999</v>
      </c>
      <c r="W853">
        <v>23</v>
      </c>
    </row>
    <row r="854" spans="1:23" hidden="1" x14ac:dyDescent="0.35">
      <c r="A854" t="s">
        <v>492</v>
      </c>
      <c r="B854" t="s">
        <v>493</v>
      </c>
      <c r="C854" t="s">
        <v>89</v>
      </c>
      <c r="D854" t="s">
        <v>45</v>
      </c>
      <c r="E854" t="s">
        <v>27</v>
      </c>
      <c r="F854" t="s">
        <v>46</v>
      </c>
      <c r="G854" t="s">
        <v>47</v>
      </c>
      <c r="H854" t="s">
        <v>30</v>
      </c>
      <c r="I854" t="s">
        <v>31</v>
      </c>
      <c r="J854" t="s">
        <v>32</v>
      </c>
      <c r="K854" t="s">
        <v>33</v>
      </c>
      <c r="L854" t="s">
        <v>34</v>
      </c>
      <c r="M854" t="s">
        <v>72</v>
      </c>
      <c r="N854" t="s">
        <v>73</v>
      </c>
      <c r="O854" t="s">
        <v>42</v>
      </c>
      <c r="P854" t="s">
        <v>43</v>
      </c>
      <c r="Q854" t="s">
        <v>39</v>
      </c>
      <c r="R854" t="s">
        <v>40</v>
      </c>
      <c r="S854" s="1">
        <v>16962</v>
      </c>
      <c r="T854" s="1">
        <v>9911.2752</v>
      </c>
      <c r="U854" s="1">
        <v>423.5224</v>
      </c>
      <c r="V854" s="1">
        <v>7050.7248</v>
      </c>
      <c r="W854">
        <v>58</v>
      </c>
    </row>
    <row r="855" spans="1:23" hidden="1" x14ac:dyDescent="0.35">
      <c r="A855" t="s">
        <v>492</v>
      </c>
      <c r="B855" t="s">
        <v>493</v>
      </c>
      <c r="C855" t="s">
        <v>90</v>
      </c>
      <c r="D855" t="s">
        <v>45</v>
      </c>
      <c r="E855" t="s">
        <v>27</v>
      </c>
      <c r="F855" t="s">
        <v>46</v>
      </c>
      <c r="G855" t="s">
        <v>47</v>
      </c>
      <c r="H855" t="s">
        <v>30</v>
      </c>
      <c r="I855" t="s">
        <v>31</v>
      </c>
      <c r="J855" t="s">
        <v>32</v>
      </c>
      <c r="K855" t="s">
        <v>33</v>
      </c>
      <c r="L855" t="s">
        <v>34</v>
      </c>
      <c r="M855" t="s">
        <v>72</v>
      </c>
      <c r="N855" t="s">
        <v>73</v>
      </c>
      <c r="O855" t="s">
        <v>91</v>
      </c>
      <c r="P855" t="s">
        <v>92</v>
      </c>
      <c r="Q855" t="s">
        <v>39</v>
      </c>
      <c r="R855" t="s">
        <v>40</v>
      </c>
      <c r="S855" s="1">
        <v>112529.9</v>
      </c>
      <c r="T855" s="1">
        <v>112529.273</v>
      </c>
      <c r="U855" s="1">
        <v>420.46019999999999</v>
      </c>
      <c r="V855" s="1">
        <v>0.627</v>
      </c>
      <c r="W855">
        <v>100</v>
      </c>
    </row>
    <row r="856" spans="1:23" hidden="1" x14ac:dyDescent="0.35">
      <c r="A856" t="s">
        <v>492</v>
      </c>
      <c r="B856" t="s">
        <v>493</v>
      </c>
      <c r="C856" t="s">
        <v>93</v>
      </c>
      <c r="D856" t="s">
        <v>45</v>
      </c>
      <c r="E856" t="s">
        <v>27</v>
      </c>
      <c r="F856" t="s">
        <v>46</v>
      </c>
      <c r="G856" t="s">
        <v>47</v>
      </c>
      <c r="H856" t="s">
        <v>30</v>
      </c>
      <c r="I856" t="s">
        <v>31</v>
      </c>
      <c r="J856" t="s">
        <v>32</v>
      </c>
      <c r="K856" t="s">
        <v>33</v>
      </c>
      <c r="L856" t="s">
        <v>34</v>
      </c>
      <c r="M856" t="s">
        <v>94</v>
      </c>
      <c r="N856" t="s">
        <v>95</v>
      </c>
      <c r="O856" t="s">
        <v>96</v>
      </c>
      <c r="P856" t="s">
        <v>97</v>
      </c>
      <c r="Q856" t="s">
        <v>39</v>
      </c>
      <c r="R856" t="s">
        <v>40</v>
      </c>
      <c r="S856" s="1">
        <v>216958.1</v>
      </c>
      <c r="T856" s="1">
        <v>137846.05970000001</v>
      </c>
      <c r="U856" s="1">
        <v>17096.363600000001</v>
      </c>
      <c r="V856" s="1">
        <v>79112.040299999993</v>
      </c>
      <c r="W856">
        <v>64</v>
      </c>
    </row>
    <row r="857" spans="1:23" hidden="1" x14ac:dyDescent="0.35">
      <c r="A857" t="s">
        <v>492</v>
      </c>
      <c r="B857" t="s">
        <v>493</v>
      </c>
      <c r="C857" t="s">
        <v>98</v>
      </c>
      <c r="D857" t="s">
        <v>45</v>
      </c>
      <c r="E857" t="s">
        <v>27</v>
      </c>
      <c r="F857" t="s">
        <v>46</v>
      </c>
      <c r="G857" t="s">
        <v>47</v>
      </c>
      <c r="H857" t="s">
        <v>30</v>
      </c>
      <c r="I857" t="s">
        <v>31</v>
      </c>
      <c r="J857" t="s">
        <v>32</v>
      </c>
      <c r="K857" t="s">
        <v>33</v>
      </c>
      <c r="L857" t="s">
        <v>34</v>
      </c>
      <c r="M857" t="s">
        <v>94</v>
      </c>
      <c r="N857" t="s">
        <v>95</v>
      </c>
      <c r="O857" t="s">
        <v>99</v>
      </c>
      <c r="P857" t="s">
        <v>100</v>
      </c>
      <c r="Q857" t="s">
        <v>39</v>
      </c>
      <c r="R857" t="s">
        <v>40</v>
      </c>
      <c r="S857" s="1">
        <v>65398.5</v>
      </c>
      <c r="T857" s="1">
        <v>37761.010799999996</v>
      </c>
      <c r="U857" s="1">
        <v>5414.1504999999997</v>
      </c>
      <c r="V857" s="1">
        <v>27637.4892</v>
      </c>
      <c r="W857">
        <v>58</v>
      </c>
    </row>
    <row r="858" spans="1:23" hidden="1" x14ac:dyDescent="0.35">
      <c r="A858" t="s">
        <v>492</v>
      </c>
      <c r="B858" t="s">
        <v>493</v>
      </c>
      <c r="C858" t="s">
        <v>101</v>
      </c>
      <c r="D858" t="s">
        <v>45</v>
      </c>
      <c r="E858" t="s">
        <v>27</v>
      </c>
      <c r="F858" t="s">
        <v>46</v>
      </c>
      <c r="G858" t="s">
        <v>47</v>
      </c>
      <c r="H858" t="s">
        <v>30</v>
      </c>
      <c r="I858" t="s">
        <v>31</v>
      </c>
      <c r="J858" t="s">
        <v>32</v>
      </c>
      <c r="K858" t="s">
        <v>33</v>
      </c>
      <c r="L858" t="s">
        <v>34</v>
      </c>
      <c r="M858" t="s">
        <v>94</v>
      </c>
      <c r="N858" t="s">
        <v>95</v>
      </c>
      <c r="O858" t="s">
        <v>37</v>
      </c>
      <c r="P858" t="s">
        <v>38</v>
      </c>
      <c r="Q858" t="s">
        <v>39</v>
      </c>
      <c r="R858" t="s">
        <v>40</v>
      </c>
      <c r="S858" s="1">
        <v>4394</v>
      </c>
      <c r="T858" s="1">
        <v>3184.3906000000002</v>
      </c>
      <c r="U858" s="1">
        <v>249.97409999999999</v>
      </c>
      <c r="V858" s="1">
        <v>1209.6094000000001</v>
      </c>
      <c r="W858">
        <v>72</v>
      </c>
    </row>
    <row r="859" spans="1:23" hidden="1" x14ac:dyDescent="0.35">
      <c r="A859" t="s">
        <v>492</v>
      </c>
      <c r="B859" t="s">
        <v>493</v>
      </c>
      <c r="C859" t="s">
        <v>467</v>
      </c>
      <c r="D859" t="s">
        <v>45</v>
      </c>
      <c r="E859" t="s">
        <v>27</v>
      </c>
      <c r="F859" t="s">
        <v>46</v>
      </c>
      <c r="G859" t="s">
        <v>47</v>
      </c>
      <c r="H859" t="s">
        <v>30</v>
      </c>
      <c r="I859" t="s">
        <v>31</v>
      </c>
      <c r="J859" t="s">
        <v>32</v>
      </c>
      <c r="K859" t="s">
        <v>33</v>
      </c>
      <c r="L859" t="s">
        <v>34</v>
      </c>
      <c r="M859" t="s">
        <v>94</v>
      </c>
      <c r="N859" t="s">
        <v>95</v>
      </c>
      <c r="O859" t="s">
        <v>468</v>
      </c>
      <c r="P859" t="s">
        <v>469</v>
      </c>
      <c r="Q859" t="s">
        <v>39</v>
      </c>
      <c r="R859" t="s">
        <v>40</v>
      </c>
      <c r="S859" s="1">
        <v>2.2000000000000002</v>
      </c>
      <c r="T859" s="1">
        <v>2.1716000000000002</v>
      </c>
      <c r="U859" s="1">
        <v>0</v>
      </c>
      <c r="V859" s="1">
        <v>2.8400000000000002E-2</v>
      </c>
      <c r="W859">
        <v>99</v>
      </c>
    </row>
    <row r="860" spans="1:23" hidden="1" x14ac:dyDescent="0.35">
      <c r="A860" t="s">
        <v>492</v>
      </c>
      <c r="B860" t="s">
        <v>493</v>
      </c>
      <c r="C860" t="s">
        <v>102</v>
      </c>
      <c r="D860" t="s">
        <v>45</v>
      </c>
      <c r="E860" t="s">
        <v>27</v>
      </c>
      <c r="F860" t="s">
        <v>46</v>
      </c>
      <c r="G860" t="s">
        <v>47</v>
      </c>
      <c r="H860" t="s">
        <v>30</v>
      </c>
      <c r="I860" t="s">
        <v>31</v>
      </c>
      <c r="J860" t="s">
        <v>32</v>
      </c>
      <c r="K860" t="s">
        <v>33</v>
      </c>
      <c r="L860" t="s">
        <v>34</v>
      </c>
      <c r="M860" t="s">
        <v>94</v>
      </c>
      <c r="N860" t="s">
        <v>95</v>
      </c>
      <c r="O860" t="s">
        <v>103</v>
      </c>
      <c r="P860" t="s">
        <v>104</v>
      </c>
      <c r="Q860" t="s">
        <v>39</v>
      </c>
      <c r="R860" t="s">
        <v>40</v>
      </c>
      <c r="S860" s="1">
        <v>3.7</v>
      </c>
      <c r="T860" s="1">
        <v>2.7480000000000002</v>
      </c>
      <c r="U860" s="1">
        <v>0</v>
      </c>
      <c r="V860" s="1">
        <v>0.95199999999999996</v>
      </c>
      <c r="W860">
        <v>74</v>
      </c>
    </row>
    <row r="861" spans="1:23" hidden="1" x14ac:dyDescent="0.35">
      <c r="A861" t="s">
        <v>492</v>
      </c>
      <c r="B861" t="s">
        <v>493</v>
      </c>
      <c r="C861" t="s">
        <v>105</v>
      </c>
      <c r="D861" t="s">
        <v>45</v>
      </c>
      <c r="E861" t="s">
        <v>27</v>
      </c>
      <c r="F861" t="s">
        <v>46</v>
      </c>
      <c r="G861" t="s">
        <v>47</v>
      </c>
      <c r="H861" t="s">
        <v>30</v>
      </c>
      <c r="I861" t="s">
        <v>31</v>
      </c>
      <c r="J861" t="s">
        <v>32</v>
      </c>
      <c r="K861" t="s">
        <v>33</v>
      </c>
      <c r="L861" t="s">
        <v>34</v>
      </c>
      <c r="M861" t="s">
        <v>106</v>
      </c>
      <c r="N861" t="s">
        <v>107</v>
      </c>
      <c r="O861" t="s">
        <v>108</v>
      </c>
      <c r="P861" t="s">
        <v>109</v>
      </c>
      <c r="Q861" t="s">
        <v>39</v>
      </c>
      <c r="R861" t="s">
        <v>40</v>
      </c>
      <c r="S861" s="1">
        <v>81533.600000000006</v>
      </c>
      <c r="T861" s="1">
        <v>50622.854200000002</v>
      </c>
      <c r="U861" s="1">
        <v>6359.8734000000004</v>
      </c>
      <c r="V861" s="1">
        <v>30910.745800000001</v>
      </c>
      <c r="W861">
        <v>62</v>
      </c>
    </row>
    <row r="862" spans="1:23" hidden="1" x14ac:dyDescent="0.35">
      <c r="A862" t="s">
        <v>492</v>
      </c>
      <c r="B862" t="s">
        <v>493</v>
      </c>
      <c r="C862" t="s">
        <v>110</v>
      </c>
      <c r="D862" t="s">
        <v>45</v>
      </c>
      <c r="E862" t="s">
        <v>27</v>
      </c>
      <c r="F862" t="s">
        <v>46</v>
      </c>
      <c r="G862" t="s">
        <v>47</v>
      </c>
      <c r="H862" t="s">
        <v>30</v>
      </c>
      <c r="I862" t="s">
        <v>31</v>
      </c>
      <c r="J862" t="s">
        <v>32</v>
      </c>
      <c r="K862" t="s">
        <v>33</v>
      </c>
      <c r="L862" t="s">
        <v>34</v>
      </c>
      <c r="M862" t="s">
        <v>111</v>
      </c>
      <c r="N862" t="s">
        <v>112</v>
      </c>
      <c r="O862" t="s">
        <v>37</v>
      </c>
      <c r="P862" t="s">
        <v>38</v>
      </c>
      <c r="Q862" t="s">
        <v>39</v>
      </c>
      <c r="R862" t="s">
        <v>40</v>
      </c>
      <c r="S862" s="1">
        <v>6096.1</v>
      </c>
      <c r="T862" s="1">
        <v>4011.7067000000002</v>
      </c>
      <c r="U862" s="1">
        <v>257.08659999999998</v>
      </c>
      <c r="V862" s="1">
        <v>2084.3933000000002</v>
      </c>
      <c r="W862">
        <v>66</v>
      </c>
    </row>
    <row r="863" spans="1:23" hidden="1" x14ac:dyDescent="0.35">
      <c r="A863" t="s">
        <v>492</v>
      </c>
      <c r="B863" t="s">
        <v>493</v>
      </c>
      <c r="C863" t="s">
        <v>485</v>
      </c>
      <c r="D863" t="s">
        <v>45</v>
      </c>
      <c r="E863" t="s">
        <v>27</v>
      </c>
      <c r="F863" t="s">
        <v>46</v>
      </c>
      <c r="G863" t="s">
        <v>47</v>
      </c>
      <c r="H863" t="s">
        <v>30</v>
      </c>
      <c r="I863" t="s">
        <v>31</v>
      </c>
      <c r="J863" t="s">
        <v>32</v>
      </c>
      <c r="K863" t="s">
        <v>33</v>
      </c>
      <c r="L863" t="s">
        <v>34</v>
      </c>
      <c r="M863" t="s">
        <v>111</v>
      </c>
      <c r="N863" t="s">
        <v>112</v>
      </c>
      <c r="O863" t="s">
        <v>42</v>
      </c>
      <c r="P863" t="s">
        <v>43</v>
      </c>
      <c r="Q863" t="s">
        <v>39</v>
      </c>
      <c r="R863" t="s">
        <v>40</v>
      </c>
      <c r="S863" s="1">
        <v>97.5</v>
      </c>
      <c r="T863" s="1">
        <v>26.684699999999999</v>
      </c>
      <c r="U863" s="1">
        <v>26.684699999999999</v>
      </c>
      <c r="V863" s="1">
        <v>70.815299999999993</v>
      </c>
      <c r="W863">
        <v>27</v>
      </c>
    </row>
    <row r="864" spans="1:23" hidden="1" x14ac:dyDescent="0.35">
      <c r="A864" t="s">
        <v>492</v>
      </c>
      <c r="B864" t="s">
        <v>493</v>
      </c>
      <c r="C864" t="s">
        <v>113</v>
      </c>
      <c r="D864" t="s">
        <v>114</v>
      </c>
      <c r="E864" t="s">
        <v>115</v>
      </c>
      <c r="F864" t="s">
        <v>116</v>
      </c>
      <c r="G864" t="s">
        <v>117</v>
      </c>
      <c r="H864" t="s">
        <v>48</v>
      </c>
      <c r="I864" t="s">
        <v>49</v>
      </c>
      <c r="J864" t="s">
        <v>50</v>
      </c>
      <c r="K864" t="s">
        <v>33</v>
      </c>
      <c r="L864" t="s">
        <v>51</v>
      </c>
      <c r="M864" t="s">
        <v>118</v>
      </c>
      <c r="N864" t="s">
        <v>119</v>
      </c>
      <c r="O864" t="s">
        <v>37</v>
      </c>
      <c r="P864" t="s">
        <v>38</v>
      </c>
      <c r="Q864" t="s">
        <v>39</v>
      </c>
      <c r="R864" t="s">
        <v>40</v>
      </c>
      <c r="S864" s="1">
        <v>10451.6</v>
      </c>
      <c r="T864" s="1">
        <v>6671.1424999999999</v>
      </c>
      <c r="U864" s="1">
        <v>0</v>
      </c>
      <c r="V864" s="1">
        <v>3780.4575</v>
      </c>
      <c r="W864">
        <v>64</v>
      </c>
    </row>
    <row r="865" spans="1:23" hidden="1" x14ac:dyDescent="0.35">
      <c r="A865" t="s">
        <v>492</v>
      </c>
      <c r="B865" t="s">
        <v>493</v>
      </c>
      <c r="C865" t="s">
        <v>120</v>
      </c>
      <c r="D865" t="s">
        <v>114</v>
      </c>
      <c r="E865" t="s">
        <v>115</v>
      </c>
      <c r="F865" t="s">
        <v>116</v>
      </c>
      <c r="G865" t="s">
        <v>117</v>
      </c>
      <c r="H865" t="s">
        <v>48</v>
      </c>
      <c r="I865" t="s">
        <v>49</v>
      </c>
      <c r="J865" t="s">
        <v>50</v>
      </c>
      <c r="K865" t="s">
        <v>33</v>
      </c>
      <c r="L865" t="s">
        <v>51</v>
      </c>
      <c r="M865" t="s">
        <v>118</v>
      </c>
      <c r="N865" t="s">
        <v>119</v>
      </c>
      <c r="O865" t="s">
        <v>42</v>
      </c>
      <c r="P865" t="s">
        <v>43</v>
      </c>
      <c r="Q865" t="s">
        <v>39</v>
      </c>
      <c r="R865" t="s">
        <v>40</v>
      </c>
      <c r="S865" s="1">
        <v>9131.9</v>
      </c>
      <c r="T865" s="1">
        <v>5410.4978000000001</v>
      </c>
      <c r="U865" s="1">
        <v>0</v>
      </c>
      <c r="V865" s="1">
        <v>3721.4022</v>
      </c>
      <c r="W865">
        <v>59</v>
      </c>
    </row>
    <row r="866" spans="1:23" hidden="1" x14ac:dyDescent="0.35">
      <c r="A866" t="s">
        <v>492</v>
      </c>
      <c r="B866" t="s">
        <v>493</v>
      </c>
      <c r="C866" t="s">
        <v>121</v>
      </c>
      <c r="D866" t="s">
        <v>114</v>
      </c>
      <c r="E866" t="s">
        <v>115</v>
      </c>
      <c r="F866" t="s">
        <v>116</v>
      </c>
      <c r="G866" t="s">
        <v>117</v>
      </c>
      <c r="H866" t="s">
        <v>48</v>
      </c>
      <c r="I866" t="s">
        <v>49</v>
      </c>
      <c r="J866" t="s">
        <v>50</v>
      </c>
      <c r="K866" t="s">
        <v>33</v>
      </c>
      <c r="L866" t="s">
        <v>51</v>
      </c>
      <c r="M866" t="s">
        <v>118</v>
      </c>
      <c r="N866" t="s">
        <v>119</v>
      </c>
      <c r="O866" t="s">
        <v>122</v>
      </c>
      <c r="P866" t="s">
        <v>123</v>
      </c>
      <c r="Q866" t="s">
        <v>39</v>
      </c>
      <c r="R866" t="s">
        <v>40</v>
      </c>
      <c r="S866" s="1">
        <v>8068.6</v>
      </c>
      <c r="T866" s="1">
        <v>5608.3874999999998</v>
      </c>
      <c r="U866" s="1">
        <v>0</v>
      </c>
      <c r="V866" s="1">
        <v>2460.2125000000001</v>
      </c>
      <c r="W866">
        <v>70</v>
      </c>
    </row>
    <row r="867" spans="1:23" hidden="1" x14ac:dyDescent="0.35">
      <c r="A867" t="s">
        <v>492</v>
      </c>
      <c r="B867" t="s">
        <v>493</v>
      </c>
      <c r="C867" t="s">
        <v>124</v>
      </c>
      <c r="D867" t="s">
        <v>114</v>
      </c>
      <c r="E867" t="s">
        <v>115</v>
      </c>
      <c r="F867" t="s">
        <v>116</v>
      </c>
      <c r="G867" t="s">
        <v>117</v>
      </c>
      <c r="H867" t="s">
        <v>48</v>
      </c>
      <c r="I867" t="s">
        <v>49</v>
      </c>
      <c r="J867" t="s">
        <v>50</v>
      </c>
      <c r="K867" t="s">
        <v>33</v>
      </c>
      <c r="L867" t="s">
        <v>51</v>
      </c>
      <c r="M867" t="s">
        <v>118</v>
      </c>
      <c r="N867" t="s">
        <v>119</v>
      </c>
      <c r="O867" t="s">
        <v>125</v>
      </c>
      <c r="P867" t="s">
        <v>126</v>
      </c>
      <c r="Q867" t="s">
        <v>39</v>
      </c>
      <c r="R867" t="s">
        <v>40</v>
      </c>
      <c r="S867" s="1">
        <v>3828.8</v>
      </c>
      <c r="T867" s="1">
        <v>2552.5104000000001</v>
      </c>
      <c r="U867" s="1">
        <v>0</v>
      </c>
      <c r="V867" s="1">
        <v>1276.2896000000001</v>
      </c>
      <c r="W867">
        <v>67</v>
      </c>
    </row>
    <row r="868" spans="1:23" hidden="1" x14ac:dyDescent="0.35">
      <c r="A868" t="s">
        <v>492</v>
      </c>
      <c r="B868" t="s">
        <v>493</v>
      </c>
      <c r="C868" t="s">
        <v>127</v>
      </c>
      <c r="D868" t="s">
        <v>114</v>
      </c>
      <c r="E868" t="s">
        <v>115</v>
      </c>
      <c r="F868" t="s">
        <v>116</v>
      </c>
      <c r="G868" t="s">
        <v>117</v>
      </c>
      <c r="H868" t="s">
        <v>48</v>
      </c>
      <c r="I868" t="s">
        <v>49</v>
      </c>
      <c r="J868" t="s">
        <v>50</v>
      </c>
      <c r="K868" t="s">
        <v>33</v>
      </c>
      <c r="L868" t="s">
        <v>51</v>
      </c>
      <c r="M868" t="s">
        <v>128</v>
      </c>
      <c r="N868" t="s">
        <v>129</v>
      </c>
      <c r="O868" t="s">
        <v>86</v>
      </c>
      <c r="P868" t="s">
        <v>87</v>
      </c>
      <c r="Q868" t="s">
        <v>39</v>
      </c>
      <c r="R868" t="s">
        <v>40</v>
      </c>
      <c r="S868" s="1">
        <v>19375.7</v>
      </c>
      <c r="T868" s="1">
        <v>19375.624500000002</v>
      </c>
      <c r="U868" s="1">
        <v>14478.2245</v>
      </c>
      <c r="V868" s="1">
        <v>7.5499999999999998E-2</v>
      </c>
      <c r="W868">
        <v>100</v>
      </c>
    </row>
    <row r="869" spans="1:23" hidden="1" x14ac:dyDescent="0.35">
      <c r="A869" t="s">
        <v>492</v>
      </c>
      <c r="B869" t="s">
        <v>493</v>
      </c>
      <c r="C869" t="s">
        <v>130</v>
      </c>
      <c r="D869" t="s">
        <v>131</v>
      </c>
      <c r="E869" t="s">
        <v>115</v>
      </c>
      <c r="F869" t="s">
        <v>132</v>
      </c>
      <c r="G869" t="s">
        <v>133</v>
      </c>
      <c r="H869" t="s">
        <v>48</v>
      </c>
      <c r="I869" t="s">
        <v>49</v>
      </c>
      <c r="J869" t="s">
        <v>50</v>
      </c>
      <c r="K869" t="s">
        <v>33</v>
      </c>
      <c r="L869" t="s">
        <v>51</v>
      </c>
      <c r="M869" t="s">
        <v>134</v>
      </c>
      <c r="N869" t="s">
        <v>135</v>
      </c>
      <c r="O869" t="s">
        <v>37</v>
      </c>
      <c r="P869" t="s">
        <v>38</v>
      </c>
      <c r="Q869" t="s">
        <v>39</v>
      </c>
      <c r="R869" t="s">
        <v>40</v>
      </c>
      <c r="S869" s="1">
        <v>23.1</v>
      </c>
      <c r="T869" s="1">
        <v>18.925000000000001</v>
      </c>
      <c r="U869" s="1">
        <v>0</v>
      </c>
      <c r="V869" s="1">
        <v>4.1749999999999998</v>
      </c>
      <c r="W869">
        <v>82</v>
      </c>
    </row>
    <row r="870" spans="1:23" hidden="1" x14ac:dyDescent="0.35">
      <c r="A870" t="s">
        <v>492</v>
      </c>
      <c r="B870" t="s">
        <v>493</v>
      </c>
      <c r="C870" t="s">
        <v>445</v>
      </c>
      <c r="D870" t="s">
        <v>137</v>
      </c>
      <c r="E870" t="s">
        <v>138</v>
      </c>
      <c r="F870" t="s">
        <v>139</v>
      </c>
      <c r="G870" t="s">
        <v>140</v>
      </c>
      <c r="H870" t="s">
        <v>48</v>
      </c>
      <c r="I870" t="s">
        <v>49</v>
      </c>
      <c r="J870" t="s">
        <v>50</v>
      </c>
      <c r="K870" t="s">
        <v>33</v>
      </c>
      <c r="L870" t="s">
        <v>51</v>
      </c>
      <c r="M870" t="s">
        <v>446</v>
      </c>
      <c r="N870" t="s">
        <v>447</v>
      </c>
      <c r="O870" t="s">
        <v>37</v>
      </c>
      <c r="P870" t="s">
        <v>38</v>
      </c>
      <c r="Q870" t="s">
        <v>39</v>
      </c>
      <c r="R870" t="s">
        <v>40</v>
      </c>
      <c r="S870" s="1">
        <v>455.4</v>
      </c>
      <c r="T870" s="1">
        <v>0</v>
      </c>
      <c r="U870" s="1">
        <v>0</v>
      </c>
      <c r="V870" s="1">
        <v>455.4</v>
      </c>
      <c r="W870">
        <v>0</v>
      </c>
    </row>
    <row r="871" spans="1:23" hidden="1" x14ac:dyDescent="0.35">
      <c r="A871" t="s">
        <v>492</v>
      </c>
      <c r="B871" t="s">
        <v>493</v>
      </c>
      <c r="C871" t="s">
        <v>448</v>
      </c>
      <c r="D871" t="s">
        <v>137</v>
      </c>
      <c r="E871" t="s">
        <v>138</v>
      </c>
      <c r="F871" t="s">
        <v>139</v>
      </c>
      <c r="G871" t="s">
        <v>140</v>
      </c>
      <c r="H871" t="s">
        <v>48</v>
      </c>
      <c r="I871" t="s">
        <v>49</v>
      </c>
      <c r="J871" t="s">
        <v>50</v>
      </c>
      <c r="K871" t="s">
        <v>33</v>
      </c>
      <c r="L871" t="s">
        <v>51</v>
      </c>
      <c r="M871" t="s">
        <v>446</v>
      </c>
      <c r="N871" t="s">
        <v>447</v>
      </c>
      <c r="O871" t="s">
        <v>197</v>
      </c>
      <c r="P871" t="s">
        <v>198</v>
      </c>
      <c r="Q871" t="s">
        <v>39</v>
      </c>
      <c r="R871" t="s">
        <v>40</v>
      </c>
      <c r="S871" s="1">
        <v>36425.800000000003</v>
      </c>
      <c r="T871" s="1">
        <v>2611.3074999999999</v>
      </c>
      <c r="U871" s="1">
        <v>1563.3694</v>
      </c>
      <c r="V871" s="1">
        <v>33814.4925</v>
      </c>
      <c r="W871">
        <v>7</v>
      </c>
    </row>
    <row r="872" spans="1:23" hidden="1" x14ac:dyDescent="0.35">
      <c r="A872" t="s">
        <v>492</v>
      </c>
      <c r="B872" t="s">
        <v>493</v>
      </c>
      <c r="C872" t="s">
        <v>136</v>
      </c>
      <c r="D872" t="s">
        <v>137</v>
      </c>
      <c r="E872" t="s">
        <v>138</v>
      </c>
      <c r="F872" t="s">
        <v>139</v>
      </c>
      <c r="G872" t="s">
        <v>140</v>
      </c>
      <c r="H872" t="s">
        <v>30</v>
      </c>
      <c r="I872" t="s">
        <v>31</v>
      </c>
      <c r="J872" t="s">
        <v>32</v>
      </c>
      <c r="K872" t="s">
        <v>33</v>
      </c>
      <c r="L872" t="s">
        <v>34</v>
      </c>
      <c r="M872" t="s">
        <v>141</v>
      </c>
      <c r="N872" t="s">
        <v>142</v>
      </c>
      <c r="O872" t="s">
        <v>83</v>
      </c>
      <c r="P872" t="s">
        <v>84</v>
      </c>
      <c r="Q872" t="s">
        <v>39</v>
      </c>
      <c r="R872" t="s">
        <v>40</v>
      </c>
      <c r="S872" s="1">
        <v>5651.9</v>
      </c>
      <c r="T872" s="1">
        <v>1513.2430999999999</v>
      </c>
      <c r="U872" s="1">
        <v>276.04790000000003</v>
      </c>
      <c r="V872" s="1">
        <v>4138.6569</v>
      </c>
      <c r="W872">
        <v>27</v>
      </c>
    </row>
    <row r="873" spans="1:23" hidden="1" x14ac:dyDescent="0.35">
      <c r="A873" t="s">
        <v>492</v>
      </c>
      <c r="B873" t="s">
        <v>493</v>
      </c>
      <c r="C873" t="s">
        <v>143</v>
      </c>
      <c r="D873" t="s">
        <v>144</v>
      </c>
      <c r="E873" t="s">
        <v>145</v>
      </c>
      <c r="F873" t="s">
        <v>146</v>
      </c>
      <c r="G873" t="s">
        <v>147</v>
      </c>
      <c r="H873" t="s">
        <v>116</v>
      </c>
      <c r="I873" t="s">
        <v>148</v>
      </c>
      <c r="J873" t="s">
        <v>149</v>
      </c>
      <c r="K873" t="s">
        <v>33</v>
      </c>
      <c r="L873" t="s">
        <v>34</v>
      </c>
      <c r="M873" t="s">
        <v>150</v>
      </c>
      <c r="N873" t="s">
        <v>151</v>
      </c>
      <c r="O873" t="s">
        <v>37</v>
      </c>
      <c r="P873" t="s">
        <v>38</v>
      </c>
      <c r="Q873" t="s">
        <v>39</v>
      </c>
      <c r="R873" t="s">
        <v>40</v>
      </c>
      <c r="S873" s="1">
        <v>5465.8</v>
      </c>
      <c r="T873" s="1">
        <v>0</v>
      </c>
      <c r="U873" s="1">
        <v>0</v>
      </c>
      <c r="V873" s="1">
        <v>5465.8</v>
      </c>
      <c r="W873">
        <v>0</v>
      </c>
    </row>
    <row r="874" spans="1:23" hidden="1" x14ac:dyDescent="0.35">
      <c r="A874" t="s">
        <v>492</v>
      </c>
      <c r="B874" t="s">
        <v>493</v>
      </c>
      <c r="C874" t="s">
        <v>152</v>
      </c>
      <c r="D874" t="s">
        <v>144</v>
      </c>
      <c r="E874" t="s">
        <v>145</v>
      </c>
      <c r="F874" t="s">
        <v>146</v>
      </c>
      <c r="G874" t="s">
        <v>147</v>
      </c>
      <c r="H874" t="s">
        <v>116</v>
      </c>
      <c r="I874" t="s">
        <v>148</v>
      </c>
      <c r="J874" t="s">
        <v>149</v>
      </c>
      <c r="K874" t="s">
        <v>33</v>
      </c>
      <c r="L874" t="s">
        <v>34</v>
      </c>
      <c r="M874" t="s">
        <v>153</v>
      </c>
      <c r="N874" t="s">
        <v>154</v>
      </c>
      <c r="O874" t="s">
        <v>37</v>
      </c>
      <c r="P874" t="s">
        <v>38</v>
      </c>
      <c r="Q874" t="s">
        <v>39</v>
      </c>
      <c r="R874" t="s">
        <v>40</v>
      </c>
      <c r="S874" s="1">
        <v>51391.8</v>
      </c>
      <c r="T874" s="1">
        <v>18802.093799999999</v>
      </c>
      <c r="U874" s="1">
        <v>4861.1369000000004</v>
      </c>
      <c r="V874" s="1">
        <v>32589.706200000001</v>
      </c>
      <c r="W874">
        <v>37</v>
      </c>
    </row>
    <row r="875" spans="1:23" hidden="1" x14ac:dyDescent="0.35">
      <c r="A875" t="s">
        <v>492</v>
      </c>
      <c r="B875" t="s">
        <v>493</v>
      </c>
      <c r="C875" t="s">
        <v>155</v>
      </c>
      <c r="D875" t="s">
        <v>144</v>
      </c>
      <c r="E875" t="s">
        <v>145</v>
      </c>
      <c r="F875" t="s">
        <v>146</v>
      </c>
      <c r="G875" t="s">
        <v>147</v>
      </c>
      <c r="H875" t="s">
        <v>116</v>
      </c>
      <c r="I875" t="s">
        <v>148</v>
      </c>
      <c r="J875" t="s">
        <v>149</v>
      </c>
      <c r="K875" t="s">
        <v>33</v>
      </c>
      <c r="L875" t="s">
        <v>34</v>
      </c>
      <c r="M875" t="s">
        <v>156</v>
      </c>
      <c r="N875" t="s">
        <v>157</v>
      </c>
      <c r="O875" t="s">
        <v>37</v>
      </c>
      <c r="P875" t="s">
        <v>38</v>
      </c>
      <c r="Q875" t="s">
        <v>39</v>
      </c>
      <c r="R875" t="s">
        <v>40</v>
      </c>
      <c r="S875" s="1">
        <v>4394.6000000000004</v>
      </c>
      <c r="T875" s="1">
        <v>2477.0342000000001</v>
      </c>
      <c r="U875" s="1">
        <v>328.93869999999998</v>
      </c>
      <c r="V875" s="1">
        <v>1917.5658000000001</v>
      </c>
      <c r="W875">
        <v>56</v>
      </c>
    </row>
    <row r="876" spans="1:23" hidden="1" x14ac:dyDescent="0.35">
      <c r="A876" t="s">
        <v>492</v>
      </c>
      <c r="B876" t="s">
        <v>493</v>
      </c>
      <c r="C876" t="s">
        <v>158</v>
      </c>
      <c r="D876" t="s">
        <v>144</v>
      </c>
      <c r="E876" t="s">
        <v>145</v>
      </c>
      <c r="F876" t="s">
        <v>146</v>
      </c>
      <c r="G876" t="s">
        <v>147</v>
      </c>
      <c r="H876" t="s">
        <v>116</v>
      </c>
      <c r="I876" t="s">
        <v>148</v>
      </c>
      <c r="J876" t="s">
        <v>149</v>
      </c>
      <c r="K876" t="s">
        <v>33</v>
      </c>
      <c r="L876" t="s">
        <v>34</v>
      </c>
      <c r="M876" t="s">
        <v>156</v>
      </c>
      <c r="N876" t="s">
        <v>157</v>
      </c>
      <c r="O876" t="s">
        <v>125</v>
      </c>
      <c r="P876" t="s">
        <v>126</v>
      </c>
      <c r="Q876" t="s">
        <v>39</v>
      </c>
      <c r="R876" t="s">
        <v>40</v>
      </c>
      <c r="S876" s="1">
        <v>86351.9</v>
      </c>
      <c r="T876" s="1">
        <v>61821.824200000003</v>
      </c>
      <c r="U876" s="1">
        <v>23.421700000000001</v>
      </c>
      <c r="V876" s="1">
        <v>24530.075799999999</v>
      </c>
      <c r="W876">
        <v>72</v>
      </c>
    </row>
    <row r="877" spans="1:23" hidden="1" x14ac:dyDescent="0.35">
      <c r="A877" t="s">
        <v>492</v>
      </c>
      <c r="B877" t="s">
        <v>493</v>
      </c>
      <c r="C877" t="s">
        <v>159</v>
      </c>
      <c r="D877" t="s">
        <v>144</v>
      </c>
      <c r="E877" t="s">
        <v>145</v>
      </c>
      <c r="F877" t="s">
        <v>146</v>
      </c>
      <c r="G877" t="s">
        <v>147</v>
      </c>
      <c r="H877" t="s">
        <v>116</v>
      </c>
      <c r="I877" t="s">
        <v>148</v>
      </c>
      <c r="J877" t="s">
        <v>149</v>
      </c>
      <c r="K877" t="s">
        <v>33</v>
      </c>
      <c r="L877" t="s">
        <v>34</v>
      </c>
      <c r="M877" t="s">
        <v>160</v>
      </c>
      <c r="N877" t="s">
        <v>161</v>
      </c>
      <c r="O877" t="s">
        <v>37</v>
      </c>
      <c r="P877" t="s">
        <v>38</v>
      </c>
      <c r="Q877" t="s">
        <v>39</v>
      </c>
      <c r="R877" t="s">
        <v>40</v>
      </c>
      <c r="S877" s="1">
        <v>16953.900000000001</v>
      </c>
      <c r="T877" s="1">
        <v>11824.599899999999</v>
      </c>
      <c r="U877" s="1">
        <v>1424.4239</v>
      </c>
      <c r="V877" s="1">
        <v>5129.3001000000004</v>
      </c>
      <c r="W877">
        <v>70</v>
      </c>
    </row>
    <row r="878" spans="1:23" hidden="1" x14ac:dyDescent="0.35">
      <c r="A878" t="s">
        <v>492</v>
      </c>
      <c r="B878" t="s">
        <v>493</v>
      </c>
      <c r="C878" t="s">
        <v>162</v>
      </c>
      <c r="D878" t="s">
        <v>144</v>
      </c>
      <c r="E878" t="s">
        <v>145</v>
      </c>
      <c r="F878" t="s">
        <v>146</v>
      </c>
      <c r="G878" t="s">
        <v>147</v>
      </c>
      <c r="H878" t="s">
        <v>116</v>
      </c>
      <c r="I878" t="s">
        <v>148</v>
      </c>
      <c r="J878" t="s">
        <v>149</v>
      </c>
      <c r="K878" t="s">
        <v>33</v>
      </c>
      <c r="L878" t="s">
        <v>34</v>
      </c>
      <c r="M878" t="s">
        <v>160</v>
      </c>
      <c r="N878" t="s">
        <v>161</v>
      </c>
      <c r="O878" t="s">
        <v>42</v>
      </c>
      <c r="P878" t="s">
        <v>43</v>
      </c>
      <c r="Q878" t="s">
        <v>39</v>
      </c>
      <c r="R878" t="s">
        <v>40</v>
      </c>
      <c r="S878" s="1">
        <v>10339.200000000001</v>
      </c>
      <c r="T878" s="1">
        <v>4755.2846</v>
      </c>
      <c r="U878" s="1">
        <v>134.3338</v>
      </c>
      <c r="V878" s="1">
        <v>5583.9153999999999</v>
      </c>
      <c r="W878">
        <v>46</v>
      </c>
    </row>
    <row r="879" spans="1:23" hidden="1" x14ac:dyDescent="0.35">
      <c r="A879" t="s">
        <v>492</v>
      </c>
      <c r="B879" t="s">
        <v>493</v>
      </c>
      <c r="C879" t="s">
        <v>163</v>
      </c>
      <c r="D879" t="s">
        <v>144</v>
      </c>
      <c r="E879" t="s">
        <v>145</v>
      </c>
      <c r="F879" t="s">
        <v>146</v>
      </c>
      <c r="G879" t="s">
        <v>147</v>
      </c>
      <c r="H879" t="s">
        <v>116</v>
      </c>
      <c r="I879" t="s">
        <v>148</v>
      </c>
      <c r="J879" t="s">
        <v>149</v>
      </c>
      <c r="K879" t="s">
        <v>33</v>
      </c>
      <c r="L879" t="s">
        <v>34</v>
      </c>
      <c r="M879" t="s">
        <v>160</v>
      </c>
      <c r="N879" t="s">
        <v>161</v>
      </c>
      <c r="O879" t="s">
        <v>125</v>
      </c>
      <c r="P879" t="s">
        <v>126</v>
      </c>
      <c r="Q879" t="s">
        <v>39</v>
      </c>
      <c r="R879" t="s">
        <v>40</v>
      </c>
      <c r="S879" s="1">
        <v>4003.4</v>
      </c>
      <c r="T879" s="1">
        <v>2897.9126999999999</v>
      </c>
      <c r="U879" s="1">
        <v>0</v>
      </c>
      <c r="V879" s="1">
        <v>1105.4873</v>
      </c>
      <c r="W879">
        <v>72</v>
      </c>
    </row>
    <row r="880" spans="1:23" hidden="1" x14ac:dyDescent="0.35">
      <c r="A880" t="s">
        <v>492</v>
      </c>
      <c r="B880" t="s">
        <v>493</v>
      </c>
      <c r="C880" t="s">
        <v>423</v>
      </c>
      <c r="D880" t="s">
        <v>165</v>
      </c>
      <c r="E880" t="s">
        <v>145</v>
      </c>
      <c r="F880" t="s">
        <v>28</v>
      </c>
      <c r="G880" t="s">
        <v>166</v>
      </c>
      <c r="H880" t="s">
        <v>139</v>
      </c>
      <c r="I880" t="s">
        <v>167</v>
      </c>
      <c r="J880" t="s">
        <v>168</v>
      </c>
      <c r="K880" t="s">
        <v>33</v>
      </c>
      <c r="L880" t="s">
        <v>51</v>
      </c>
      <c r="M880" t="s">
        <v>424</v>
      </c>
      <c r="N880" t="s">
        <v>425</v>
      </c>
      <c r="O880" t="s">
        <v>37</v>
      </c>
      <c r="P880" t="s">
        <v>38</v>
      </c>
      <c r="Q880" t="s">
        <v>39</v>
      </c>
      <c r="R880" t="s">
        <v>40</v>
      </c>
      <c r="S880" s="1">
        <v>894</v>
      </c>
      <c r="T880" s="1">
        <v>626.5</v>
      </c>
      <c r="U880" s="1">
        <v>289</v>
      </c>
      <c r="V880" s="1">
        <v>267.5</v>
      </c>
      <c r="W880">
        <v>70</v>
      </c>
    </row>
    <row r="881" spans="1:23" hidden="1" x14ac:dyDescent="0.35">
      <c r="A881" t="s">
        <v>492</v>
      </c>
      <c r="B881" t="s">
        <v>493</v>
      </c>
      <c r="C881" t="s">
        <v>164</v>
      </c>
      <c r="D881" t="s">
        <v>165</v>
      </c>
      <c r="E881" t="s">
        <v>145</v>
      </c>
      <c r="F881" t="s">
        <v>28</v>
      </c>
      <c r="G881" t="s">
        <v>166</v>
      </c>
      <c r="H881" t="s">
        <v>139</v>
      </c>
      <c r="I881" t="s">
        <v>167</v>
      </c>
      <c r="J881" t="s">
        <v>168</v>
      </c>
      <c r="K881" t="s">
        <v>33</v>
      </c>
      <c r="L881" t="s">
        <v>51</v>
      </c>
      <c r="M881" t="s">
        <v>169</v>
      </c>
      <c r="N881" t="s">
        <v>170</v>
      </c>
      <c r="O881" t="s">
        <v>37</v>
      </c>
      <c r="P881" t="s">
        <v>38</v>
      </c>
      <c r="Q881" t="s">
        <v>39</v>
      </c>
      <c r="R881" t="s">
        <v>40</v>
      </c>
      <c r="S881" s="1">
        <v>38375.4</v>
      </c>
      <c r="T881" s="1">
        <v>8556.0409</v>
      </c>
      <c r="U881" s="1">
        <v>1021.106</v>
      </c>
      <c r="V881" s="1">
        <v>29819.359100000001</v>
      </c>
      <c r="W881">
        <v>22</v>
      </c>
    </row>
    <row r="882" spans="1:23" hidden="1" x14ac:dyDescent="0.35">
      <c r="A882" t="s">
        <v>492</v>
      </c>
      <c r="B882" t="s">
        <v>493</v>
      </c>
      <c r="C882" t="s">
        <v>171</v>
      </c>
      <c r="D882" t="s">
        <v>165</v>
      </c>
      <c r="E882" t="s">
        <v>145</v>
      </c>
      <c r="F882" t="s">
        <v>28</v>
      </c>
      <c r="G882" t="s">
        <v>166</v>
      </c>
      <c r="H882" t="s">
        <v>139</v>
      </c>
      <c r="I882" t="s">
        <v>167</v>
      </c>
      <c r="J882" t="s">
        <v>168</v>
      </c>
      <c r="K882" t="s">
        <v>33</v>
      </c>
      <c r="L882" t="s">
        <v>51</v>
      </c>
      <c r="M882" t="s">
        <v>172</v>
      </c>
      <c r="N882" t="s">
        <v>173</v>
      </c>
      <c r="O882" t="s">
        <v>37</v>
      </c>
      <c r="P882" t="s">
        <v>38</v>
      </c>
      <c r="Q882" t="s">
        <v>39</v>
      </c>
      <c r="R882" t="s">
        <v>40</v>
      </c>
      <c r="S882" s="1">
        <v>8650</v>
      </c>
      <c r="T882" s="1">
        <v>7072.3534</v>
      </c>
      <c r="U882" s="1">
        <v>0</v>
      </c>
      <c r="V882" s="1">
        <v>1577.6466</v>
      </c>
      <c r="W882">
        <v>82</v>
      </c>
    </row>
    <row r="883" spans="1:23" hidden="1" x14ac:dyDescent="0.35">
      <c r="A883" t="s">
        <v>492</v>
      </c>
      <c r="B883" t="s">
        <v>493</v>
      </c>
      <c r="C883" t="s">
        <v>470</v>
      </c>
      <c r="D883" t="s">
        <v>165</v>
      </c>
      <c r="E883" t="s">
        <v>145</v>
      </c>
      <c r="F883" t="s">
        <v>28</v>
      </c>
      <c r="G883" t="s">
        <v>166</v>
      </c>
      <c r="H883" t="s">
        <v>139</v>
      </c>
      <c r="I883" t="s">
        <v>167</v>
      </c>
      <c r="J883" t="s">
        <v>168</v>
      </c>
      <c r="K883" t="s">
        <v>33</v>
      </c>
      <c r="L883" t="s">
        <v>51</v>
      </c>
      <c r="M883" t="s">
        <v>471</v>
      </c>
      <c r="N883" t="s">
        <v>472</v>
      </c>
      <c r="O883" t="s">
        <v>37</v>
      </c>
      <c r="P883" t="s">
        <v>38</v>
      </c>
      <c r="Q883" t="s">
        <v>39</v>
      </c>
      <c r="R883" t="s">
        <v>40</v>
      </c>
      <c r="S883" s="1">
        <v>21254.1</v>
      </c>
      <c r="T883" s="1">
        <v>0</v>
      </c>
      <c r="U883" s="1">
        <v>0</v>
      </c>
      <c r="V883" s="1">
        <v>21254.1</v>
      </c>
      <c r="W883">
        <v>0</v>
      </c>
    </row>
    <row r="884" spans="1:23" hidden="1" x14ac:dyDescent="0.35">
      <c r="A884" t="s">
        <v>492</v>
      </c>
      <c r="B884" t="s">
        <v>493</v>
      </c>
      <c r="C884" t="s">
        <v>174</v>
      </c>
      <c r="D884" t="s">
        <v>175</v>
      </c>
      <c r="E884" t="s">
        <v>145</v>
      </c>
      <c r="F884" t="s">
        <v>176</v>
      </c>
      <c r="G884" t="s">
        <v>177</v>
      </c>
      <c r="H884" t="s">
        <v>116</v>
      </c>
      <c r="I884" t="s">
        <v>148</v>
      </c>
      <c r="J884" t="s">
        <v>149</v>
      </c>
      <c r="K884" t="s">
        <v>33</v>
      </c>
      <c r="L884" t="s">
        <v>34</v>
      </c>
      <c r="M884" t="s">
        <v>178</v>
      </c>
      <c r="N884" t="s">
        <v>179</v>
      </c>
      <c r="O884" t="s">
        <v>96</v>
      </c>
      <c r="P884" t="s">
        <v>97</v>
      </c>
      <c r="Q884" t="s">
        <v>39</v>
      </c>
      <c r="R884" t="s">
        <v>40</v>
      </c>
      <c r="S884" s="1">
        <v>586162.9</v>
      </c>
      <c r="T884" s="1">
        <v>369336.66629999998</v>
      </c>
      <c r="U884" s="1">
        <v>42115.733699999997</v>
      </c>
      <c r="V884" s="1">
        <v>216826.23370000001</v>
      </c>
      <c r="W884">
        <v>63</v>
      </c>
    </row>
    <row r="885" spans="1:23" hidden="1" x14ac:dyDescent="0.35">
      <c r="A885" t="s">
        <v>492</v>
      </c>
      <c r="B885" t="s">
        <v>493</v>
      </c>
      <c r="C885" t="s">
        <v>180</v>
      </c>
      <c r="D885" t="s">
        <v>175</v>
      </c>
      <c r="E885" t="s">
        <v>145</v>
      </c>
      <c r="F885" t="s">
        <v>176</v>
      </c>
      <c r="G885" t="s">
        <v>177</v>
      </c>
      <c r="H885" t="s">
        <v>116</v>
      </c>
      <c r="I885" t="s">
        <v>148</v>
      </c>
      <c r="J885" t="s">
        <v>149</v>
      </c>
      <c r="K885" t="s">
        <v>33</v>
      </c>
      <c r="L885" t="s">
        <v>34</v>
      </c>
      <c r="M885" t="s">
        <v>178</v>
      </c>
      <c r="N885" t="s">
        <v>179</v>
      </c>
      <c r="O885" t="s">
        <v>99</v>
      </c>
      <c r="P885" t="s">
        <v>100</v>
      </c>
      <c r="Q885" t="s">
        <v>39</v>
      </c>
      <c r="R885" t="s">
        <v>40</v>
      </c>
      <c r="S885" s="1">
        <v>176381.2</v>
      </c>
      <c r="T885" s="1">
        <v>106260.7454</v>
      </c>
      <c r="U885" s="1">
        <v>13363.7996</v>
      </c>
      <c r="V885" s="1">
        <v>70120.454599999997</v>
      </c>
      <c r="W885">
        <v>60</v>
      </c>
    </row>
    <row r="886" spans="1:23" hidden="1" x14ac:dyDescent="0.35">
      <c r="A886" t="s">
        <v>492</v>
      </c>
      <c r="B886" t="s">
        <v>493</v>
      </c>
      <c r="C886" t="s">
        <v>181</v>
      </c>
      <c r="D886" t="s">
        <v>175</v>
      </c>
      <c r="E886" t="s">
        <v>145</v>
      </c>
      <c r="F886" t="s">
        <v>176</v>
      </c>
      <c r="G886" t="s">
        <v>177</v>
      </c>
      <c r="H886" t="s">
        <v>116</v>
      </c>
      <c r="I886" t="s">
        <v>148</v>
      </c>
      <c r="J886" t="s">
        <v>149</v>
      </c>
      <c r="K886" t="s">
        <v>33</v>
      </c>
      <c r="L886" t="s">
        <v>34</v>
      </c>
      <c r="M886" t="s">
        <v>178</v>
      </c>
      <c r="N886" t="s">
        <v>179</v>
      </c>
      <c r="O886" t="s">
        <v>37</v>
      </c>
      <c r="P886" t="s">
        <v>38</v>
      </c>
      <c r="Q886" t="s">
        <v>39</v>
      </c>
      <c r="R886" t="s">
        <v>40</v>
      </c>
      <c r="S886" s="1">
        <v>124558.6</v>
      </c>
      <c r="T886" s="1">
        <v>52975.051700000004</v>
      </c>
      <c r="U886" s="1">
        <v>4250.4210000000003</v>
      </c>
      <c r="V886" s="1">
        <v>71583.548299999995</v>
      </c>
      <c r="W886">
        <v>43</v>
      </c>
    </row>
    <row r="887" spans="1:23" hidden="1" x14ac:dyDescent="0.35">
      <c r="A887" t="s">
        <v>492</v>
      </c>
      <c r="B887" t="s">
        <v>493</v>
      </c>
      <c r="C887" t="s">
        <v>182</v>
      </c>
      <c r="D887" t="s">
        <v>175</v>
      </c>
      <c r="E887" t="s">
        <v>145</v>
      </c>
      <c r="F887" t="s">
        <v>176</v>
      </c>
      <c r="G887" t="s">
        <v>177</v>
      </c>
      <c r="H887" t="s">
        <v>116</v>
      </c>
      <c r="I887" t="s">
        <v>148</v>
      </c>
      <c r="J887" t="s">
        <v>149</v>
      </c>
      <c r="K887" t="s">
        <v>33</v>
      </c>
      <c r="L887" t="s">
        <v>34</v>
      </c>
      <c r="M887" t="s">
        <v>178</v>
      </c>
      <c r="N887" t="s">
        <v>179</v>
      </c>
      <c r="O887" t="s">
        <v>42</v>
      </c>
      <c r="P887" t="s">
        <v>43</v>
      </c>
      <c r="Q887" t="s">
        <v>39</v>
      </c>
      <c r="R887" t="s">
        <v>40</v>
      </c>
      <c r="S887" s="1">
        <v>8102</v>
      </c>
      <c r="T887" s="1">
        <v>4078.1579000000002</v>
      </c>
      <c r="U887" s="1">
        <v>474.59640000000002</v>
      </c>
      <c r="V887" s="1">
        <v>4023.8420999999998</v>
      </c>
      <c r="W887">
        <v>50</v>
      </c>
    </row>
    <row r="888" spans="1:23" hidden="1" x14ac:dyDescent="0.35">
      <c r="A888" t="s">
        <v>492</v>
      </c>
      <c r="B888" t="s">
        <v>493</v>
      </c>
      <c r="C888" t="s">
        <v>486</v>
      </c>
      <c r="D888" t="s">
        <v>175</v>
      </c>
      <c r="E888" t="s">
        <v>145</v>
      </c>
      <c r="F888" t="s">
        <v>176</v>
      </c>
      <c r="G888" t="s">
        <v>177</v>
      </c>
      <c r="H888" t="s">
        <v>116</v>
      </c>
      <c r="I888" t="s">
        <v>148</v>
      </c>
      <c r="J888" t="s">
        <v>149</v>
      </c>
      <c r="K888" t="s">
        <v>33</v>
      </c>
      <c r="L888" t="s">
        <v>34</v>
      </c>
      <c r="M888" t="s">
        <v>178</v>
      </c>
      <c r="N888" t="s">
        <v>179</v>
      </c>
      <c r="O888" t="s">
        <v>91</v>
      </c>
      <c r="P888" t="s">
        <v>92</v>
      </c>
      <c r="Q888" t="s">
        <v>39</v>
      </c>
      <c r="R888" t="s">
        <v>40</v>
      </c>
      <c r="S888" s="1">
        <v>315</v>
      </c>
      <c r="T888" s="1">
        <v>307.27910000000003</v>
      </c>
      <c r="U888" s="1">
        <v>113.7984</v>
      </c>
      <c r="V888" s="1">
        <v>7.7209000000000003</v>
      </c>
      <c r="W888">
        <v>98</v>
      </c>
    </row>
    <row r="889" spans="1:23" hidden="1" x14ac:dyDescent="0.35">
      <c r="A889" t="s">
        <v>492</v>
      </c>
      <c r="B889" t="s">
        <v>493</v>
      </c>
      <c r="C889" t="s">
        <v>183</v>
      </c>
      <c r="D889" t="s">
        <v>175</v>
      </c>
      <c r="E889" t="s">
        <v>145</v>
      </c>
      <c r="F889" t="s">
        <v>176</v>
      </c>
      <c r="G889" t="s">
        <v>177</v>
      </c>
      <c r="H889" t="s">
        <v>116</v>
      </c>
      <c r="I889" t="s">
        <v>148</v>
      </c>
      <c r="J889" t="s">
        <v>149</v>
      </c>
      <c r="K889" t="s">
        <v>33</v>
      </c>
      <c r="L889" t="s">
        <v>34</v>
      </c>
      <c r="M889" t="s">
        <v>178</v>
      </c>
      <c r="N889" t="s">
        <v>179</v>
      </c>
      <c r="O889" t="s">
        <v>122</v>
      </c>
      <c r="P889" t="s">
        <v>123</v>
      </c>
      <c r="Q889" t="s">
        <v>39</v>
      </c>
      <c r="R889" t="s">
        <v>40</v>
      </c>
      <c r="S889" s="1">
        <v>183.2</v>
      </c>
      <c r="T889" s="1">
        <v>89.35</v>
      </c>
      <c r="U889" s="1">
        <v>0</v>
      </c>
      <c r="V889" s="1">
        <v>93.85</v>
      </c>
      <c r="W889">
        <v>49</v>
      </c>
    </row>
    <row r="890" spans="1:23" hidden="1" x14ac:dyDescent="0.35">
      <c r="A890" t="s">
        <v>492</v>
      </c>
      <c r="B890" t="s">
        <v>493</v>
      </c>
      <c r="C890" t="s">
        <v>184</v>
      </c>
      <c r="D890" t="s">
        <v>175</v>
      </c>
      <c r="E890" t="s">
        <v>145</v>
      </c>
      <c r="F890" t="s">
        <v>176</v>
      </c>
      <c r="G890" t="s">
        <v>177</v>
      </c>
      <c r="H890" t="s">
        <v>116</v>
      </c>
      <c r="I890" t="s">
        <v>148</v>
      </c>
      <c r="J890" t="s">
        <v>149</v>
      </c>
      <c r="K890" t="s">
        <v>33</v>
      </c>
      <c r="L890" t="s">
        <v>34</v>
      </c>
      <c r="M890" t="s">
        <v>178</v>
      </c>
      <c r="N890" t="s">
        <v>179</v>
      </c>
      <c r="O890" t="s">
        <v>103</v>
      </c>
      <c r="P890" t="s">
        <v>104</v>
      </c>
      <c r="Q890" t="s">
        <v>39</v>
      </c>
      <c r="R890" t="s">
        <v>40</v>
      </c>
      <c r="S890" s="1">
        <v>2450.3000000000002</v>
      </c>
      <c r="T890" s="1">
        <v>912.51199999999994</v>
      </c>
      <c r="U890" s="1">
        <v>89.2</v>
      </c>
      <c r="V890" s="1">
        <v>1537.788</v>
      </c>
      <c r="W890">
        <v>37</v>
      </c>
    </row>
    <row r="891" spans="1:23" hidden="1" x14ac:dyDescent="0.35">
      <c r="A891" t="s">
        <v>492</v>
      </c>
      <c r="B891" t="s">
        <v>493</v>
      </c>
      <c r="C891" t="s">
        <v>473</v>
      </c>
      <c r="D891" t="s">
        <v>175</v>
      </c>
      <c r="E891" t="s">
        <v>145</v>
      </c>
      <c r="F891" t="s">
        <v>176</v>
      </c>
      <c r="G891" t="s">
        <v>177</v>
      </c>
      <c r="H891" t="s">
        <v>116</v>
      </c>
      <c r="I891" t="s">
        <v>148</v>
      </c>
      <c r="J891" t="s">
        <v>149</v>
      </c>
      <c r="K891" t="s">
        <v>33</v>
      </c>
      <c r="L891" t="s">
        <v>34</v>
      </c>
      <c r="M891" t="s">
        <v>474</v>
      </c>
      <c r="N891" t="s">
        <v>475</v>
      </c>
      <c r="O891" t="s">
        <v>37</v>
      </c>
      <c r="P891" t="s">
        <v>38</v>
      </c>
      <c r="Q891" t="s">
        <v>39</v>
      </c>
      <c r="R891" t="s">
        <v>40</v>
      </c>
      <c r="S891" s="1">
        <v>824.6</v>
      </c>
      <c r="T891" s="1">
        <v>0</v>
      </c>
      <c r="U891" s="1">
        <v>0</v>
      </c>
      <c r="V891" s="1">
        <v>824.6</v>
      </c>
      <c r="W891">
        <v>0</v>
      </c>
    </row>
    <row r="892" spans="1:23" x14ac:dyDescent="0.35">
      <c r="A892" s="3" t="s">
        <v>492</v>
      </c>
      <c r="B892" s="3" t="s">
        <v>493</v>
      </c>
      <c r="C892" s="3" t="s">
        <v>185</v>
      </c>
      <c r="D892" s="3" t="s">
        <v>186</v>
      </c>
      <c r="E892" s="3" t="s">
        <v>187</v>
      </c>
      <c r="F892" s="3" t="s">
        <v>146</v>
      </c>
      <c r="G892" s="3" t="s">
        <v>188</v>
      </c>
      <c r="H892" s="3" t="s">
        <v>189</v>
      </c>
      <c r="I892" s="3" t="s">
        <v>190</v>
      </c>
      <c r="J892" s="3" t="s">
        <v>191</v>
      </c>
      <c r="K892" s="3" t="s">
        <v>33</v>
      </c>
      <c r="L892" s="3" t="s">
        <v>34</v>
      </c>
      <c r="M892" s="3" t="s">
        <v>192</v>
      </c>
      <c r="N892" s="3" t="s">
        <v>193</v>
      </c>
      <c r="O892" s="3" t="s">
        <v>108</v>
      </c>
      <c r="P892" s="3" t="s">
        <v>109</v>
      </c>
      <c r="Q892" s="3" t="s">
        <v>39</v>
      </c>
      <c r="R892" s="3" t="s">
        <v>40</v>
      </c>
      <c r="S892" s="7">
        <v>5665542.5999999996</v>
      </c>
      <c r="T892" s="7">
        <v>3475820.7058999999</v>
      </c>
      <c r="U892" s="7">
        <v>302331.23830000003</v>
      </c>
      <c r="V892" s="7">
        <v>2189721.8941000002</v>
      </c>
      <c r="W892" s="3">
        <v>61</v>
      </c>
    </row>
    <row r="893" spans="1:23" x14ac:dyDescent="0.35">
      <c r="A893" s="3" t="s">
        <v>492</v>
      </c>
      <c r="B893" s="3" t="s">
        <v>493</v>
      </c>
      <c r="C893" s="3" t="s">
        <v>426</v>
      </c>
      <c r="D893" s="3" t="s">
        <v>186</v>
      </c>
      <c r="E893" s="3" t="s">
        <v>187</v>
      </c>
      <c r="F893" s="3" t="s">
        <v>146</v>
      </c>
      <c r="G893" s="3" t="s">
        <v>188</v>
      </c>
      <c r="H893" s="3" t="s">
        <v>189</v>
      </c>
      <c r="I893" s="3" t="s">
        <v>190</v>
      </c>
      <c r="J893" s="3" t="s">
        <v>191</v>
      </c>
      <c r="K893" s="3" t="s">
        <v>33</v>
      </c>
      <c r="L893" s="3" t="s">
        <v>34</v>
      </c>
      <c r="M893" s="3" t="s">
        <v>427</v>
      </c>
      <c r="N893" s="3" t="s">
        <v>428</v>
      </c>
      <c r="O893" s="3" t="s">
        <v>197</v>
      </c>
      <c r="P893" s="3" t="s">
        <v>198</v>
      </c>
      <c r="Q893" s="3" t="s">
        <v>39</v>
      </c>
      <c r="R893" s="3" t="s">
        <v>40</v>
      </c>
      <c r="S893" s="7">
        <v>4200</v>
      </c>
      <c r="T893" s="7">
        <v>0</v>
      </c>
      <c r="U893" s="7">
        <v>0</v>
      </c>
      <c r="V893" s="7">
        <v>4200</v>
      </c>
      <c r="W893" s="3">
        <v>0</v>
      </c>
    </row>
    <row r="894" spans="1:23" x14ac:dyDescent="0.35">
      <c r="A894" s="3" t="s">
        <v>492</v>
      </c>
      <c r="B894" s="3" t="s">
        <v>493</v>
      </c>
      <c r="C894" s="3" t="s">
        <v>194</v>
      </c>
      <c r="D894" s="3" t="s">
        <v>186</v>
      </c>
      <c r="E894" s="3" t="s">
        <v>187</v>
      </c>
      <c r="F894" s="3" t="s">
        <v>146</v>
      </c>
      <c r="G894" s="3" t="s">
        <v>188</v>
      </c>
      <c r="H894" s="3" t="s">
        <v>189</v>
      </c>
      <c r="I894" s="3" t="s">
        <v>190</v>
      </c>
      <c r="J894" s="3" t="s">
        <v>191</v>
      </c>
      <c r="K894" s="3" t="s">
        <v>33</v>
      </c>
      <c r="L894" s="3" t="s">
        <v>34</v>
      </c>
      <c r="M894" s="3" t="s">
        <v>195</v>
      </c>
      <c r="N894" s="3" t="s">
        <v>196</v>
      </c>
      <c r="O894" s="3" t="s">
        <v>197</v>
      </c>
      <c r="P894" s="3" t="s">
        <v>198</v>
      </c>
      <c r="Q894" s="3" t="s">
        <v>39</v>
      </c>
      <c r="R894" s="3" t="s">
        <v>40</v>
      </c>
      <c r="S894" s="7">
        <v>19486.7</v>
      </c>
      <c r="T894" s="7">
        <v>14075.6543</v>
      </c>
      <c r="U894" s="7">
        <v>1743.6048000000001</v>
      </c>
      <c r="V894" s="7">
        <v>5411.0456999999997</v>
      </c>
      <c r="W894" s="3">
        <v>72</v>
      </c>
    </row>
    <row r="895" spans="1:23" x14ac:dyDescent="0.35">
      <c r="A895" s="3" t="s">
        <v>492</v>
      </c>
      <c r="B895" s="3" t="s">
        <v>493</v>
      </c>
      <c r="C895" s="3" t="s">
        <v>449</v>
      </c>
      <c r="D895" s="3" t="s">
        <v>186</v>
      </c>
      <c r="E895" s="3" t="s">
        <v>187</v>
      </c>
      <c r="F895" s="3" t="s">
        <v>146</v>
      </c>
      <c r="G895" s="3" t="s">
        <v>188</v>
      </c>
      <c r="H895" s="3" t="s">
        <v>189</v>
      </c>
      <c r="I895" s="3" t="s">
        <v>190</v>
      </c>
      <c r="J895" s="3" t="s">
        <v>191</v>
      </c>
      <c r="K895" s="3" t="s">
        <v>33</v>
      </c>
      <c r="L895" s="3" t="s">
        <v>34</v>
      </c>
      <c r="M895" s="3" t="s">
        <v>450</v>
      </c>
      <c r="N895" s="3" t="s">
        <v>451</v>
      </c>
      <c r="O895" s="3" t="s">
        <v>197</v>
      </c>
      <c r="P895" s="3" t="s">
        <v>198</v>
      </c>
      <c r="Q895" s="3" t="s">
        <v>39</v>
      </c>
      <c r="R895" s="3" t="s">
        <v>40</v>
      </c>
      <c r="S895" s="7">
        <v>25400</v>
      </c>
      <c r="T895" s="7">
        <v>14335.7309</v>
      </c>
      <c r="U895" s="7">
        <v>7894.8</v>
      </c>
      <c r="V895" s="7">
        <v>11064.2691</v>
      </c>
      <c r="W895" s="3">
        <v>56</v>
      </c>
    </row>
    <row r="896" spans="1:23" x14ac:dyDescent="0.35">
      <c r="A896" s="3" t="s">
        <v>492</v>
      </c>
      <c r="B896" s="3" t="s">
        <v>493</v>
      </c>
      <c r="C896" s="3" t="s">
        <v>429</v>
      </c>
      <c r="D896" s="3" t="s">
        <v>200</v>
      </c>
      <c r="E896" s="3" t="s">
        <v>187</v>
      </c>
      <c r="F896" s="3" t="s">
        <v>189</v>
      </c>
      <c r="G896" s="3" t="s">
        <v>201</v>
      </c>
      <c r="H896" s="3" t="s">
        <v>189</v>
      </c>
      <c r="I896" s="3" t="s">
        <v>190</v>
      </c>
      <c r="J896" s="3" t="s">
        <v>202</v>
      </c>
      <c r="K896" s="3" t="s">
        <v>23</v>
      </c>
      <c r="L896" s="3" t="s">
        <v>203</v>
      </c>
      <c r="M896" s="3" t="s">
        <v>430</v>
      </c>
      <c r="N896" s="3" t="s">
        <v>431</v>
      </c>
      <c r="O896" s="3" t="s">
        <v>197</v>
      </c>
      <c r="P896" s="3" t="s">
        <v>198</v>
      </c>
      <c r="Q896" s="3" t="s">
        <v>39</v>
      </c>
      <c r="R896" s="3" t="s">
        <v>40</v>
      </c>
      <c r="S896" s="7">
        <v>6609.5</v>
      </c>
      <c r="T896" s="7">
        <v>6609.2277999999997</v>
      </c>
      <c r="U896" s="7">
        <v>0</v>
      </c>
      <c r="V896" s="7">
        <v>0.2722</v>
      </c>
      <c r="W896" s="3">
        <v>100</v>
      </c>
    </row>
    <row r="897" spans="1:23" x14ac:dyDescent="0.35">
      <c r="A897" s="3" t="s">
        <v>492</v>
      </c>
      <c r="B897" s="3" t="s">
        <v>493</v>
      </c>
      <c r="C897" s="3" t="s">
        <v>199</v>
      </c>
      <c r="D897" s="3" t="s">
        <v>200</v>
      </c>
      <c r="E897" s="3" t="s">
        <v>187</v>
      </c>
      <c r="F897" s="3" t="s">
        <v>189</v>
      </c>
      <c r="G897" s="3" t="s">
        <v>201</v>
      </c>
      <c r="H897" s="3" t="s">
        <v>189</v>
      </c>
      <c r="I897" s="3" t="s">
        <v>190</v>
      </c>
      <c r="J897" s="3" t="s">
        <v>202</v>
      </c>
      <c r="K897" s="3" t="s">
        <v>23</v>
      </c>
      <c r="L897" s="3" t="s">
        <v>203</v>
      </c>
      <c r="M897" s="3" t="s">
        <v>204</v>
      </c>
      <c r="N897" s="3" t="s">
        <v>205</v>
      </c>
      <c r="O897" s="3" t="s">
        <v>197</v>
      </c>
      <c r="P897" s="3" t="s">
        <v>198</v>
      </c>
      <c r="Q897" s="3" t="s">
        <v>39</v>
      </c>
      <c r="R897" s="3" t="s">
        <v>40</v>
      </c>
      <c r="S897" s="7">
        <v>19701.3</v>
      </c>
      <c r="T897" s="7">
        <v>13133.406199999999</v>
      </c>
      <c r="U897" s="7">
        <v>0</v>
      </c>
      <c r="V897" s="7">
        <v>6567.8937999999998</v>
      </c>
      <c r="W897" s="3">
        <v>67</v>
      </c>
    </row>
    <row r="898" spans="1:23" x14ac:dyDescent="0.35">
      <c r="A898" s="3" t="s">
        <v>492</v>
      </c>
      <c r="B898" s="3" t="s">
        <v>493</v>
      </c>
      <c r="C898" s="3" t="s">
        <v>206</v>
      </c>
      <c r="D898" s="3" t="s">
        <v>200</v>
      </c>
      <c r="E898" s="3" t="s">
        <v>187</v>
      </c>
      <c r="F898" s="3" t="s">
        <v>189</v>
      </c>
      <c r="G898" s="3" t="s">
        <v>201</v>
      </c>
      <c r="H898" s="3" t="s">
        <v>189</v>
      </c>
      <c r="I898" s="3" t="s">
        <v>190</v>
      </c>
      <c r="J898" s="3" t="s">
        <v>202</v>
      </c>
      <c r="K898" s="3" t="s">
        <v>23</v>
      </c>
      <c r="L898" s="3" t="s">
        <v>203</v>
      </c>
      <c r="M898" s="3" t="s">
        <v>207</v>
      </c>
      <c r="N898" s="3" t="s">
        <v>208</v>
      </c>
      <c r="O898" s="3" t="s">
        <v>197</v>
      </c>
      <c r="P898" s="3" t="s">
        <v>198</v>
      </c>
      <c r="Q898" s="3" t="s">
        <v>39</v>
      </c>
      <c r="R898" s="3" t="s">
        <v>40</v>
      </c>
      <c r="S898" s="7">
        <v>98275</v>
      </c>
      <c r="T898" s="7">
        <v>66032.3</v>
      </c>
      <c r="U898" s="7">
        <v>0</v>
      </c>
      <c r="V898" s="7">
        <v>32242.7</v>
      </c>
      <c r="W898" s="3">
        <v>67</v>
      </c>
    </row>
    <row r="899" spans="1:23" x14ac:dyDescent="0.35">
      <c r="A899" s="3" t="s">
        <v>492</v>
      </c>
      <c r="B899" s="3" t="s">
        <v>493</v>
      </c>
      <c r="C899" s="3" t="s">
        <v>209</v>
      </c>
      <c r="D899" s="3" t="s">
        <v>200</v>
      </c>
      <c r="E899" s="3" t="s">
        <v>187</v>
      </c>
      <c r="F899" s="3" t="s">
        <v>189</v>
      </c>
      <c r="G899" s="3" t="s">
        <v>201</v>
      </c>
      <c r="H899" s="3" t="s">
        <v>189</v>
      </c>
      <c r="I899" s="3" t="s">
        <v>190</v>
      </c>
      <c r="J899" s="3" t="s">
        <v>191</v>
      </c>
      <c r="K899" s="3" t="s">
        <v>33</v>
      </c>
      <c r="L899" s="3" t="s">
        <v>34</v>
      </c>
      <c r="M899" s="3" t="s">
        <v>210</v>
      </c>
      <c r="N899" s="3" t="s">
        <v>211</v>
      </c>
      <c r="O899" s="3" t="s">
        <v>108</v>
      </c>
      <c r="P899" s="3" t="s">
        <v>109</v>
      </c>
      <c r="Q899" s="3" t="s">
        <v>39</v>
      </c>
      <c r="R899" s="3" t="s">
        <v>40</v>
      </c>
      <c r="S899" s="7">
        <v>5474469.7000000002</v>
      </c>
      <c r="T899" s="7">
        <v>3581018.6801999998</v>
      </c>
      <c r="U899" s="7">
        <v>152026.34719999999</v>
      </c>
      <c r="V899" s="7">
        <v>1893451.0197999999</v>
      </c>
      <c r="W899" s="3">
        <v>65</v>
      </c>
    </row>
    <row r="900" spans="1:23" x14ac:dyDescent="0.35">
      <c r="A900" s="3" t="s">
        <v>492</v>
      </c>
      <c r="B900" s="3" t="s">
        <v>493</v>
      </c>
      <c r="C900" s="3" t="s">
        <v>212</v>
      </c>
      <c r="D900" s="3" t="s">
        <v>200</v>
      </c>
      <c r="E900" s="3" t="s">
        <v>187</v>
      </c>
      <c r="F900" s="3" t="s">
        <v>189</v>
      </c>
      <c r="G900" s="3" t="s">
        <v>201</v>
      </c>
      <c r="H900" s="3" t="s">
        <v>189</v>
      </c>
      <c r="I900" s="3" t="s">
        <v>190</v>
      </c>
      <c r="J900" s="3" t="s">
        <v>191</v>
      </c>
      <c r="K900" s="3" t="s">
        <v>33</v>
      </c>
      <c r="L900" s="3" t="s">
        <v>34</v>
      </c>
      <c r="M900" s="3" t="s">
        <v>213</v>
      </c>
      <c r="N900" s="3" t="s">
        <v>214</v>
      </c>
      <c r="O900" s="3" t="s">
        <v>108</v>
      </c>
      <c r="P900" s="3" t="s">
        <v>109</v>
      </c>
      <c r="Q900" s="3" t="s">
        <v>39</v>
      </c>
      <c r="R900" s="3" t="s">
        <v>40</v>
      </c>
      <c r="S900" s="7">
        <v>183013.6</v>
      </c>
      <c r="T900" s="7">
        <v>111170.447</v>
      </c>
      <c r="U900" s="7">
        <v>3886.5594999999998</v>
      </c>
      <c r="V900" s="7">
        <v>71843.153000000006</v>
      </c>
      <c r="W900" s="3">
        <v>61</v>
      </c>
    </row>
    <row r="901" spans="1:23" x14ac:dyDescent="0.35">
      <c r="A901" s="3" t="s">
        <v>492</v>
      </c>
      <c r="B901" s="3" t="s">
        <v>493</v>
      </c>
      <c r="C901" s="3" t="s">
        <v>215</v>
      </c>
      <c r="D901" s="3" t="s">
        <v>200</v>
      </c>
      <c r="E901" s="3" t="s">
        <v>187</v>
      </c>
      <c r="F901" s="3" t="s">
        <v>189</v>
      </c>
      <c r="G901" s="3" t="s">
        <v>201</v>
      </c>
      <c r="H901" s="3" t="s">
        <v>189</v>
      </c>
      <c r="I901" s="3" t="s">
        <v>190</v>
      </c>
      <c r="J901" s="3" t="s">
        <v>191</v>
      </c>
      <c r="K901" s="3" t="s">
        <v>33</v>
      </c>
      <c r="L901" s="3" t="s">
        <v>34</v>
      </c>
      <c r="M901" s="3" t="s">
        <v>216</v>
      </c>
      <c r="N901" s="3" t="s">
        <v>217</v>
      </c>
      <c r="O901" s="3" t="s">
        <v>108</v>
      </c>
      <c r="P901" s="3" t="s">
        <v>109</v>
      </c>
      <c r="Q901" s="3" t="s">
        <v>39</v>
      </c>
      <c r="R901" s="3" t="s">
        <v>40</v>
      </c>
      <c r="S901" s="7">
        <v>88494.399999999994</v>
      </c>
      <c r="T901" s="7">
        <v>59973.4781</v>
      </c>
      <c r="U901" s="7">
        <v>3346.4009000000001</v>
      </c>
      <c r="V901" s="7">
        <v>28520.921900000001</v>
      </c>
      <c r="W901" s="3">
        <v>68</v>
      </c>
    </row>
    <row r="902" spans="1:23" x14ac:dyDescent="0.35">
      <c r="A902" s="3" t="s">
        <v>492</v>
      </c>
      <c r="B902" s="3" t="s">
        <v>493</v>
      </c>
      <c r="C902" s="3" t="s">
        <v>476</v>
      </c>
      <c r="D902" s="3" t="s">
        <v>200</v>
      </c>
      <c r="E902" s="3" t="s">
        <v>187</v>
      </c>
      <c r="F902" s="3" t="s">
        <v>189</v>
      </c>
      <c r="G902" s="3" t="s">
        <v>201</v>
      </c>
      <c r="H902" s="3" t="s">
        <v>189</v>
      </c>
      <c r="I902" s="3" t="s">
        <v>190</v>
      </c>
      <c r="J902" s="3" t="s">
        <v>191</v>
      </c>
      <c r="K902" s="3" t="s">
        <v>33</v>
      </c>
      <c r="L902" s="3" t="s">
        <v>34</v>
      </c>
      <c r="M902" s="3" t="s">
        <v>219</v>
      </c>
      <c r="N902" s="3" t="s">
        <v>220</v>
      </c>
      <c r="O902" s="3" t="s">
        <v>477</v>
      </c>
      <c r="P902" s="3" t="s">
        <v>478</v>
      </c>
      <c r="Q902" s="3" t="s">
        <v>39</v>
      </c>
      <c r="R902" s="3" t="s">
        <v>40</v>
      </c>
      <c r="S902" s="7">
        <v>1102.9000000000001</v>
      </c>
      <c r="T902" s="7">
        <v>827.17499999999995</v>
      </c>
      <c r="U902" s="7">
        <v>827.17499999999995</v>
      </c>
      <c r="V902" s="7">
        <v>275.72500000000002</v>
      </c>
      <c r="W902" s="3">
        <v>75</v>
      </c>
    </row>
    <row r="903" spans="1:23" x14ac:dyDescent="0.35">
      <c r="A903" s="3" t="s">
        <v>492</v>
      </c>
      <c r="B903" s="3" t="s">
        <v>493</v>
      </c>
      <c r="C903" s="3" t="s">
        <v>223</v>
      </c>
      <c r="D903" s="3" t="s">
        <v>200</v>
      </c>
      <c r="E903" s="3" t="s">
        <v>187</v>
      </c>
      <c r="F903" s="3" t="s">
        <v>189</v>
      </c>
      <c r="G903" s="3" t="s">
        <v>201</v>
      </c>
      <c r="H903" s="3" t="s">
        <v>189</v>
      </c>
      <c r="I903" s="3" t="s">
        <v>190</v>
      </c>
      <c r="J903" s="3" t="s">
        <v>191</v>
      </c>
      <c r="K903" s="3" t="s">
        <v>33</v>
      </c>
      <c r="L903" s="3" t="s">
        <v>34</v>
      </c>
      <c r="M903" s="3" t="s">
        <v>224</v>
      </c>
      <c r="N903" s="3" t="s">
        <v>225</v>
      </c>
      <c r="O903" s="3" t="s">
        <v>197</v>
      </c>
      <c r="P903" s="3" t="s">
        <v>198</v>
      </c>
      <c r="Q903" s="3" t="s">
        <v>39</v>
      </c>
      <c r="R903" s="3" t="s">
        <v>40</v>
      </c>
      <c r="S903" s="7">
        <v>123977.4</v>
      </c>
      <c r="T903" s="7">
        <v>122005.98360000001</v>
      </c>
      <c r="U903" s="7">
        <v>6814.6648999999998</v>
      </c>
      <c r="V903" s="7">
        <v>1971.4164000000001</v>
      </c>
      <c r="W903" s="3">
        <v>98</v>
      </c>
    </row>
    <row r="904" spans="1:23" x14ac:dyDescent="0.35">
      <c r="A904" s="3" t="s">
        <v>492</v>
      </c>
      <c r="B904" s="3" t="s">
        <v>493</v>
      </c>
      <c r="C904" s="3" t="s">
        <v>432</v>
      </c>
      <c r="D904" s="3" t="s">
        <v>200</v>
      </c>
      <c r="E904" s="3" t="s">
        <v>187</v>
      </c>
      <c r="F904" s="3" t="s">
        <v>189</v>
      </c>
      <c r="G904" s="3" t="s">
        <v>201</v>
      </c>
      <c r="H904" s="3" t="s">
        <v>189</v>
      </c>
      <c r="I904" s="3" t="s">
        <v>190</v>
      </c>
      <c r="J904" s="3" t="s">
        <v>191</v>
      </c>
      <c r="K904" s="3" t="s">
        <v>33</v>
      </c>
      <c r="L904" s="3" t="s">
        <v>34</v>
      </c>
      <c r="M904" s="3" t="s">
        <v>427</v>
      </c>
      <c r="N904" s="3" t="s">
        <v>428</v>
      </c>
      <c r="O904" s="3" t="s">
        <v>197</v>
      </c>
      <c r="P904" s="3" t="s">
        <v>198</v>
      </c>
      <c r="Q904" s="3" t="s">
        <v>39</v>
      </c>
      <c r="R904" s="3" t="s">
        <v>40</v>
      </c>
      <c r="S904" s="7">
        <v>23605.9</v>
      </c>
      <c r="T904" s="7">
        <v>18840.014999999999</v>
      </c>
      <c r="U904" s="7">
        <v>3377.3445999999999</v>
      </c>
      <c r="V904" s="7">
        <v>4765.8850000000002</v>
      </c>
      <c r="W904" s="3">
        <v>80</v>
      </c>
    </row>
    <row r="905" spans="1:23" x14ac:dyDescent="0.35">
      <c r="A905" s="3" t="s">
        <v>492</v>
      </c>
      <c r="B905" s="3" t="s">
        <v>493</v>
      </c>
      <c r="C905" s="3" t="s">
        <v>226</v>
      </c>
      <c r="D905" s="3" t="s">
        <v>200</v>
      </c>
      <c r="E905" s="3" t="s">
        <v>187</v>
      </c>
      <c r="F905" s="3" t="s">
        <v>189</v>
      </c>
      <c r="G905" s="3" t="s">
        <v>201</v>
      </c>
      <c r="H905" s="3" t="s">
        <v>189</v>
      </c>
      <c r="I905" s="3" t="s">
        <v>190</v>
      </c>
      <c r="J905" s="3" t="s">
        <v>191</v>
      </c>
      <c r="K905" s="3" t="s">
        <v>33</v>
      </c>
      <c r="L905" s="3" t="s">
        <v>34</v>
      </c>
      <c r="M905" s="3" t="s">
        <v>227</v>
      </c>
      <c r="N905" s="3" t="s">
        <v>228</v>
      </c>
      <c r="O905" s="3" t="s">
        <v>197</v>
      </c>
      <c r="P905" s="3" t="s">
        <v>198</v>
      </c>
      <c r="Q905" s="3" t="s">
        <v>39</v>
      </c>
      <c r="R905" s="3" t="s">
        <v>40</v>
      </c>
      <c r="S905" s="7">
        <v>115733.1</v>
      </c>
      <c r="T905" s="7">
        <v>526.04999999999995</v>
      </c>
      <c r="U905" s="7">
        <v>0</v>
      </c>
      <c r="V905" s="7">
        <v>115207.05</v>
      </c>
      <c r="W905" s="3">
        <v>0</v>
      </c>
    </row>
    <row r="906" spans="1:23" x14ac:dyDescent="0.35">
      <c r="A906" s="3" t="s">
        <v>492</v>
      </c>
      <c r="B906" s="3" t="s">
        <v>493</v>
      </c>
      <c r="C906" s="3" t="s">
        <v>229</v>
      </c>
      <c r="D906" s="3" t="s">
        <v>200</v>
      </c>
      <c r="E906" s="3" t="s">
        <v>187</v>
      </c>
      <c r="F906" s="3" t="s">
        <v>189</v>
      </c>
      <c r="G906" s="3" t="s">
        <v>201</v>
      </c>
      <c r="H906" s="3" t="s">
        <v>189</v>
      </c>
      <c r="I906" s="3" t="s">
        <v>190</v>
      </c>
      <c r="J906" s="3" t="s">
        <v>191</v>
      </c>
      <c r="K906" s="3" t="s">
        <v>33</v>
      </c>
      <c r="L906" s="3" t="s">
        <v>34</v>
      </c>
      <c r="M906" s="3" t="s">
        <v>195</v>
      </c>
      <c r="N906" s="3" t="s">
        <v>196</v>
      </c>
      <c r="O906" s="3" t="s">
        <v>197</v>
      </c>
      <c r="P906" s="3" t="s">
        <v>198</v>
      </c>
      <c r="Q906" s="3" t="s">
        <v>39</v>
      </c>
      <c r="R906" s="3" t="s">
        <v>40</v>
      </c>
      <c r="S906" s="7">
        <v>29599.599999999999</v>
      </c>
      <c r="T906" s="7">
        <v>15880.062599999999</v>
      </c>
      <c r="U906" s="7">
        <v>3371.7440999999999</v>
      </c>
      <c r="V906" s="7">
        <v>13719.537399999999</v>
      </c>
      <c r="W906" s="3">
        <v>54</v>
      </c>
    </row>
    <row r="907" spans="1:23" x14ac:dyDescent="0.35">
      <c r="A907" s="3" t="s">
        <v>492</v>
      </c>
      <c r="B907" s="3" t="s">
        <v>493</v>
      </c>
      <c r="C907" s="3" t="s">
        <v>433</v>
      </c>
      <c r="D907" s="3" t="s">
        <v>200</v>
      </c>
      <c r="E907" s="3" t="s">
        <v>187</v>
      </c>
      <c r="F907" s="3" t="s">
        <v>189</v>
      </c>
      <c r="G907" s="3" t="s">
        <v>201</v>
      </c>
      <c r="H907" s="3" t="s">
        <v>189</v>
      </c>
      <c r="I907" s="3" t="s">
        <v>190</v>
      </c>
      <c r="J907" s="3" t="s">
        <v>191</v>
      </c>
      <c r="K907" s="3" t="s">
        <v>33</v>
      </c>
      <c r="L907" s="3" t="s">
        <v>34</v>
      </c>
      <c r="M907" s="3" t="s">
        <v>434</v>
      </c>
      <c r="N907" s="3" t="s">
        <v>435</v>
      </c>
      <c r="O907" s="3" t="s">
        <v>197</v>
      </c>
      <c r="P907" s="3" t="s">
        <v>198</v>
      </c>
      <c r="Q907" s="3" t="s">
        <v>39</v>
      </c>
      <c r="R907" s="3" t="s">
        <v>40</v>
      </c>
      <c r="S907" s="7">
        <v>14900</v>
      </c>
      <c r="T907" s="7">
        <v>8759.1849999999995</v>
      </c>
      <c r="U907" s="7">
        <v>2348.0158000000001</v>
      </c>
      <c r="V907" s="7">
        <v>6140.8149999999996</v>
      </c>
      <c r="W907" s="3">
        <v>59</v>
      </c>
    </row>
    <row r="908" spans="1:23" x14ac:dyDescent="0.35">
      <c r="A908" s="3" t="s">
        <v>492</v>
      </c>
      <c r="B908" s="3" t="s">
        <v>493</v>
      </c>
      <c r="C908" s="3" t="s">
        <v>230</v>
      </c>
      <c r="D908" s="3" t="s">
        <v>200</v>
      </c>
      <c r="E908" s="3" t="s">
        <v>187</v>
      </c>
      <c r="F908" s="3" t="s">
        <v>189</v>
      </c>
      <c r="G908" s="3" t="s">
        <v>201</v>
      </c>
      <c r="H908" s="3" t="s">
        <v>28</v>
      </c>
      <c r="I908" s="3" t="s">
        <v>231</v>
      </c>
      <c r="J908" s="3" t="s">
        <v>232</v>
      </c>
      <c r="K908" s="3" t="s">
        <v>33</v>
      </c>
      <c r="L908" s="3" t="s">
        <v>51</v>
      </c>
      <c r="M908" s="3" t="s">
        <v>233</v>
      </c>
      <c r="N908" s="3" t="s">
        <v>234</v>
      </c>
      <c r="O908" s="3" t="s">
        <v>197</v>
      </c>
      <c r="P908" s="3" t="s">
        <v>198</v>
      </c>
      <c r="Q908" s="3" t="s">
        <v>39</v>
      </c>
      <c r="R908" s="3" t="s">
        <v>40</v>
      </c>
      <c r="S908" s="7">
        <v>340444.3</v>
      </c>
      <c r="T908" s="7">
        <v>163326.85130000001</v>
      </c>
      <c r="U908" s="7">
        <v>0</v>
      </c>
      <c r="V908" s="7">
        <v>177117.44870000001</v>
      </c>
      <c r="W908" s="3">
        <v>48</v>
      </c>
    </row>
    <row r="909" spans="1:23" x14ac:dyDescent="0.35">
      <c r="A909" s="3" t="s">
        <v>492</v>
      </c>
      <c r="B909" s="3" t="s">
        <v>493</v>
      </c>
      <c r="C909" s="3" t="s">
        <v>235</v>
      </c>
      <c r="D909" s="3" t="s">
        <v>200</v>
      </c>
      <c r="E909" s="3" t="s">
        <v>187</v>
      </c>
      <c r="F909" s="3" t="s">
        <v>189</v>
      </c>
      <c r="G909" s="3" t="s">
        <v>201</v>
      </c>
      <c r="H909" s="3" t="s">
        <v>28</v>
      </c>
      <c r="I909" s="3" t="s">
        <v>231</v>
      </c>
      <c r="J909" s="3" t="s">
        <v>232</v>
      </c>
      <c r="K909" s="3" t="s">
        <v>33</v>
      </c>
      <c r="L909" s="3" t="s">
        <v>51</v>
      </c>
      <c r="M909" s="3" t="s">
        <v>236</v>
      </c>
      <c r="N909" s="3" t="s">
        <v>237</v>
      </c>
      <c r="O909" s="3" t="s">
        <v>197</v>
      </c>
      <c r="P909" s="3" t="s">
        <v>198</v>
      </c>
      <c r="Q909" s="3" t="s">
        <v>39</v>
      </c>
      <c r="R909" s="3" t="s">
        <v>40</v>
      </c>
      <c r="S909" s="7">
        <v>188979.20000000001</v>
      </c>
      <c r="T909" s="7">
        <v>114564.7626</v>
      </c>
      <c r="U909" s="7">
        <v>0</v>
      </c>
      <c r="V909" s="7">
        <v>74414.437399999995</v>
      </c>
      <c r="W909" s="3">
        <v>61</v>
      </c>
    </row>
    <row r="910" spans="1:23" x14ac:dyDescent="0.35">
      <c r="A910" s="3" t="s">
        <v>492</v>
      </c>
      <c r="B910" s="3" t="s">
        <v>493</v>
      </c>
      <c r="C910" s="3" t="s">
        <v>238</v>
      </c>
      <c r="D910" s="3" t="s">
        <v>239</v>
      </c>
      <c r="E910" s="3" t="s">
        <v>187</v>
      </c>
      <c r="F910" s="3" t="s">
        <v>28</v>
      </c>
      <c r="G910" s="3" t="s">
        <v>240</v>
      </c>
      <c r="H910" s="3" t="s">
        <v>189</v>
      </c>
      <c r="I910" s="3" t="s">
        <v>190</v>
      </c>
      <c r="J910" s="3" t="s">
        <v>191</v>
      </c>
      <c r="K910" s="3" t="s">
        <v>33</v>
      </c>
      <c r="L910" s="3" t="s">
        <v>34</v>
      </c>
      <c r="M910" s="3" t="s">
        <v>241</v>
      </c>
      <c r="N910" s="3" t="s">
        <v>242</v>
      </c>
      <c r="O910" s="3" t="s">
        <v>108</v>
      </c>
      <c r="P910" s="3" t="s">
        <v>109</v>
      </c>
      <c r="Q910" s="3" t="s">
        <v>39</v>
      </c>
      <c r="R910" s="3" t="s">
        <v>40</v>
      </c>
      <c r="S910" s="7">
        <v>300340.90000000002</v>
      </c>
      <c r="T910" s="7">
        <v>190454.495</v>
      </c>
      <c r="U910" s="7">
        <v>12855.6193</v>
      </c>
      <c r="V910" s="7">
        <v>109886.405</v>
      </c>
      <c r="W910" s="3">
        <v>63</v>
      </c>
    </row>
    <row r="911" spans="1:23" x14ac:dyDescent="0.35">
      <c r="A911" s="3" t="s">
        <v>492</v>
      </c>
      <c r="B911" s="3" t="s">
        <v>493</v>
      </c>
      <c r="C911" s="3" t="s">
        <v>243</v>
      </c>
      <c r="D911" s="3" t="s">
        <v>244</v>
      </c>
      <c r="E911" s="3" t="s">
        <v>187</v>
      </c>
      <c r="F911" s="3" t="s">
        <v>245</v>
      </c>
      <c r="G911" s="3" t="s">
        <v>246</v>
      </c>
      <c r="H911" s="3" t="s">
        <v>66</v>
      </c>
      <c r="I911" s="3" t="s">
        <v>67</v>
      </c>
      <c r="J911" s="3" t="s">
        <v>68</v>
      </c>
      <c r="K911" s="3" t="s">
        <v>33</v>
      </c>
      <c r="L911" s="3" t="s">
        <v>51</v>
      </c>
      <c r="M911" s="3" t="s">
        <v>247</v>
      </c>
      <c r="N911" s="3" t="s">
        <v>248</v>
      </c>
      <c r="O911" s="3" t="s">
        <v>108</v>
      </c>
      <c r="P911" s="3" t="s">
        <v>109</v>
      </c>
      <c r="Q911" s="3" t="s">
        <v>39</v>
      </c>
      <c r="R911" s="3" t="s">
        <v>40</v>
      </c>
      <c r="S911" s="7">
        <v>241260.4</v>
      </c>
      <c r="T911" s="7">
        <v>111567.81879999999</v>
      </c>
      <c r="U911" s="7">
        <v>10111.7598</v>
      </c>
      <c r="V911" s="7">
        <v>129692.5812</v>
      </c>
      <c r="W911" s="3">
        <v>46</v>
      </c>
    </row>
    <row r="912" spans="1:23" x14ac:dyDescent="0.35">
      <c r="A912" s="3" t="s">
        <v>492</v>
      </c>
      <c r="B912" s="3" t="s">
        <v>493</v>
      </c>
      <c r="C912" s="3" t="s">
        <v>249</v>
      </c>
      <c r="D912" s="3" t="s">
        <v>244</v>
      </c>
      <c r="E912" s="3" t="s">
        <v>187</v>
      </c>
      <c r="F912" s="3" t="s">
        <v>245</v>
      </c>
      <c r="G912" s="3" t="s">
        <v>246</v>
      </c>
      <c r="H912" s="3" t="s">
        <v>66</v>
      </c>
      <c r="I912" s="3" t="s">
        <v>67</v>
      </c>
      <c r="J912" s="3" t="s">
        <v>68</v>
      </c>
      <c r="K912" s="3" t="s">
        <v>33</v>
      </c>
      <c r="L912" s="3" t="s">
        <v>51</v>
      </c>
      <c r="M912" s="3" t="s">
        <v>250</v>
      </c>
      <c r="N912" s="3" t="s">
        <v>251</v>
      </c>
      <c r="O912" s="3" t="s">
        <v>197</v>
      </c>
      <c r="P912" s="3" t="s">
        <v>198</v>
      </c>
      <c r="Q912" s="3" t="s">
        <v>39</v>
      </c>
      <c r="R912" s="3" t="s">
        <v>40</v>
      </c>
      <c r="S912" s="7">
        <v>82757.8</v>
      </c>
      <c r="T912" s="7">
        <v>0</v>
      </c>
      <c r="U912" s="7">
        <v>0</v>
      </c>
      <c r="V912" s="7">
        <v>82757.8</v>
      </c>
      <c r="W912" s="3">
        <v>0</v>
      </c>
    </row>
    <row r="913" spans="1:23" x14ac:dyDescent="0.35">
      <c r="A913" s="3" t="s">
        <v>492</v>
      </c>
      <c r="B913" s="3" t="s">
        <v>493</v>
      </c>
      <c r="C913" s="3" t="s">
        <v>252</v>
      </c>
      <c r="D913" s="3" t="s">
        <v>244</v>
      </c>
      <c r="E913" s="3" t="s">
        <v>187</v>
      </c>
      <c r="F913" s="3" t="s">
        <v>245</v>
      </c>
      <c r="G913" s="3" t="s">
        <v>246</v>
      </c>
      <c r="H913" s="3" t="s">
        <v>66</v>
      </c>
      <c r="I913" s="3" t="s">
        <v>67</v>
      </c>
      <c r="J913" s="3" t="s">
        <v>68</v>
      </c>
      <c r="K913" s="3" t="s">
        <v>33</v>
      </c>
      <c r="L913" s="3" t="s">
        <v>51</v>
      </c>
      <c r="M913" s="3" t="s">
        <v>253</v>
      </c>
      <c r="N913" s="3" t="s">
        <v>254</v>
      </c>
      <c r="O913" s="3" t="s">
        <v>197</v>
      </c>
      <c r="P913" s="3" t="s">
        <v>198</v>
      </c>
      <c r="Q913" s="3" t="s">
        <v>39</v>
      </c>
      <c r="R913" s="3" t="s">
        <v>40</v>
      </c>
      <c r="S913" s="7">
        <v>1724.3</v>
      </c>
      <c r="T913" s="7">
        <v>185.48349999999999</v>
      </c>
      <c r="U913" s="7">
        <v>0</v>
      </c>
      <c r="V913" s="7">
        <v>1538.8164999999999</v>
      </c>
      <c r="W913" s="3">
        <v>11</v>
      </c>
    </row>
    <row r="914" spans="1:23" x14ac:dyDescent="0.35">
      <c r="A914" s="3" t="s">
        <v>492</v>
      </c>
      <c r="B914" s="3" t="s">
        <v>493</v>
      </c>
      <c r="C914" s="3" t="s">
        <v>255</v>
      </c>
      <c r="D914" s="3" t="s">
        <v>244</v>
      </c>
      <c r="E914" s="3" t="s">
        <v>187</v>
      </c>
      <c r="F914" s="3" t="s">
        <v>245</v>
      </c>
      <c r="G914" s="3" t="s">
        <v>246</v>
      </c>
      <c r="H914" s="3" t="s">
        <v>66</v>
      </c>
      <c r="I914" s="3" t="s">
        <v>67</v>
      </c>
      <c r="J914" s="3" t="s">
        <v>68</v>
      </c>
      <c r="K914" s="3" t="s">
        <v>33</v>
      </c>
      <c r="L914" s="3" t="s">
        <v>51</v>
      </c>
      <c r="M914" s="3" t="s">
        <v>256</v>
      </c>
      <c r="N914" s="3" t="s">
        <v>257</v>
      </c>
      <c r="O914" s="3" t="s">
        <v>197</v>
      </c>
      <c r="P914" s="3" t="s">
        <v>198</v>
      </c>
      <c r="Q914" s="3" t="s">
        <v>39</v>
      </c>
      <c r="R914" s="3" t="s">
        <v>40</v>
      </c>
      <c r="S914" s="7">
        <v>23957.3</v>
      </c>
      <c r="T914" s="7">
        <v>7931.4503000000004</v>
      </c>
      <c r="U914" s="7">
        <v>4240.8274000000001</v>
      </c>
      <c r="V914" s="7">
        <v>16025.849700000001</v>
      </c>
      <c r="W914" s="3">
        <v>33</v>
      </c>
    </row>
    <row r="915" spans="1:23" x14ac:dyDescent="0.35">
      <c r="A915" s="3" t="s">
        <v>492</v>
      </c>
      <c r="B915" s="3" t="s">
        <v>493</v>
      </c>
      <c r="C915" s="3" t="s">
        <v>258</v>
      </c>
      <c r="D915" s="3" t="s">
        <v>259</v>
      </c>
      <c r="E915" s="3" t="s">
        <v>187</v>
      </c>
      <c r="F915" s="3" t="s">
        <v>116</v>
      </c>
      <c r="G915" s="3" t="s">
        <v>260</v>
      </c>
      <c r="H915" s="3" t="s">
        <v>189</v>
      </c>
      <c r="I915" s="3" t="s">
        <v>190</v>
      </c>
      <c r="J915" s="3" t="s">
        <v>202</v>
      </c>
      <c r="K915" s="3" t="s">
        <v>23</v>
      </c>
      <c r="L915" s="3" t="s">
        <v>203</v>
      </c>
      <c r="M915" s="3" t="s">
        <v>261</v>
      </c>
      <c r="N915" s="3" t="s">
        <v>262</v>
      </c>
      <c r="O915" s="3" t="s">
        <v>197</v>
      </c>
      <c r="P915" s="3" t="s">
        <v>198</v>
      </c>
      <c r="Q915" s="3" t="s">
        <v>39</v>
      </c>
      <c r="R915" s="3" t="s">
        <v>40</v>
      </c>
      <c r="S915" s="7">
        <v>3437.3</v>
      </c>
      <c r="T915" s="7">
        <v>2291.2800000000002</v>
      </c>
      <c r="U915" s="7">
        <v>0</v>
      </c>
      <c r="V915" s="7">
        <v>1146.02</v>
      </c>
      <c r="W915" s="3">
        <v>67</v>
      </c>
    </row>
    <row r="916" spans="1:23" x14ac:dyDescent="0.35">
      <c r="A916" s="3" t="s">
        <v>492</v>
      </c>
      <c r="B916" s="3" t="s">
        <v>493</v>
      </c>
      <c r="C916" s="3" t="s">
        <v>263</v>
      </c>
      <c r="D916" s="3" t="s">
        <v>259</v>
      </c>
      <c r="E916" s="3" t="s">
        <v>187</v>
      </c>
      <c r="F916" s="3" t="s">
        <v>116</v>
      </c>
      <c r="G916" s="3" t="s">
        <v>260</v>
      </c>
      <c r="H916" s="3" t="s">
        <v>189</v>
      </c>
      <c r="I916" s="3" t="s">
        <v>190</v>
      </c>
      <c r="J916" s="3" t="s">
        <v>191</v>
      </c>
      <c r="K916" s="3" t="s">
        <v>33</v>
      </c>
      <c r="L916" s="3" t="s">
        <v>34</v>
      </c>
      <c r="M916" s="3" t="s">
        <v>264</v>
      </c>
      <c r="N916" s="3" t="s">
        <v>265</v>
      </c>
      <c r="O916" s="3" t="s">
        <v>197</v>
      </c>
      <c r="P916" s="3" t="s">
        <v>198</v>
      </c>
      <c r="Q916" s="3" t="s">
        <v>39</v>
      </c>
      <c r="R916" s="3" t="s">
        <v>40</v>
      </c>
      <c r="S916" s="7">
        <v>1718.3</v>
      </c>
      <c r="T916" s="7">
        <v>1718.3</v>
      </c>
      <c r="U916" s="7">
        <v>0</v>
      </c>
      <c r="V916" s="7">
        <v>0</v>
      </c>
      <c r="W916" s="3">
        <v>100</v>
      </c>
    </row>
    <row r="917" spans="1:23" x14ac:dyDescent="0.35">
      <c r="A917" s="3" t="s">
        <v>492</v>
      </c>
      <c r="B917" s="3" t="s">
        <v>493</v>
      </c>
      <c r="C917" s="3" t="s">
        <v>266</v>
      </c>
      <c r="D917" s="3" t="s">
        <v>259</v>
      </c>
      <c r="E917" s="3" t="s">
        <v>187</v>
      </c>
      <c r="F917" s="3" t="s">
        <v>116</v>
      </c>
      <c r="G917" s="3" t="s">
        <v>260</v>
      </c>
      <c r="H917" s="3" t="s">
        <v>189</v>
      </c>
      <c r="I917" s="3" t="s">
        <v>190</v>
      </c>
      <c r="J917" s="3" t="s">
        <v>191</v>
      </c>
      <c r="K917" s="3" t="s">
        <v>33</v>
      </c>
      <c r="L917" s="3" t="s">
        <v>34</v>
      </c>
      <c r="M917" s="3" t="s">
        <v>267</v>
      </c>
      <c r="N917" s="3" t="s">
        <v>268</v>
      </c>
      <c r="O917" s="3" t="s">
        <v>37</v>
      </c>
      <c r="P917" s="3" t="s">
        <v>38</v>
      </c>
      <c r="Q917" s="3" t="s">
        <v>39</v>
      </c>
      <c r="R917" s="3" t="s">
        <v>40</v>
      </c>
      <c r="S917" s="7">
        <v>94089.600000000006</v>
      </c>
      <c r="T917" s="7">
        <v>56173.453300000001</v>
      </c>
      <c r="U917" s="7">
        <v>17707.3573</v>
      </c>
      <c r="V917" s="7">
        <v>37916.146699999998</v>
      </c>
      <c r="W917" s="3">
        <v>60</v>
      </c>
    </row>
    <row r="918" spans="1:23" x14ac:dyDescent="0.35">
      <c r="A918" s="3" t="s">
        <v>492</v>
      </c>
      <c r="B918" s="3" t="s">
        <v>493</v>
      </c>
      <c r="C918" s="3" t="s">
        <v>269</v>
      </c>
      <c r="D918" s="3" t="s">
        <v>259</v>
      </c>
      <c r="E918" s="3" t="s">
        <v>187</v>
      </c>
      <c r="F918" s="3" t="s">
        <v>116</v>
      </c>
      <c r="G918" s="3" t="s">
        <v>260</v>
      </c>
      <c r="H918" s="3" t="s">
        <v>189</v>
      </c>
      <c r="I918" s="3" t="s">
        <v>190</v>
      </c>
      <c r="J918" s="3" t="s">
        <v>191</v>
      </c>
      <c r="K918" s="3" t="s">
        <v>33</v>
      </c>
      <c r="L918" s="3" t="s">
        <v>34</v>
      </c>
      <c r="M918" s="3" t="s">
        <v>267</v>
      </c>
      <c r="N918" s="3" t="s">
        <v>268</v>
      </c>
      <c r="O918" s="3" t="s">
        <v>197</v>
      </c>
      <c r="P918" s="3" t="s">
        <v>198</v>
      </c>
      <c r="Q918" s="3" t="s">
        <v>39</v>
      </c>
      <c r="R918" s="3" t="s">
        <v>40</v>
      </c>
      <c r="S918" s="7">
        <v>15777.7</v>
      </c>
      <c r="T918" s="7">
        <v>14746.672399999999</v>
      </c>
      <c r="U918" s="7">
        <v>443.22410000000002</v>
      </c>
      <c r="V918" s="7">
        <v>1031.0275999999999</v>
      </c>
      <c r="W918" s="3">
        <v>93</v>
      </c>
    </row>
    <row r="919" spans="1:23" x14ac:dyDescent="0.35">
      <c r="A919" s="3" t="s">
        <v>492</v>
      </c>
      <c r="B919" s="3" t="s">
        <v>493</v>
      </c>
      <c r="C919" s="3" t="s">
        <v>270</v>
      </c>
      <c r="D919" s="3" t="s">
        <v>259</v>
      </c>
      <c r="E919" s="3" t="s">
        <v>187</v>
      </c>
      <c r="F919" s="3" t="s">
        <v>116</v>
      </c>
      <c r="G919" s="3" t="s">
        <v>260</v>
      </c>
      <c r="H919" s="3" t="s">
        <v>189</v>
      </c>
      <c r="I919" s="3" t="s">
        <v>190</v>
      </c>
      <c r="J919" s="3" t="s">
        <v>191</v>
      </c>
      <c r="K919" s="3" t="s">
        <v>33</v>
      </c>
      <c r="L919" s="3" t="s">
        <v>34</v>
      </c>
      <c r="M919" s="3" t="s">
        <v>271</v>
      </c>
      <c r="N919" s="3" t="s">
        <v>272</v>
      </c>
      <c r="O919" s="3" t="s">
        <v>108</v>
      </c>
      <c r="P919" s="3" t="s">
        <v>109</v>
      </c>
      <c r="Q919" s="3" t="s">
        <v>39</v>
      </c>
      <c r="R919" s="3" t="s">
        <v>40</v>
      </c>
      <c r="S919" s="7">
        <v>46883.7</v>
      </c>
      <c r="T919" s="7">
        <v>35602.461300000003</v>
      </c>
      <c r="U919" s="7">
        <v>1154.1039000000001</v>
      </c>
      <c r="V919" s="7">
        <v>11281.2387</v>
      </c>
      <c r="W919" s="3">
        <v>76</v>
      </c>
    </row>
    <row r="920" spans="1:23" x14ac:dyDescent="0.35">
      <c r="A920" s="3" t="s">
        <v>492</v>
      </c>
      <c r="B920" s="3" t="s">
        <v>493</v>
      </c>
      <c r="C920" s="3" t="s">
        <v>273</v>
      </c>
      <c r="D920" s="3" t="s">
        <v>259</v>
      </c>
      <c r="E920" s="3" t="s">
        <v>187</v>
      </c>
      <c r="F920" s="3" t="s">
        <v>116</v>
      </c>
      <c r="G920" s="3" t="s">
        <v>260</v>
      </c>
      <c r="H920" s="3" t="s">
        <v>189</v>
      </c>
      <c r="I920" s="3" t="s">
        <v>190</v>
      </c>
      <c r="J920" s="3" t="s">
        <v>191</v>
      </c>
      <c r="K920" s="3" t="s">
        <v>33</v>
      </c>
      <c r="L920" s="3" t="s">
        <v>34</v>
      </c>
      <c r="M920" s="3" t="s">
        <v>274</v>
      </c>
      <c r="N920" s="3" t="s">
        <v>275</v>
      </c>
      <c r="O920" s="3" t="s">
        <v>108</v>
      </c>
      <c r="P920" s="3" t="s">
        <v>109</v>
      </c>
      <c r="Q920" s="3" t="s">
        <v>39</v>
      </c>
      <c r="R920" s="3" t="s">
        <v>40</v>
      </c>
      <c r="S920" s="7">
        <v>66303.8</v>
      </c>
      <c r="T920" s="7">
        <v>44863.764199999998</v>
      </c>
      <c r="U920" s="7">
        <v>2221.1466999999998</v>
      </c>
      <c r="V920" s="7">
        <v>21440.035800000001</v>
      </c>
      <c r="W920" s="3">
        <v>68</v>
      </c>
    </row>
    <row r="921" spans="1:23" x14ac:dyDescent="0.35">
      <c r="A921" s="3" t="s">
        <v>492</v>
      </c>
      <c r="B921" s="3" t="s">
        <v>493</v>
      </c>
      <c r="C921" s="3" t="s">
        <v>460</v>
      </c>
      <c r="D921" s="3" t="s">
        <v>259</v>
      </c>
      <c r="E921" s="3" t="s">
        <v>187</v>
      </c>
      <c r="F921" s="3" t="s">
        <v>116</v>
      </c>
      <c r="G921" s="3" t="s">
        <v>260</v>
      </c>
      <c r="H921" s="3" t="s">
        <v>189</v>
      </c>
      <c r="I921" s="3" t="s">
        <v>190</v>
      </c>
      <c r="J921" s="3" t="s">
        <v>191</v>
      </c>
      <c r="K921" s="3" t="s">
        <v>33</v>
      </c>
      <c r="L921" s="3" t="s">
        <v>34</v>
      </c>
      <c r="M921" s="3" t="s">
        <v>461</v>
      </c>
      <c r="N921" s="3" t="s">
        <v>462</v>
      </c>
      <c r="O921" s="3" t="s">
        <v>197</v>
      </c>
      <c r="P921" s="3" t="s">
        <v>198</v>
      </c>
      <c r="Q921" s="3" t="s">
        <v>39</v>
      </c>
      <c r="R921" s="3" t="s">
        <v>40</v>
      </c>
      <c r="S921" s="7">
        <v>21095.5</v>
      </c>
      <c r="T921" s="7">
        <v>15066.3375</v>
      </c>
      <c r="U921" s="7">
        <v>5291.1095999999998</v>
      </c>
      <c r="V921" s="7">
        <v>6029.1625000000004</v>
      </c>
      <c r="W921" s="3">
        <v>71</v>
      </c>
    </row>
    <row r="922" spans="1:23" x14ac:dyDescent="0.35">
      <c r="A922" s="3" t="s">
        <v>492</v>
      </c>
      <c r="B922" s="3" t="s">
        <v>493</v>
      </c>
      <c r="C922" s="3" t="s">
        <v>276</v>
      </c>
      <c r="D922" s="3" t="s">
        <v>259</v>
      </c>
      <c r="E922" s="3" t="s">
        <v>187</v>
      </c>
      <c r="F922" s="3" t="s">
        <v>116</v>
      </c>
      <c r="G922" s="3" t="s">
        <v>260</v>
      </c>
      <c r="H922" s="3" t="s">
        <v>189</v>
      </c>
      <c r="I922" s="3" t="s">
        <v>190</v>
      </c>
      <c r="J922" s="3" t="s">
        <v>191</v>
      </c>
      <c r="K922" s="3" t="s">
        <v>33</v>
      </c>
      <c r="L922" s="3" t="s">
        <v>34</v>
      </c>
      <c r="M922" s="3" t="s">
        <v>277</v>
      </c>
      <c r="N922" s="3" t="s">
        <v>278</v>
      </c>
      <c r="O922" s="3" t="s">
        <v>197</v>
      </c>
      <c r="P922" s="3" t="s">
        <v>198</v>
      </c>
      <c r="Q922" s="3" t="s">
        <v>39</v>
      </c>
      <c r="R922" s="3" t="s">
        <v>40</v>
      </c>
      <c r="S922" s="7">
        <v>5928.5</v>
      </c>
      <c r="T922" s="7">
        <v>1744.1856</v>
      </c>
      <c r="U922" s="7">
        <v>1399.2165</v>
      </c>
      <c r="V922" s="7">
        <v>4184.3144000000002</v>
      </c>
      <c r="W922" s="3">
        <v>29</v>
      </c>
    </row>
    <row r="923" spans="1:23" x14ac:dyDescent="0.35">
      <c r="A923" s="3" t="s">
        <v>492</v>
      </c>
      <c r="B923" s="3" t="s">
        <v>493</v>
      </c>
      <c r="C923" s="3" t="s">
        <v>279</v>
      </c>
      <c r="D923" s="3" t="s">
        <v>259</v>
      </c>
      <c r="E923" s="3" t="s">
        <v>187</v>
      </c>
      <c r="F923" s="3" t="s">
        <v>116</v>
      </c>
      <c r="G923" s="3" t="s">
        <v>260</v>
      </c>
      <c r="H923" s="3" t="s">
        <v>189</v>
      </c>
      <c r="I923" s="3" t="s">
        <v>190</v>
      </c>
      <c r="J923" s="3" t="s">
        <v>191</v>
      </c>
      <c r="K923" s="3" t="s">
        <v>33</v>
      </c>
      <c r="L923" s="3" t="s">
        <v>34</v>
      </c>
      <c r="M923" s="3" t="s">
        <v>280</v>
      </c>
      <c r="N923" s="3" t="s">
        <v>281</v>
      </c>
      <c r="O923" s="3" t="s">
        <v>197</v>
      </c>
      <c r="P923" s="3" t="s">
        <v>198</v>
      </c>
      <c r="Q923" s="3" t="s">
        <v>39</v>
      </c>
      <c r="R923" s="3" t="s">
        <v>40</v>
      </c>
      <c r="S923" s="7">
        <v>7523.1</v>
      </c>
      <c r="T923" s="7">
        <v>0</v>
      </c>
      <c r="U923" s="7">
        <v>0</v>
      </c>
      <c r="V923" s="7">
        <v>7523.1</v>
      </c>
      <c r="W923" s="3">
        <v>0</v>
      </c>
    </row>
    <row r="924" spans="1:23" x14ac:dyDescent="0.35">
      <c r="A924" s="3" t="s">
        <v>492</v>
      </c>
      <c r="B924" s="3" t="s">
        <v>493</v>
      </c>
      <c r="C924" s="3" t="s">
        <v>282</v>
      </c>
      <c r="D924" s="3" t="s">
        <v>259</v>
      </c>
      <c r="E924" s="3" t="s">
        <v>187</v>
      </c>
      <c r="F924" s="3" t="s">
        <v>116</v>
      </c>
      <c r="G924" s="3" t="s">
        <v>260</v>
      </c>
      <c r="H924" s="3" t="s">
        <v>66</v>
      </c>
      <c r="I924" s="3" t="s">
        <v>67</v>
      </c>
      <c r="J924" s="3" t="s">
        <v>68</v>
      </c>
      <c r="K924" s="3" t="s">
        <v>33</v>
      </c>
      <c r="L924" s="3" t="s">
        <v>51</v>
      </c>
      <c r="M924" s="3" t="s">
        <v>283</v>
      </c>
      <c r="N924" s="3" t="s">
        <v>284</v>
      </c>
      <c r="O924" s="3" t="s">
        <v>197</v>
      </c>
      <c r="P924" s="3" t="s">
        <v>198</v>
      </c>
      <c r="Q924" s="3" t="s">
        <v>39</v>
      </c>
      <c r="R924" s="3" t="s">
        <v>40</v>
      </c>
      <c r="S924" s="7">
        <v>500</v>
      </c>
      <c r="T924" s="7">
        <v>48</v>
      </c>
      <c r="U924" s="7">
        <v>0</v>
      </c>
      <c r="V924" s="7">
        <v>452</v>
      </c>
      <c r="W924" s="3">
        <v>10</v>
      </c>
    </row>
    <row r="925" spans="1:23" x14ac:dyDescent="0.35">
      <c r="A925" s="3" t="s">
        <v>492</v>
      </c>
      <c r="B925" s="3" t="s">
        <v>493</v>
      </c>
      <c r="C925" s="3" t="s">
        <v>494</v>
      </c>
      <c r="D925" s="3" t="s">
        <v>259</v>
      </c>
      <c r="E925" s="3" t="s">
        <v>187</v>
      </c>
      <c r="F925" s="3" t="s">
        <v>116</v>
      </c>
      <c r="G925" s="3" t="s">
        <v>260</v>
      </c>
      <c r="H925" s="3" t="s">
        <v>30</v>
      </c>
      <c r="I925" s="3" t="s">
        <v>31</v>
      </c>
      <c r="J925" s="3" t="s">
        <v>32</v>
      </c>
      <c r="K925" s="3" t="s">
        <v>33</v>
      </c>
      <c r="L925" s="3" t="s">
        <v>34</v>
      </c>
      <c r="M925" s="3" t="s">
        <v>286</v>
      </c>
      <c r="N925" s="3" t="s">
        <v>287</v>
      </c>
      <c r="O925" s="3" t="s">
        <v>197</v>
      </c>
      <c r="P925" s="3" t="s">
        <v>198</v>
      </c>
      <c r="Q925" s="3" t="s">
        <v>39</v>
      </c>
      <c r="R925" s="3" t="s">
        <v>40</v>
      </c>
      <c r="S925" s="7">
        <v>967.8</v>
      </c>
      <c r="T925" s="7">
        <v>0</v>
      </c>
      <c r="U925" s="7">
        <v>0</v>
      </c>
      <c r="V925" s="7">
        <v>967.8</v>
      </c>
      <c r="W925" s="3">
        <v>0</v>
      </c>
    </row>
    <row r="926" spans="1:23" hidden="1" x14ac:dyDescent="0.35">
      <c r="A926" t="s">
        <v>492</v>
      </c>
      <c r="B926" t="s">
        <v>493</v>
      </c>
      <c r="C926" t="s">
        <v>289</v>
      </c>
      <c r="D926" t="s">
        <v>290</v>
      </c>
      <c r="E926" t="s">
        <v>291</v>
      </c>
      <c r="F926" t="s">
        <v>146</v>
      </c>
      <c r="G926" t="s">
        <v>292</v>
      </c>
      <c r="H926" t="s">
        <v>293</v>
      </c>
      <c r="I926" t="s">
        <v>294</v>
      </c>
      <c r="J926" t="s">
        <v>295</v>
      </c>
      <c r="K926" t="s">
        <v>33</v>
      </c>
      <c r="L926" t="s">
        <v>51</v>
      </c>
      <c r="M926" t="s">
        <v>296</v>
      </c>
      <c r="N926" t="s">
        <v>297</v>
      </c>
      <c r="O926" t="s">
        <v>108</v>
      </c>
      <c r="P926" t="s">
        <v>109</v>
      </c>
      <c r="Q926" t="s">
        <v>39</v>
      </c>
      <c r="R926" t="s">
        <v>40</v>
      </c>
      <c r="S926" s="1">
        <v>263750</v>
      </c>
      <c r="T926" s="1">
        <v>176266.5913</v>
      </c>
      <c r="U926" s="1">
        <v>17971.8174</v>
      </c>
      <c r="V926" s="1">
        <v>87483.4087</v>
      </c>
      <c r="W926">
        <v>67</v>
      </c>
    </row>
    <row r="927" spans="1:23" hidden="1" x14ac:dyDescent="0.35">
      <c r="A927" t="s">
        <v>492</v>
      </c>
      <c r="B927" t="s">
        <v>493</v>
      </c>
      <c r="C927" t="s">
        <v>298</v>
      </c>
      <c r="D927" t="s">
        <v>290</v>
      </c>
      <c r="E927" t="s">
        <v>291</v>
      </c>
      <c r="F927" t="s">
        <v>146</v>
      </c>
      <c r="G927" t="s">
        <v>292</v>
      </c>
      <c r="H927" t="s">
        <v>293</v>
      </c>
      <c r="I927" t="s">
        <v>294</v>
      </c>
      <c r="J927" t="s">
        <v>295</v>
      </c>
      <c r="K927" t="s">
        <v>33</v>
      </c>
      <c r="L927" t="s">
        <v>51</v>
      </c>
      <c r="M927" t="s">
        <v>299</v>
      </c>
      <c r="N927" t="s">
        <v>300</v>
      </c>
      <c r="O927" t="s">
        <v>108</v>
      </c>
      <c r="P927" t="s">
        <v>109</v>
      </c>
      <c r="Q927" t="s">
        <v>39</v>
      </c>
      <c r="R927" t="s">
        <v>40</v>
      </c>
      <c r="S927" s="1">
        <v>93678.1</v>
      </c>
      <c r="T927" s="1">
        <v>60834.836199999998</v>
      </c>
      <c r="U927" s="1">
        <v>7127.3995999999997</v>
      </c>
      <c r="V927" s="1">
        <v>32843.263800000001</v>
      </c>
      <c r="W927">
        <v>65</v>
      </c>
    </row>
    <row r="928" spans="1:23" hidden="1" x14ac:dyDescent="0.35">
      <c r="A928" t="s">
        <v>492</v>
      </c>
      <c r="B928" t="s">
        <v>493</v>
      </c>
      <c r="C928" t="s">
        <v>301</v>
      </c>
      <c r="D928" t="s">
        <v>290</v>
      </c>
      <c r="E928" t="s">
        <v>291</v>
      </c>
      <c r="F928" t="s">
        <v>146</v>
      </c>
      <c r="G928" t="s">
        <v>292</v>
      </c>
      <c r="H928" t="s">
        <v>293</v>
      </c>
      <c r="I928" t="s">
        <v>294</v>
      </c>
      <c r="J928" t="s">
        <v>295</v>
      </c>
      <c r="K928" t="s">
        <v>33</v>
      </c>
      <c r="L928" t="s">
        <v>51</v>
      </c>
      <c r="M928" t="s">
        <v>302</v>
      </c>
      <c r="N928" t="s">
        <v>303</v>
      </c>
      <c r="O928" t="s">
        <v>108</v>
      </c>
      <c r="P928" t="s">
        <v>109</v>
      </c>
      <c r="Q928" t="s">
        <v>39</v>
      </c>
      <c r="R928" t="s">
        <v>40</v>
      </c>
      <c r="S928" s="1">
        <v>207715.20000000001</v>
      </c>
      <c r="T928" s="1">
        <v>139681.7176</v>
      </c>
      <c r="U928" s="1">
        <v>8634.7968000000001</v>
      </c>
      <c r="V928" s="1">
        <v>68033.482399999994</v>
      </c>
      <c r="W928">
        <v>67</v>
      </c>
    </row>
    <row r="929" spans="1:23" hidden="1" x14ac:dyDescent="0.35">
      <c r="A929" t="s">
        <v>492</v>
      </c>
      <c r="B929" t="s">
        <v>493</v>
      </c>
      <c r="C929" t="s">
        <v>304</v>
      </c>
      <c r="D929" t="s">
        <v>290</v>
      </c>
      <c r="E929" t="s">
        <v>291</v>
      </c>
      <c r="F929" t="s">
        <v>146</v>
      </c>
      <c r="G929" t="s">
        <v>292</v>
      </c>
      <c r="H929" t="s">
        <v>293</v>
      </c>
      <c r="I929" t="s">
        <v>294</v>
      </c>
      <c r="J929" t="s">
        <v>295</v>
      </c>
      <c r="K929" t="s">
        <v>33</v>
      </c>
      <c r="L929" t="s">
        <v>51</v>
      </c>
      <c r="M929" t="s">
        <v>305</v>
      </c>
      <c r="N929" t="s">
        <v>306</v>
      </c>
      <c r="O929" t="s">
        <v>108</v>
      </c>
      <c r="P929" t="s">
        <v>109</v>
      </c>
      <c r="Q929" t="s">
        <v>39</v>
      </c>
      <c r="R929" t="s">
        <v>40</v>
      </c>
      <c r="S929" s="1">
        <v>87050.7</v>
      </c>
      <c r="T929" s="1">
        <v>56179.447699999997</v>
      </c>
      <c r="U929" s="1">
        <v>6492.8905999999997</v>
      </c>
      <c r="V929" s="1">
        <v>30871.2523</v>
      </c>
      <c r="W929">
        <v>65</v>
      </c>
    </row>
    <row r="930" spans="1:23" hidden="1" x14ac:dyDescent="0.35">
      <c r="A930" t="s">
        <v>492</v>
      </c>
      <c r="B930" t="s">
        <v>493</v>
      </c>
      <c r="C930" t="s">
        <v>307</v>
      </c>
      <c r="D930" t="s">
        <v>290</v>
      </c>
      <c r="E930" t="s">
        <v>291</v>
      </c>
      <c r="F930" t="s">
        <v>146</v>
      </c>
      <c r="G930" t="s">
        <v>292</v>
      </c>
      <c r="H930" t="s">
        <v>293</v>
      </c>
      <c r="I930" t="s">
        <v>294</v>
      </c>
      <c r="J930" t="s">
        <v>295</v>
      </c>
      <c r="K930" t="s">
        <v>33</v>
      </c>
      <c r="L930" t="s">
        <v>51</v>
      </c>
      <c r="M930" t="s">
        <v>308</v>
      </c>
      <c r="N930" t="s">
        <v>309</v>
      </c>
      <c r="O930" t="s">
        <v>37</v>
      </c>
      <c r="P930" t="s">
        <v>38</v>
      </c>
      <c r="Q930" t="s">
        <v>39</v>
      </c>
      <c r="R930" t="s">
        <v>40</v>
      </c>
      <c r="S930" s="1">
        <v>9529.5</v>
      </c>
      <c r="T930" s="1">
        <v>5213.2</v>
      </c>
      <c r="U930" s="1">
        <v>0</v>
      </c>
      <c r="V930" s="1">
        <v>4316.3</v>
      </c>
      <c r="W930">
        <v>55</v>
      </c>
    </row>
    <row r="931" spans="1:23" hidden="1" x14ac:dyDescent="0.35">
      <c r="A931" t="s">
        <v>492</v>
      </c>
      <c r="B931" t="s">
        <v>493</v>
      </c>
      <c r="C931" t="s">
        <v>436</v>
      </c>
      <c r="D931" t="s">
        <v>290</v>
      </c>
      <c r="E931" t="s">
        <v>291</v>
      </c>
      <c r="F931" t="s">
        <v>146</v>
      </c>
      <c r="G931" t="s">
        <v>292</v>
      </c>
      <c r="H931" t="s">
        <v>293</v>
      </c>
      <c r="I931" t="s">
        <v>294</v>
      </c>
      <c r="J931" t="s">
        <v>295</v>
      </c>
      <c r="K931" t="s">
        <v>33</v>
      </c>
      <c r="L931" t="s">
        <v>51</v>
      </c>
      <c r="M931" t="s">
        <v>308</v>
      </c>
      <c r="N931" t="s">
        <v>309</v>
      </c>
      <c r="O931" t="s">
        <v>197</v>
      </c>
      <c r="P931" t="s">
        <v>198</v>
      </c>
      <c r="Q931" t="s">
        <v>39</v>
      </c>
      <c r="R931" t="s">
        <v>40</v>
      </c>
      <c r="S931" s="1">
        <v>2252</v>
      </c>
      <c r="T931" s="1">
        <v>899.84810000000004</v>
      </c>
      <c r="U931" s="1">
        <v>503.32650000000001</v>
      </c>
      <c r="V931" s="1">
        <v>1352.1519000000001</v>
      </c>
      <c r="W931">
        <v>40</v>
      </c>
    </row>
    <row r="932" spans="1:23" hidden="1" x14ac:dyDescent="0.35">
      <c r="A932" t="s">
        <v>492</v>
      </c>
      <c r="B932" t="s">
        <v>493</v>
      </c>
      <c r="C932" t="s">
        <v>310</v>
      </c>
      <c r="D932" t="s">
        <v>290</v>
      </c>
      <c r="E932" t="s">
        <v>291</v>
      </c>
      <c r="F932" t="s">
        <v>146</v>
      </c>
      <c r="G932" t="s">
        <v>292</v>
      </c>
      <c r="H932" t="s">
        <v>293</v>
      </c>
      <c r="I932" t="s">
        <v>294</v>
      </c>
      <c r="J932" t="s">
        <v>295</v>
      </c>
      <c r="K932" t="s">
        <v>33</v>
      </c>
      <c r="L932" t="s">
        <v>51</v>
      </c>
      <c r="M932" t="s">
        <v>311</v>
      </c>
      <c r="N932" t="s">
        <v>312</v>
      </c>
      <c r="O932" t="s">
        <v>197</v>
      </c>
      <c r="P932" t="s">
        <v>198</v>
      </c>
      <c r="Q932" t="s">
        <v>39</v>
      </c>
      <c r="R932" t="s">
        <v>40</v>
      </c>
      <c r="S932" s="1">
        <v>10264.799999999999</v>
      </c>
      <c r="T932" s="1">
        <v>0</v>
      </c>
      <c r="U932" s="1">
        <v>0</v>
      </c>
      <c r="V932" s="1">
        <v>10264.799999999999</v>
      </c>
      <c r="W932">
        <v>0</v>
      </c>
    </row>
    <row r="933" spans="1:23" hidden="1" x14ac:dyDescent="0.35">
      <c r="A933" t="s">
        <v>492</v>
      </c>
      <c r="B933" t="s">
        <v>493</v>
      </c>
      <c r="C933" t="s">
        <v>313</v>
      </c>
      <c r="D933" t="s">
        <v>290</v>
      </c>
      <c r="E933" t="s">
        <v>291</v>
      </c>
      <c r="F933" t="s">
        <v>146</v>
      </c>
      <c r="G933" t="s">
        <v>292</v>
      </c>
      <c r="H933" t="s">
        <v>293</v>
      </c>
      <c r="I933" t="s">
        <v>294</v>
      </c>
      <c r="J933" t="s">
        <v>295</v>
      </c>
      <c r="K933" t="s">
        <v>33</v>
      </c>
      <c r="L933" t="s">
        <v>51</v>
      </c>
      <c r="M933" t="s">
        <v>314</v>
      </c>
      <c r="N933" t="s">
        <v>315</v>
      </c>
      <c r="O933" t="s">
        <v>197</v>
      </c>
      <c r="P933" t="s">
        <v>198</v>
      </c>
      <c r="Q933" t="s">
        <v>39</v>
      </c>
      <c r="R933" t="s">
        <v>40</v>
      </c>
      <c r="S933" s="1">
        <v>128.69999999999999</v>
      </c>
      <c r="T933" s="1">
        <v>128.69999999999999</v>
      </c>
      <c r="U933" s="1">
        <v>0</v>
      </c>
      <c r="V933" s="1">
        <v>0</v>
      </c>
      <c r="W933">
        <v>100</v>
      </c>
    </row>
    <row r="934" spans="1:23" hidden="1" x14ac:dyDescent="0.35">
      <c r="A934" t="s">
        <v>492</v>
      </c>
      <c r="B934" t="s">
        <v>493</v>
      </c>
      <c r="C934" t="s">
        <v>316</v>
      </c>
      <c r="D934" t="s">
        <v>317</v>
      </c>
      <c r="E934" t="s">
        <v>291</v>
      </c>
      <c r="F934" t="s">
        <v>318</v>
      </c>
      <c r="G934" t="s">
        <v>319</v>
      </c>
      <c r="H934" t="s">
        <v>293</v>
      </c>
      <c r="I934" t="s">
        <v>294</v>
      </c>
      <c r="J934" t="s">
        <v>295</v>
      </c>
      <c r="K934" t="s">
        <v>33</v>
      </c>
      <c r="L934" t="s">
        <v>51</v>
      </c>
      <c r="M934" t="s">
        <v>320</v>
      </c>
      <c r="N934" t="s">
        <v>321</v>
      </c>
      <c r="O934" t="s">
        <v>37</v>
      </c>
      <c r="P934" t="s">
        <v>38</v>
      </c>
      <c r="Q934" t="s">
        <v>39</v>
      </c>
      <c r="R934" t="s">
        <v>40</v>
      </c>
      <c r="S934" s="1">
        <v>16495.3</v>
      </c>
      <c r="T934" s="1">
        <v>0</v>
      </c>
      <c r="U934" s="1">
        <v>0</v>
      </c>
      <c r="V934" s="1">
        <v>16495.3</v>
      </c>
      <c r="W934">
        <v>0</v>
      </c>
    </row>
    <row r="935" spans="1:23" hidden="1" x14ac:dyDescent="0.35">
      <c r="A935" t="s">
        <v>492</v>
      </c>
      <c r="B935" t="s">
        <v>493</v>
      </c>
      <c r="C935" t="s">
        <v>322</v>
      </c>
      <c r="D935" t="s">
        <v>317</v>
      </c>
      <c r="E935" t="s">
        <v>291</v>
      </c>
      <c r="F935" t="s">
        <v>318</v>
      </c>
      <c r="G935" t="s">
        <v>319</v>
      </c>
      <c r="H935" t="s">
        <v>293</v>
      </c>
      <c r="I935" t="s">
        <v>294</v>
      </c>
      <c r="J935" t="s">
        <v>295</v>
      </c>
      <c r="K935" t="s">
        <v>33</v>
      </c>
      <c r="L935" t="s">
        <v>51</v>
      </c>
      <c r="M935" t="s">
        <v>323</v>
      </c>
      <c r="N935" t="s">
        <v>324</v>
      </c>
      <c r="O935" t="s">
        <v>197</v>
      </c>
      <c r="P935" t="s">
        <v>198</v>
      </c>
      <c r="Q935" t="s">
        <v>39</v>
      </c>
      <c r="R935" t="s">
        <v>40</v>
      </c>
      <c r="S935" s="1">
        <v>8766.7000000000007</v>
      </c>
      <c r="T935" s="1">
        <v>0</v>
      </c>
      <c r="U935" s="1">
        <v>0</v>
      </c>
      <c r="V935" s="1">
        <v>8766.7000000000007</v>
      </c>
      <c r="W935">
        <v>0</v>
      </c>
    </row>
    <row r="936" spans="1:23" hidden="1" x14ac:dyDescent="0.35">
      <c r="A936" t="s">
        <v>492</v>
      </c>
      <c r="B936" t="s">
        <v>493</v>
      </c>
      <c r="C936" t="s">
        <v>325</v>
      </c>
      <c r="D936" t="s">
        <v>326</v>
      </c>
      <c r="E936" t="s">
        <v>327</v>
      </c>
      <c r="F936" t="s">
        <v>189</v>
      </c>
      <c r="G936" t="s">
        <v>328</v>
      </c>
      <c r="H936" t="s">
        <v>146</v>
      </c>
      <c r="I936" t="s">
        <v>329</v>
      </c>
      <c r="J936" t="s">
        <v>330</v>
      </c>
      <c r="K936" t="s">
        <v>33</v>
      </c>
      <c r="L936" t="s">
        <v>34</v>
      </c>
      <c r="M936" t="s">
        <v>331</v>
      </c>
      <c r="N936" t="s">
        <v>332</v>
      </c>
      <c r="O936" t="s">
        <v>108</v>
      </c>
      <c r="P936" t="s">
        <v>109</v>
      </c>
      <c r="Q936" t="s">
        <v>39</v>
      </c>
      <c r="R936" t="s">
        <v>40</v>
      </c>
      <c r="S936" s="1">
        <v>662520.5</v>
      </c>
      <c r="T936" s="1">
        <v>418299.41009999998</v>
      </c>
      <c r="U936" s="1">
        <v>31303.581600000001</v>
      </c>
      <c r="V936" s="1">
        <v>244221.08989999999</v>
      </c>
      <c r="W936">
        <v>63</v>
      </c>
    </row>
    <row r="937" spans="1:23" hidden="1" x14ac:dyDescent="0.35">
      <c r="A937" t="s">
        <v>492</v>
      </c>
      <c r="B937" t="s">
        <v>493</v>
      </c>
      <c r="C937" t="s">
        <v>333</v>
      </c>
      <c r="D937" t="s">
        <v>326</v>
      </c>
      <c r="E937" t="s">
        <v>327</v>
      </c>
      <c r="F937" t="s">
        <v>189</v>
      </c>
      <c r="G937" t="s">
        <v>328</v>
      </c>
      <c r="H937" t="s">
        <v>146</v>
      </c>
      <c r="I937" t="s">
        <v>329</v>
      </c>
      <c r="J937" t="s">
        <v>330</v>
      </c>
      <c r="K937" t="s">
        <v>33</v>
      </c>
      <c r="L937" t="s">
        <v>34</v>
      </c>
      <c r="M937" t="s">
        <v>331</v>
      </c>
      <c r="N937" t="s">
        <v>332</v>
      </c>
      <c r="O937" t="s">
        <v>334</v>
      </c>
      <c r="P937" t="s">
        <v>335</v>
      </c>
      <c r="Q937" t="s">
        <v>39</v>
      </c>
      <c r="R937" t="s">
        <v>40</v>
      </c>
      <c r="S937" s="1">
        <v>5379.7</v>
      </c>
      <c r="T937" s="1">
        <v>2319.3507</v>
      </c>
      <c r="U937" s="1">
        <v>259.88729999999998</v>
      </c>
      <c r="V937" s="1">
        <v>3060.3492999999999</v>
      </c>
      <c r="W937">
        <v>43</v>
      </c>
    </row>
    <row r="938" spans="1:23" hidden="1" x14ac:dyDescent="0.35">
      <c r="A938" t="s">
        <v>492</v>
      </c>
      <c r="B938" t="s">
        <v>493</v>
      </c>
      <c r="C938" t="s">
        <v>336</v>
      </c>
      <c r="D938" t="s">
        <v>337</v>
      </c>
      <c r="E938" t="s">
        <v>327</v>
      </c>
      <c r="F938" t="s">
        <v>116</v>
      </c>
      <c r="G938" t="s">
        <v>338</v>
      </c>
      <c r="H938" t="s">
        <v>146</v>
      </c>
      <c r="I938" t="s">
        <v>329</v>
      </c>
      <c r="J938" t="s">
        <v>339</v>
      </c>
      <c r="K938" t="s">
        <v>23</v>
      </c>
      <c r="L938" t="s">
        <v>203</v>
      </c>
      <c r="M938" t="s">
        <v>340</v>
      </c>
      <c r="N938" t="s">
        <v>341</v>
      </c>
      <c r="O938" t="s">
        <v>197</v>
      </c>
      <c r="P938" t="s">
        <v>198</v>
      </c>
      <c r="Q938" t="s">
        <v>39</v>
      </c>
      <c r="R938" t="s">
        <v>40</v>
      </c>
      <c r="S938" s="1">
        <v>104471.3</v>
      </c>
      <c r="T938" s="1">
        <v>88428.677200000006</v>
      </c>
      <c r="U938" s="1">
        <v>0</v>
      </c>
      <c r="V938" s="1">
        <v>16042.622799999999</v>
      </c>
      <c r="W938">
        <v>85</v>
      </c>
    </row>
    <row r="939" spans="1:23" hidden="1" x14ac:dyDescent="0.35">
      <c r="A939" t="s">
        <v>492</v>
      </c>
      <c r="B939" t="s">
        <v>493</v>
      </c>
      <c r="C939" t="s">
        <v>452</v>
      </c>
      <c r="D939" t="s">
        <v>337</v>
      </c>
      <c r="E939" t="s">
        <v>327</v>
      </c>
      <c r="F939" t="s">
        <v>116</v>
      </c>
      <c r="G939" t="s">
        <v>338</v>
      </c>
      <c r="H939" t="s">
        <v>146</v>
      </c>
      <c r="I939" t="s">
        <v>329</v>
      </c>
      <c r="J939" t="s">
        <v>339</v>
      </c>
      <c r="K939" t="s">
        <v>23</v>
      </c>
      <c r="L939" t="s">
        <v>203</v>
      </c>
      <c r="M939" t="s">
        <v>453</v>
      </c>
      <c r="N939" t="s">
        <v>454</v>
      </c>
      <c r="O939" t="s">
        <v>197</v>
      </c>
      <c r="P939" t="s">
        <v>198</v>
      </c>
      <c r="Q939" t="s">
        <v>39</v>
      </c>
      <c r="R939" t="s">
        <v>40</v>
      </c>
      <c r="S939" s="1">
        <v>12819.6</v>
      </c>
      <c r="T939" s="1">
        <v>12819.572</v>
      </c>
      <c r="U939" s="1">
        <v>0</v>
      </c>
      <c r="V939" s="1">
        <v>2.8000000000000001E-2</v>
      </c>
      <c r="W939">
        <v>100</v>
      </c>
    </row>
    <row r="940" spans="1:23" hidden="1" x14ac:dyDescent="0.35">
      <c r="A940" t="s">
        <v>492</v>
      </c>
      <c r="B940" t="s">
        <v>493</v>
      </c>
      <c r="C940" t="s">
        <v>437</v>
      </c>
      <c r="D940" t="s">
        <v>337</v>
      </c>
      <c r="E940" t="s">
        <v>327</v>
      </c>
      <c r="F940" t="s">
        <v>116</v>
      </c>
      <c r="G940" t="s">
        <v>338</v>
      </c>
      <c r="H940" t="s">
        <v>146</v>
      </c>
      <c r="I940" t="s">
        <v>329</v>
      </c>
      <c r="J940" t="s">
        <v>330</v>
      </c>
      <c r="K940" t="s">
        <v>33</v>
      </c>
      <c r="L940" t="s">
        <v>34</v>
      </c>
      <c r="M940" t="s">
        <v>438</v>
      </c>
      <c r="N940" t="s">
        <v>439</v>
      </c>
      <c r="O940" t="s">
        <v>197</v>
      </c>
      <c r="P940" t="s">
        <v>198</v>
      </c>
      <c r="Q940" t="s">
        <v>39</v>
      </c>
      <c r="R940" t="s">
        <v>40</v>
      </c>
      <c r="S940" s="1">
        <v>34518.6</v>
      </c>
      <c r="T940" s="1">
        <v>18062.7641</v>
      </c>
      <c r="U940" s="1">
        <v>5294.6882999999998</v>
      </c>
      <c r="V940" s="1">
        <v>16455.835899999998</v>
      </c>
      <c r="W940">
        <v>52</v>
      </c>
    </row>
    <row r="941" spans="1:23" hidden="1" x14ac:dyDescent="0.35">
      <c r="A941" t="s">
        <v>492</v>
      </c>
      <c r="B941" t="s">
        <v>493</v>
      </c>
      <c r="C941" t="s">
        <v>342</v>
      </c>
      <c r="D941" t="s">
        <v>337</v>
      </c>
      <c r="E941" t="s">
        <v>327</v>
      </c>
      <c r="F941" t="s">
        <v>116</v>
      </c>
      <c r="G941" t="s">
        <v>338</v>
      </c>
      <c r="H941" t="s">
        <v>146</v>
      </c>
      <c r="I941" t="s">
        <v>329</v>
      </c>
      <c r="J941" t="s">
        <v>330</v>
      </c>
      <c r="K941" t="s">
        <v>33</v>
      </c>
      <c r="L941" t="s">
        <v>34</v>
      </c>
      <c r="M941" t="s">
        <v>343</v>
      </c>
      <c r="N941" t="s">
        <v>344</v>
      </c>
      <c r="O941" t="s">
        <v>37</v>
      </c>
      <c r="P941" t="s">
        <v>38</v>
      </c>
      <c r="Q941" t="s">
        <v>39</v>
      </c>
      <c r="R941" t="s">
        <v>40</v>
      </c>
      <c r="S941" s="1">
        <v>48.2</v>
      </c>
      <c r="T941" s="1">
        <v>0</v>
      </c>
      <c r="U941" s="1">
        <v>0</v>
      </c>
      <c r="V941" s="1">
        <v>48.2</v>
      </c>
      <c r="W941">
        <v>0</v>
      </c>
    </row>
    <row r="942" spans="1:23" hidden="1" x14ac:dyDescent="0.35">
      <c r="A942" t="s">
        <v>492</v>
      </c>
      <c r="B942" t="s">
        <v>493</v>
      </c>
      <c r="C942" t="s">
        <v>345</v>
      </c>
      <c r="D942" t="s">
        <v>337</v>
      </c>
      <c r="E942" t="s">
        <v>327</v>
      </c>
      <c r="F942" t="s">
        <v>116</v>
      </c>
      <c r="G942" t="s">
        <v>338</v>
      </c>
      <c r="H942" t="s">
        <v>146</v>
      </c>
      <c r="I942" t="s">
        <v>329</v>
      </c>
      <c r="J942" t="s">
        <v>330</v>
      </c>
      <c r="K942" t="s">
        <v>33</v>
      </c>
      <c r="L942" t="s">
        <v>34</v>
      </c>
      <c r="M942" t="s">
        <v>346</v>
      </c>
      <c r="N942" t="s">
        <v>347</v>
      </c>
      <c r="O942" t="s">
        <v>197</v>
      </c>
      <c r="P942" t="s">
        <v>198</v>
      </c>
      <c r="Q942" t="s">
        <v>39</v>
      </c>
      <c r="R942" t="s">
        <v>40</v>
      </c>
      <c r="S942" s="1">
        <v>223871.4</v>
      </c>
      <c r="T942" s="1">
        <v>88595.497700000007</v>
      </c>
      <c r="U942" s="1">
        <v>12355.0941</v>
      </c>
      <c r="V942" s="1">
        <v>135275.90229999999</v>
      </c>
      <c r="W942">
        <v>40</v>
      </c>
    </row>
    <row r="943" spans="1:23" hidden="1" x14ac:dyDescent="0.35">
      <c r="A943" t="s">
        <v>492</v>
      </c>
      <c r="B943" t="s">
        <v>493</v>
      </c>
      <c r="C943" t="s">
        <v>489</v>
      </c>
      <c r="D943" t="s">
        <v>337</v>
      </c>
      <c r="E943" t="s">
        <v>327</v>
      </c>
      <c r="F943" t="s">
        <v>116</v>
      </c>
      <c r="G943" t="s">
        <v>338</v>
      </c>
      <c r="H943" t="s">
        <v>146</v>
      </c>
      <c r="I943" t="s">
        <v>329</v>
      </c>
      <c r="J943" t="s">
        <v>330</v>
      </c>
      <c r="K943" t="s">
        <v>33</v>
      </c>
      <c r="L943" t="s">
        <v>34</v>
      </c>
      <c r="M943" t="s">
        <v>490</v>
      </c>
      <c r="N943" t="s">
        <v>491</v>
      </c>
      <c r="O943" t="s">
        <v>197</v>
      </c>
      <c r="P943" t="s">
        <v>198</v>
      </c>
      <c r="Q943" t="s">
        <v>39</v>
      </c>
      <c r="R943" t="s">
        <v>40</v>
      </c>
      <c r="S943" s="1">
        <v>15000</v>
      </c>
      <c r="T943" s="1">
        <v>0</v>
      </c>
      <c r="U943" s="1">
        <v>0</v>
      </c>
      <c r="V943" s="1">
        <v>15000</v>
      </c>
      <c r="W943">
        <v>0</v>
      </c>
    </row>
    <row r="944" spans="1:23" hidden="1" x14ac:dyDescent="0.35">
      <c r="A944" t="s">
        <v>492</v>
      </c>
      <c r="B944" t="s">
        <v>493</v>
      </c>
      <c r="C944" t="s">
        <v>348</v>
      </c>
      <c r="D944" t="s">
        <v>337</v>
      </c>
      <c r="E944" t="s">
        <v>327</v>
      </c>
      <c r="F944" t="s">
        <v>116</v>
      </c>
      <c r="G944" t="s">
        <v>338</v>
      </c>
      <c r="H944" t="s">
        <v>146</v>
      </c>
      <c r="I944" t="s">
        <v>329</v>
      </c>
      <c r="J944" t="s">
        <v>330</v>
      </c>
      <c r="K944" t="s">
        <v>33</v>
      </c>
      <c r="L944" t="s">
        <v>34</v>
      </c>
      <c r="M944" t="s">
        <v>349</v>
      </c>
      <c r="N944" t="s">
        <v>350</v>
      </c>
      <c r="O944" t="s">
        <v>197</v>
      </c>
      <c r="P944" t="s">
        <v>198</v>
      </c>
      <c r="Q944" t="s">
        <v>39</v>
      </c>
      <c r="R944" t="s">
        <v>40</v>
      </c>
      <c r="S944" s="1">
        <v>29779.9</v>
      </c>
      <c r="T944" s="1">
        <v>0</v>
      </c>
      <c r="U944" s="1">
        <v>0</v>
      </c>
      <c r="V944" s="1">
        <v>29779.9</v>
      </c>
      <c r="W944">
        <v>0</v>
      </c>
    </row>
    <row r="945" spans="1:23" hidden="1" x14ac:dyDescent="0.35">
      <c r="A945" t="s">
        <v>492</v>
      </c>
      <c r="B945" t="s">
        <v>493</v>
      </c>
      <c r="C945" t="s">
        <v>351</v>
      </c>
      <c r="D945" t="s">
        <v>337</v>
      </c>
      <c r="E945" t="s">
        <v>327</v>
      </c>
      <c r="F945" t="s">
        <v>116</v>
      </c>
      <c r="G945" t="s">
        <v>338</v>
      </c>
      <c r="H945" t="s">
        <v>146</v>
      </c>
      <c r="I945" t="s">
        <v>329</v>
      </c>
      <c r="J945" t="s">
        <v>330</v>
      </c>
      <c r="K945" t="s">
        <v>33</v>
      </c>
      <c r="L945" t="s">
        <v>34</v>
      </c>
      <c r="M945" t="s">
        <v>352</v>
      </c>
      <c r="N945" t="s">
        <v>353</v>
      </c>
      <c r="O945" t="s">
        <v>197</v>
      </c>
      <c r="P945" t="s">
        <v>198</v>
      </c>
      <c r="Q945" t="s">
        <v>39</v>
      </c>
      <c r="R945" t="s">
        <v>40</v>
      </c>
      <c r="S945" s="1">
        <v>7460.5</v>
      </c>
      <c r="T945" s="1">
        <v>4603.8810000000003</v>
      </c>
      <c r="U945" s="1">
        <v>3179.6893</v>
      </c>
      <c r="V945" s="1">
        <v>2856.6190000000001</v>
      </c>
      <c r="W945">
        <v>62</v>
      </c>
    </row>
    <row r="946" spans="1:23" hidden="1" x14ac:dyDescent="0.35">
      <c r="A946" t="s">
        <v>492</v>
      </c>
      <c r="B946" t="s">
        <v>493</v>
      </c>
      <c r="C946" t="s">
        <v>455</v>
      </c>
      <c r="D946" t="s">
        <v>337</v>
      </c>
      <c r="E946" t="s">
        <v>327</v>
      </c>
      <c r="F946" t="s">
        <v>116</v>
      </c>
      <c r="G946" t="s">
        <v>338</v>
      </c>
      <c r="H946" t="s">
        <v>146</v>
      </c>
      <c r="I946" t="s">
        <v>329</v>
      </c>
      <c r="J946" t="s">
        <v>330</v>
      </c>
      <c r="K946" t="s">
        <v>33</v>
      </c>
      <c r="L946" t="s">
        <v>34</v>
      </c>
      <c r="M946" t="s">
        <v>456</v>
      </c>
      <c r="N946" t="s">
        <v>457</v>
      </c>
      <c r="O946" t="s">
        <v>197</v>
      </c>
      <c r="P946" t="s">
        <v>198</v>
      </c>
      <c r="Q946" t="s">
        <v>39</v>
      </c>
      <c r="R946" t="s">
        <v>40</v>
      </c>
      <c r="S946" s="1">
        <v>1889.2</v>
      </c>
      <c r="T946" s="1">
        <v>806.99900000000002</v>
      </c>
      <c r="U946" s="1">
        <v>0</v>
      </c>
      <c r="V946" s="1">
        <v>1082.201</v>
      </c>
      <c r="W946">
        <v>43</v>
      </c>
    </row>
    <row r="947" spans="1:23" hidden="1" x14ac:dyDescent="0.35">
      <c r="A947" t="s">
        <v>492</v>
      </c>
      <c r="B947" t="s">
        <v>493</v>
      </c>
      <c r="C947" t="s">
        <v>354</v>
      </c>
      <c r="D947" t="s">
        <v>337</v>
      </c>
      <c r="E947" t="s">
        <v>327</v>
      </c>
      <c r="F947" t="s">
        <v>116</v>
      </c>
      <c r="G947" t="s">
        <v>338</v>
      </c>
      <c r="H947" t="s">
        <v>146</v>
      </c>
      <c r="I947" t="s">
        <v>329</v>
      </c>
      <c r="J947" t="s">
        <v>330</v>
      </c>
      <c r="K947" t="s">
        <v>33</v>
      </c>
      <c r="L947" t="s">
        <v>34</v>
      </c>
      <c r="M947" t="s">
        <v>355</v>
      </c>
      <c r="N947" t="s">
        <v>356</v>
      </c>
      <c r="O947" t="s">
        <v>197</v>
      </c>
      <c r="P947" t="s">
        <v>198</v>
      </c>
      <c r="Q947" t="s">
        <v>39</v>
      </c>
      <c r="R947" t="s">
        <v>40</v>
      </c>
      <c r="S947" s="1">
        <v>45132.3</v>
      </c>
      <c r="T947" s="1">
        <v>21361.529699999999</v>
      </c>
      <c r="U947" s="1">
        <v>2205.0704999999998</v>
      </c>
      <c r="V947" s="1">
        <v>23770.7703</v>
      </c>
      <c r="W947">
        <v>47</v>
      </c>
    </row>
    <row r="948" spans="1:23" hidden="1" x14ac:dyDescent="0.35">
      <c r="A948" t="s">
        <v>492</v>
      </c>
      <c r="B948" t="s">
        <v>493</v>
      </c>
      <c r="C948" t="s">
        <v>463</v>
      </c>
      <c r="D948" t="s">
        <v>337</v>
      </c>
      <c r="E948" t="s">
        <v>327</v>
      </c>
      <c r="F948" t="s">
        <v>116</v>
      </c>
      <c r="G948" t="s">
        <v>338</v>
      </c>
      <c r="H948" t="s">
        <v>146</v>
      </c>
      <c r="I948" t="s">
        <v>329</v>
      </c>
      <c r="J948" t="s">
        <v>330</v>
      </c>
      <c r="K948" t="s">
        <v>33</v>
      </c>
      <c r="L948" t="s">
        <v>34</v>
      </c>
      <c r="M948" t="s">
        <v>464</v>
      </c>
      <c r="N948" t="s">
        <v>465</v>
      </c>
      <c r="O948" t="s">
        <v>197</v>
      </c>
      <c r="P948" t="s">
        <v>198</v>
      </c>
      <c r="Q948" t="s">
        <v>39</v>
      </c>
      <c r="R948" t="s">
        <v>40</v>
      </c>
      <c r="S948" s="1">
        <v>5997.5</v>
      </c>
      <c r="T948" s="1">
        <v>4542.9071999999996</v>
      </c>
      <c r="U948" s="1">
        <v>163.876</v>
      </c>
      <c r="V948" s="1">
        <v>1454.5927999999999</v>
      </c>
      <c r="W948">
        <v>76</v>
      </c>
    </row>
    <row r="949" spans="1:23" hidden="1" x14ac:dyDescent="0.35">
      <c r="A949" t="s">
        <v>492</v>
      </c>
      <c r="B949" t="s">
        <v>493</v>
      </c>
      <c r="C949" t="s">
        <v>357</v>
      </c>
      <c r="D949" t="s">
        <v>337</v>
      </c>
      <c r="E949" t="s">
        <v>327</v>
      </c>
      <c r="F949" t="s">
        <v>116</v>
      </c>
      <c r="G949" t="s">
        <v>338</v>
      </c>
      <c r="H949" t="s">
        <v>146</v>
      </c>
      <c r="I949" t="s">
        <v>329</v>
      </c>
      <c r="J949" t="s">
        <v>330</v>
      </c>
      <c r="K949" t="s">
        <v>33</v>
      </c>
      <c r="L949" t="s">
        <v>34</v>
      </c>
      <c r="M949" t="s">
        <v>358</v>
      </c>
      <c r="N949" t="s">
        <v>359</v>
      </c>
      <c r="O949" t="s">
        <v>197</v>
      </c>
      <c r="P949" t="s">
        <v>198</v>
      </c>
      <c r="Q949" t="s">
        <v>39</v>
      </c>
      <c r="R949" t="s">
        <v>40</v>
      </c>
      <c r="S949" s="1">
        <v>100.2</v>
      </c>
      <c r="T949" s="1">
        <v>100.11799999999999</v>
      </c>
      <c r="U949" s="1">
        <v>0</v>
      </c>
      <c r="V949" s="1">
        <v>8.2000000000000003E-2</v>
      </c>
      <c r="W949">
        <v>100</v>
      </c>
    </row>
    <row r="950" spans="1:23" hidden="1" x14ac:dyDescent="0.35">
      <c r="A950" t="s">
        <v>492</v>
      </c>
      <c r="B950" t="s">
        <v>493</v>
      </c>
      <c r="C950" t="s">
        <v>360</v>
      </c>
      <c r="D950" t="s">
        <v>337</v>
      </c>
      <c r="E950" t="s">
        <v>327</v>
      </c>
      <c r="F950" t="s">
        <v>116</v>
      </c>
      <c r="G950" t="s">
        <v>338</v>
      </c>
      <c r="H950" t="s">
        <v>48</v>
      </c>
      <c r="I950" t="s">
        <v>49</v>
      </c>
      <c r="J950" t="s">
        <v>50</v>
      </c>
      <c r="K950" t="s">
        <v>33</v>
      </c>
      <c r="L950" t="s">
        <v>51</v>
      </c>
      <c r="M950" t="s">
        <v>361</v>
      </c>
      <c r="N950" t="s">
        <v>362</v>
      </c>
      <c r="O950" t="s">
        <v>197</v>
      </c>
      <c r="P950" t="s">
        <v>198</v>
      </c>
      <c r="Q950" t="s">
        <v>39</v>
      </c>
      <c r="R950" t="s">
        <v>40</v>
      </c>
      <c r="S950" s="1">
        <v>3155.1</v>
      </c>
      <c r="T950" s="1">
        <v>835.14250000000004</v>
      </c>
      <c r="U950" s="1">
        <v>374.9744</v>
      </c>
      <c r="V950" s="1">
        <v>2319.9575</v>
      </c>
      <c r="W950">
        <v>26</v>
      </c>
    </row>
    <row r="951" spans="1:23" hidden="1" x14ac:dyDescent="0.35">
      <c r="A951" t="s">
        <v>492</v>
      </c>
      <c r="B951" t="s">
        <v>493</v>
      </c>
      <c r="C951" t="s">
        <v>363</v>
      </c>
      <c r="D951" t="s">
        <v>364</v>
      </c>
      <c r="E951" t="s">
        <v>365</v>
      </c>
      <c r="F951" t="s">
        <v>189</v>
      </c>
      <c r="G951" t="s">
        <v>366</v>
      </c>
      <c r="H951" t="s">
        <v>28</v>
      </c>
      <c r="I951" t="s">
        <v>231</v>
      </c>
      <c r="J951" t="s">
        <v>232</v>
      </c>
      <c r="K951" t="s">
        <v>33</v>
      </c>
      <c r="L951" t="s">
        <v>51</v>
      </c>
      <c r="M951" t="s">
        <v>367</v>
      </c>
      <c r="N951" t="s">
        <v>368</v>
      </c>
      <c r="O951" t="s">
        <v>108</v>
      </c>
      <c r="P951" t="s">
        <v>109</v>
      </c>
      <c r="Q951" t="s">
        <v>39</v>
      </c>
      <c r="R951" t="s">
        <v>40</v>
      </c>
      <c r="S951" s="1">
        <v>211289.8</v>
      </c>
      <c r="T951" s="1">
        <v>136235.84039999999</v>
      </c>
      <c r="U951" s="1">
        <v>11918.9238</v>
      </c>
      <c r="V951" s="1">
        <v>75053.959600000002</v>
      </c>
      <c r="W951">
        <v>64</v>
      </c>
    </row>
    <row r="952" spans="1:23" hidden="1" x14ac:dyDescent="0.35">
      <c r="A952" t="s">
        <v>492</v>
      </c>
      <c r="B952" t="s">
        <v>493</v>
      </c>
      <c r="C952" t="s">
        <v>369</v>
      </c>
      <c r="D952" t="s">
        <v>364</v>
      </c>
      <c r="E952" t="s">
        <v>365</v>
      </c>
      <c r="F952" t="s">
        <v>189</v>
      </c>
      <c r="G952" t="s">
        <v>366</v>
      </c>
      <c r="H952" t="s">
        <v>28</v>
      </c>
      <c r="I952" t="s">
        <v>231</v>
      </c>
      <c r="J952" t="s">
        <v>232</v>
      </c>
      <c r="K952" t="s">
        <v>33</v>
      </c>
      <c r="L952" t="s">
        <v>51</v>
      </c>
      <c r="M952" t="s">
        <v>367</v>
      </c>
      <c r="N952" t="s">
        <v>368</v>
      </c>
      <c r="O952" t="s">
        <v>334</v>
      </c>
      <c r="P952" t="s">
        <v>335</v>
      </c>
      <c r="Q952" t="s">
        <v>39</v>
      </c>
      <c r="R952" t="s">
        <v>40</v>
      </c>
      <c r="S952" s="1">
        <v>21225</v>
      </c>
      <c r="T952" s="1">
        <v>12658.1119</v>
      </c>
      <c r="U952" s="1">
        <v>1688.2251000000001</v>
      </c>
      <c r="V952" s="1">
        <v>8566.8881000000001</v>
      </c>
      <c r="W952">
        <v>60</v>
      </c>
    </row>
    <row r="953" spans="1:23" hidden="1" x14ac:dyDescent="0.35">
      <c r="A953" t="s">
        <v>492</v>
      </c>
      <c r="B953" t="s">
        <v>493</v>
      </c>
      <c r="C953" t="s">
        <v>370</v>
      </c>
      <c r="D953" t="s">
        <v>364</v>
      </c>
      <c r="E953" t="s">
        <v>365</v>
      </c>
      <c r="F953" t="s">
        <v>189</v>
      </c>
      <c r="G953" t="s">
        <v>366</v>
      </c>
      <c r="H953" t="s">
        <v>28</v>
      </c>
      <c r="I953" t="s">
        <v>231</v>
      </c>
      <c r="J953" t="s">
        <v>232</v>
      </c>
      <c r="K953" t="s">
        <v>33</v>
      </c>
      <c r="L953" t="s">
        <v>51</v>
      </c>
      <c r="M953" t="s">
        <v>371</v>
      </c>
      <c r="N953" t="s">
        <v>372</v>
      </c>
      <c r="O953" t="s">
        <v>108</v>
      </c>
      <c r="P953" t="s">
        <v>109</v>
      </c>
      <c r="Q953" t="s">
        <v>39</v>
      </c>
      <c r="R953" t="s">
        <v>40</v>
      </c>
      <c r="S953" s="1">
        <v>3994.2</v>
      </c>
      <c r="T953" s="1">
        <v>2614.0264000000002</v>
      </c>
      <c r="U953" s="1">
        <v>360.78530000000001</v>
      </c>
      <c r="V953" s="1">
        <v>1380.1736000000001</v>
      </c>
      <c r="W953">
        <v>65</v>
      </c>
    </row>
    <row r="954" spans="1:23" hidden="1" x14ac:dyDescent="0.35">
      <c r="A954" t="s">
        <v>492</v>
      </c>
      <c r="B954" t="s">
        <v>493</v>
      </c>
      <c r="C954" t="s">
        <v>373</v>
      </c>
      <c r="D954" t="s">
        <v>364</v>
      </c>
      <c r="E954" t="s">
        <v>365</v>
      </c>
      <c r="F954" t="s">
        <v>189</v>
      </c>
      <c r="G954" t="s">
        <v>366</v>
      </c>
      <c r="H954" t="s">
        <v>28</v>
      </c>
      <c r="I954" t="s">
        <v>231</v>
      </c>
      <c r="J954" t="s">
        <v>232</v>
      </c>
      <c r="K954" t="s">
        <v>33</v>
      </c>
      <c r="L954" t="s">
        <v>51</v>
      </c>
      <c r="M954" t="s">
        <v>371</v>
      </c>
      <c r="N954" t="s">
        <v>372</v>
      </c>
      <c r="O954" t="s">
        <v>334</v>
      </c>
      <c r="P954" t="s">
        <v>335</v>
      </c>
      <c r="Q954" t="s">
        <v>39</v>
      </c>
      <c r="R954" t="s">
        <v>40</v>
      </c>
      <c r="S954" s="1">
        <v>128356.9</v>
      </c>
      <c r="T954" s="1">
        <v>91310.473800000007</v>
      </c>
      <c r="U954" s="1">
        <v>9080.0848999999998</v>
      </c>
      <c r="V954" s="1">
        <v>37046.426200000002</v>
      </c>
      <c r="W954">
        <v>71</v>
      </c>
    </row>
    <row r="955" spans="1:23" hidden="1" x14ac:dyDescent="0.35">
      <c r="A955" t="s">
        <v>492</v>
      </c>
      <c r="B955" t="s">
        <v>493</v>
      </c>
      <c r="C955" t="s">
        <v>374</v>
      </c>
      <c r="D955" t="s">
        <v>364</v>
      </c>
      <c r="E955" t="s">
        <v>365</v>
      </c>
      <c r="F955" t="s">
        <v>189</v>
      </c>
      <c r="G955" t="s">
        <v>366</v>
      </c>
      <c r="H955" t="s">
        <v>28</v>
      </c>
      <c r="I955" t="s">
        <v>231</v>
      </c>
      <c r="J955" t="s">
        <v>232</v>
      </c>
      <c r="K955" t="s">
        <v>33</v>
      </c>
      <c r="L955" t="s">
        <v>51</v>
      </c>
      <c r="M955" t="s">
        <v>375</v>
      </c>
      <c r="N955" t="s">
        <v>376</v>
      </c>
      <c r="O955" t="s">
        <v>197</v>
      </c>
      <c r="P955" t="s">
        <v>198</v>
      </c>
      <c r="Q955" t="s">
        <v>39</v>
      </c>
      <c r="R955" t="s">
        <v>40</v>
      </c>
      <c r="S955" s="1">
        <v>21376.1</v>
      </c>
      <c r="T955" s="1">
        <v>18259.561099999999</v>
      </c>
      <c r="U955" s="1">
        <v>0</v>
      </c>
      <c r="V955" s="1">
        <v>3116.5389</v>
      </c>
      <c r="W955">
        <v>85</v>
      </c>
    </row>
    <row r="956" spans="1:23" hidden="1" x14ac:dyDescent="0.35">
      <c r="A956" t="s">
        <v>492</v>
      </c>
      <c r="B956" t="s">
        <v>493</v>
      </c>
      <c r="C956" t="s">
        <v>377</v>
      </c>
      <c r="D956" t="s">
        <v>364</v>
      </c>
      <c r="E956" t="s">
        <v>365</v>
      </c>
      <c r="F956" t="s">
        <v>189</v>
      </c>
      <c r="G956" t="s">
        <v>366</v>
      </c>
      <c r="H956" t="s">
        <v>28</v>
      </c>
      <c r="I956" t="s">
        <v>231</v>
      </c>
      <c r="J956" t="s">
        <v>232</v>
      </c>
      <c r="K956" t="s">
        <v>33</v>
      </c>
      <c r="L956" t="s">
        <v>51</v>
      </c>
      <c r="M956" t="s">
        <v>378</v>
      </c>
      <c r="N956" t="s">
        <v>379</v>
      </c>
      <c r="O956" t="s">
        <v>108</v>
      </c>
      <c r="P956" t="s">
        <v>109</v>
      </c>
      <c r="Q956" t="s">
        <v>39</v>
      </c>
      <c r="R956" t="s">
        <v>40</v>
      </c>
      <c r="S956" s="1">
        <v>15133.5</v>
      </c>
      <c r="T956" s="1">
        <v>9969.2710000000006</v>
      </c>
      <c r="U956" s="1">
        <v>1511.9988000000001</v>
      </c>
      <c r="V956" s="1">
        <v>5164.2290000000003</v>
      </c>
      <c r="W956">
        <v>66</v>
      </c>
    </row>
    <row r="957" spans="1:23" hidden="1" x14ac:dyDescent="0.35">
      <c r="A957" t="s">
        <v>492</v>
      </c>
      <c r="B957" t="s">
        <v>493</v>
      </c>
      <c r="C957" t="s">
        <v>380</v>
      </c>
      <c r="D957" t="s">
        <v>364</v>
      </c>
      <c r="E957" t="s">
        <v>365</v>
      </c>
      <c r="F957" t="s">
        <v>189</v>
      </c>
      <c r="G957" t="s">
        <v>366</v>
      </c>
      <c r="H957" t="s">
        <v>28</v>
      </c>
      <c r="I957" t="s">
        <v>231</v>
      </c>
      <c r="J957" t="s">
        <v>232</v>
      </c>
      <c r="K957" t="s">
        <v>33</v>
      </c>
      <c r="L957" t="s">
        <v>51</v>
      </c>
      <c r="M957" t="s">
        <v>378</v>
      </c>
      <c r="N957" t="s">
        <v>379</v>
      </c>
      <c r="O957" t="s">
        <v>334</v>
      </c>
      <c r="P957" t="s">
        <v>335</v>
      </c>
      <c r="Q957" t="s">
        <v>39</v>
      </c>
      <c r="R957" t="s">
        <v>40</v>
      </c>
      <c r="S957" s="1">
        <v>509027.5</v>
      </c>
      <c r="T957" s="1">
        <v>347128.20669999998</v>
      </c>
      <c r="U957" s="1">
        <v>43845.847199999997</v>
      </c>
      <c r="V957" s="1">
        <v>161899.29329999999</v>
      </c>
      <c r="W957">
        <v>68</v>
      </c>
    </row>
    <row r="958" spans="1:23" hidden="1" x14ac:dyDescent="0.35">
      <c r="A958" t="s">
        <v>492</v>
      </c>
      <c r="B958" t="s">
        <v>493</v>
      </c>
      <c r="C958" t="s">
        <v>381</v>
      </c>
      <c r="D958" t="s">
        <v>364</v>
      </c>
      <c r="E958" t="s">
        <v>365</v>
      </c>
      <c r="F958" t="s">
        <v>189</v>
      </c>
      <c r="G958" t="s">
        <v>366</v>
      </c>
      <c r="H958" t="s">
        <v>28</v>
      </c>
      <c r="I958" t="s">
        <v>231</v>
      </c>
      <c r="J958" t="s">
        <v>232</v>
      </c>
      <c r="K958" t="s">
        <v>33</v>
      </c>
      <c r="L958" t="s">
        <v>51</v>
      </c>
      <c r="M958" t="s">
        <v>382</v>
      </c>
      <c r="N958" t="s">
        <v>383</v>
      </c>
      <c r="O958" t="s">
        <v>108</v>
      </c>
      <c r="P958" t="s">
        <v>109</v>
      </c>
      <c r="Q958" t="s">
        <v>39</v>
      </c>
      <c r="R958" t="s">
        <v>40</v>
      </c>
      <c r="S958" s="1">
        <v>4541.7</v>
      </c>
      <c r="T958" s="1">
        <v>2604.5990999999999</v>
      </c>
      <c r="U958" s="1">
        <v>358.40519999999998</v>
      </c>
      <c r="V958" s="1">
        <v>1937.1008999999999</v>
      </c>
      <c r="W958">
        <v>57</v>
      </c>
    </row>
    <row r="959" spans="1:23" hidden="1" x14ac:dyDescent="0.35">
      <c r="A959" t="s">
        <v>492</v>
      </c>
      <c r="B959" t="s">
        <v>493</v>
      </c>
      <c r="C959" t="s">
        <v>384</v>
      </c>
      <c r="D959" t="s">
        <v>364</v>
      </c>
      <c r="E959" t="s">
        <v>365</v>
      </c>
      <c r="F959" t="s">
        <v>189</v>
      </c>
      <c r="G959" t="s">
        <v>366</v>
      </c>
      <c r="H959" t="s">
        <v>28</v>
      </c>
      <c r="I959" t="s">
        <v>231</v>
      </c>
      <c r="J959" t="s">
        <v>232</v>
      </c>
      <c r="K959" t="s">
        <v>33</v>
      </c>
      <c r="L959" t="s">
        <v>51</v>
      </c>
      <c r="M959" t="s">
        <v>382</v>
      </c>
      <c r="N959" t="s">
        <v>383</v>
      </c>
      <c r="O959" t="s">
        <v>334</v>
      </c>
      <c r="P959" t="s">
        <v>335</v>
      </c>
      <c r="Q959" t="s">
        <v>39</v>
      </c>
      <c r="R959" t="s">
        <v>40</v>
      </c>
      <c r="S959" s="1">
        <v>59802</v>
      </c>
      <c r="T959" s="1">
        <v>37987.800499999998</v>
      </c>
      <c r="U959" s="1">
        <v>4303.3698999999997</v>
      </c>
      <c r="V959" s="1">
        <v>21814.199499999999</v>
      </c>
      <c r="W959">
        <v>64</v>
      </c>
    </row>
    <row r="960" spans="1:23" hidden="1" x14ac:dyDescent="0.35">
      <c r="A960" t="s">
        <v>492</v>
      </c>
      <c r="B960" t="s">
        <v>493</v>
      </c>
      <c r="C960" t="s">
        <v>385</v>
      </c>
      <c r="D960" t="s">
        <v>364</v>
      </c>
      <c r="E960" t="s">
        <v>365</v>
      </c>
      <c r="F960" t="s">
        <v>189</v>
      </c>
      <c r="G960" t="s">
        <v>366</v>
      </c>
      <c r="H960" t="s">
        <v>28</v>
      </c>
      <c r="I960" t="s">
        <v>231</v>
      </c>
      <c r="J960" t="s">
        <v>232</v>
      </c>
      <c r="K960" t="s">
        <v>33</v>
      </c>
      <c r="L960" t="s">
        <v>51</v>
      </c>
      <c r="M960" t="s">
        <v>386</v>
      </c>
      <c r="N960" t="s">
        <v>387</v>
      </c>
      <c r="O960" t="s">
        <v>197</v>
      </c>
      <c r="P960" t="s">
        <v>198</v>
      </c>
      <c r="Q960" t="s">
        <v>39</v>
      </c>
      <c r="R960" t="s">
        <v>40</v>
      </c>
      <c r="S960" s="1">
        <v>3856.7</v>
      </c>
      <c r="T960" s="1">
        <v>2935.1909999999998</v>
      </c>
      <c r="U960" s="1">
        <v>0</v>
      </c>
      <c r="V960" s="1">
        <v>921.50900000000001</v>
      </c>
      <c r="W960">
        <v>76</v>
      </c>
    </row>
    <row r="961" spans="1:23" hidden="1" x14ac:dyDescent="0.35">
      <c r="A961" t="s">
        <v>492</v>
      </c>
      <c r="B961" t="s">
        <v>493</v>
      </c>
      <c r="C961" t="s">
        <v>388</v>
      </c>
      <c r="D961" t="s">
        <v>364</v>
      </c>
      <c r="E961" t="s">
        <v>365</v>
      </c>
      <c r="F961" t="s">
        <v>189</v>
      </c>
      <c r="G961" t="s">
        <v>366</v>
      </c>
      <c r="H961" t="s">
        <v>28</v>
      </c>
      <c r="I961" t="s">
        <v>231</v>
      </c>
      <c r="J961" t="s">
        <v>232</v>
      </c>
      <c r="K961" t="s">
        <v>33</v>
      </c>
      <c r="L961" t="s">
        <v>51</v>
      </c>
      <c r="M961" t="s">
        <v>389</v>
      </c>
      <c r="N961" t="s">
        <v>390</v>
      </c>
      <c r="O961" t="s">
        <v>197</v>
      </c>
      <c r="P961" t="s">
        <v>198</v>
      </c>
      <c r="Q961" t="s">
        <v>39</v>
      </c>
      <c r="R961" t="s">
        <v>40</v>
      </c>
      <c r="S961" s="1">
        <v>2500</v>
      </c>
      <c r="T961" s="1">
        <v>1439.7729999999999</v>
      </c>
      <c r="U961" s="1">
        <v>0</v>
      </c>
      <c r="V961" s="1">
        <v>1060.2270000000001</v>
      </c>
      <c r="W961">
        <v>58</v>
      </c>
    </row>
    <row r="962" spans="1:23" hidden="1" x14ac:dyDescent="0.35">
      <c r="A962" t="s">
        <v>492</v>
      </c>
      <c r="B962" t="s">
        <v>493</v>
      </c>
      <c r="C962" t="s">
        <v>391</v>
      </c>
      <c r="D962" t="s">
        <v>392</v>
      </c>
      <c r="E962" t="s">
        <v>365</v>
      </c>
      <c r="F962" t="s">
        <v>28</v>
      </c>
      <c r="G962" t="s">
        <v>393</v>
      </c>
      <c r="H962" t="s">
        <v>28</v>
      </c>
      <c r="I962" t="s">
        <v>231</v>
      </c>
      <c r="J962" t="s">
        <v>232</v>
      </c>
      <c r="K962" t="s">
        <v>33</v>
      </c>
      <c r="L962" t="s">
        <v>51</v>
      </c>
      <c r="M962" t="s">
        <v>394</v>
      </c>
      <c r="N962" t="s">
        <v>395</v>
      </c>
      <c r="O962" t="s">
        <v>197</v>
      </c>
      <c r="P962" t="s">
        <v>198</v>
      </c>
      <c r="Q962" t="s">
        <v>39</v>
      </c>
      <c r="R962" t="s">
        <v>40</v>
      </c>
      <c r="S962" s="1">
        <v>51205.3</v>
      </c>
      <c r="T962" s="1">
        <v>44308.448700000001</v>
      </c>
      <c r="U962" s="1">
        <v>1207.7611999999999</v>
      </c>
      <c r="V962" s="1">
        <v>6896.8513000000003</v>
      </c>
      <c r="W962">
        <v>87</v>
      </c>
    </row>
    <row r="963" spans="1:23" hidden="1" x14ac:dyDescent="0.35">
      <c r="A963" t="s">
        <v>492</v>
      </c>
      <c r="B963" t="s">
        <v>493</v>
      </c>
      <c r="C963" t="s">
        <v>479</v>
      </c>
      <c r="D963" t="s">
        <v>397</v>
      </c>
      <c r="E963" t="s">
        <v>365</v>
      </c>
      <c r="F963" t="s">
        <v>318</v>
      </c>
      <c r="G963" t="s">
        <v>398</v>
      </c>
      <c r="H963" t="s">
        <v>28</v>
      </c>
      <c r="I963" t="s">
        <v>231</v>
      </c>
      <c r="J963" t="s">
        <v>480</v>
      </c>
      <c r="K963" t="s">
        <v>23</v>
      </c>
      <c r="L963" t="s">
        <v>203</v>
      </c>
      <c r="M963" t="s">
        <v>481</v>
      </c>
      <c r="N963" t="s">
        <v>482</v>
      </c>
      <c r="O963" t="s">
        <v>197</v>
      </c>
      <c r="P963" t="s">
        <v>198</v>
      </c>
      <c r="Q963" t="s">
        <v>39</v>
      </c>
      <c r="R963" t="s">
        <v>40</v>
      </c>
      <c r="S963" s="1">
        <v>11784.4</v>
      </c>
      <c r="T963" s="1">
        <v>11784.34</v>
      </c>
      <c r="U963" s="1">
        <v>0</v>
      </c>
      <c r="V963" s="1">
        <v>0.06</v>
      </c>
      <c r="W963">
        <v>100</v>
      </c>
    </row>
    <row r="964" spans="1:23" hidden="1" x14ac:dyDescent="0.35">
      <c r="A964" t="s">
        <v>492</v>
      </c>
      <c r="B964" t="s">
        <v>493</v>
      </c>
      <c r="C964" t="s">
        <v>396</v>
      </c>
      <c r="D964" t="s">
        <v>397</v>
      </c>
      <c r="E964" t="s">
        <v>365</v>
      </c>
      <c r="F964" t="s">
        <v>318</v>
      </c>
      <c r="G964" t="s">
        <v>398</v>
      </c>
      <c r="H964" t="s">
        <v>116</v>
      </c>
      <c r="I964" t="s">
        <v>148</v>
      </c>
      <c r="J964" t="s">
        <v>149</v>
      </c>
      <c r="K964" t="s">
        <v>33</v>
      </c>
      <c r="L964" t="s">
        <v>34</v>
      </c>
      <c r="M964" t="s">
        <v>399</v>
      </c>
      <c r="N964" t="s">
        <v>400</v>
      </c>
      <c r="O964" t="s">
        <v>401</v>
      </c>
      <c r="P964" t="s">
        <v>402</v>
      </c>
      <c r="Q964" t="s">
        <v>39</v>
      </c>
      <c r="R964" t="s">
        <v>40</v>
      </c>
      <c r="S964" s="1">
        <v>1328.7</v>
      </c>
      <c r="T964" s="1">
        <v>658.73329999999999</v>
      </c>
      <c r="U964" s="1">
        <v>0</v>
      </c>
      <c r="V964" s="1">
        <v>669.96669999999995</v>
      </c>
      <c r="W964">
        <v>50</v>
      </c>
    </row>
    <row r="965" spans="1:23" hidden="1" x14ac:dyDescent="0.35">
      <c r="A965" t="s">
        <v>492</v>
      </c>
      <c r="B965" t="s">
        <v>493</v>
      </c>
      <c r="C965" t="s">
        <v>403</v>
      </c>
      <c r="D965" t="s">
        <v>404</v>
      </c>
      <c r="E965" t="s">
        <v>405</v>
      </c>
      <c r="F965" t="s">
        <v>146</v>
      </c>
      <c r="G965" t="s">
        <v>406</v>
      </c>
      <c r="H965" t="s">
        <v>318</v>
      </c>
      <c r="I965" t="s">
        <v>407</v>
      </c>
      <c r="J965" t="s">
        <v>408</v>
      </c>
      <c r="K965" t="s">
        <v>33</v>
      </c>
      <c r="L965" t="s">
        <v>51</v>
      </c>
      <c r="M965" t="s">
        <v>409</v>
      </c>
      <c r="N965" t="s">
        <v>410</v>
      </c>
      <c r="O965" t="s">
        <v>108</v>
      </c>
      <c r="P965" t="s">
        <v>109</v>
      </c>
      <c r="Q965" t="s">
        <v>39</v>
      </c>
      <c r="R965" t="s">
        <v>40</v>
      </c>
      <c r="S965" s="1">
        <v>191160.4</v>
      </c>
      <c r="T965" s="1">
        <v>121742.82399999999</v>
      </c>
      <c r="U965" s="1">
        <v>16510.888800000001</v>
      </c>
      <c r="V965" s="1">
        <v>69417.576000000001</v>
      </c>
      <c r="W965">
        <v>64</v>
      </c>
    </row>
    <row r="966" spans="1:23" hidden="1" x14ac:dyDescent="0.35">
      <c r="A966" t="s">
        <v>492</v>
      </c>
      <c r="B966" t="s">
        <v>493</v>
      </c>
      <c r="C966" t="s">
        <v>440</v>
      </c>
      <c r="D966" t="s">
        <v>404</v>
      </c>
      <c r="E966" t="s">
        <v>405</v>
      </c>
      <c r="F966" t="s">
        <v>146</v>
      </c>
      <c r="G966" t="s">
        <v>406</v>
      </c>
      <c r="H966" t="s">
        <v>318</v>
      </c>
      <c r="I966" t="s">
        <v>407</v>
      </c>
      <c r="J966" t="s">
        <v>408</v>
      </c>
      <c r="K966" t="s">
        <v>33</v>
      </c>
      <c r="L966" t="s">
        <v>51</v>
      </c>
      <c r="M966" t="s">
        <v>441</v>
      </c>
      <c r="N966" t="s">
        <v>442</v>
      </c>
      <c r="O966" t="s">
        <v>197</v>
      </c>
      <c r="P966" t="s">
        <v>198</v>
      </c>
      <c r="Q966" t="s">
        <v>39</v>
      </c>
      <c r="R966" t="s">
        <v>40</v>
      </c>
      <c r="S966" s="1">
        <v>35508.9</v>
      </c>
      <c r="T966" s="1">
        <v>57</v>
      </c>
      <c r="U966" s="1">
        <v>0</v>
      </c>
      <c r="V966" s="1">
        <v>35451.9</v>
      </c>
      <c r="W966">
        <v>0</v>
      </c>
    </row>
    <row r="967" spans="1:23" hidden="1" x14ac:dyDescent="0.35">
      <c r="A967" t="s">
        <v>492</v>
      </c>
      <c r="B967" t="s">
        <v>493</v>
      </c>
      <c r="C967" t="s">
        <v>411</v>
      </c>
      <c r="D967" t="s">
        <v>412</v>
      </c>
      <c r="E967" t="s">
        <v>405</v>
      </c>
      <c r="F967" t="s">
        <v>189</v>
      </c>
      <c r="G967" t="s">
        <v>413</v>
      </c>
      <c r="H967" t="s">
        <v>318</v>
      </c>
      <c r="I967" t="s">
        <v>407</v>
      </c>
      <c r="J967" t="s">
        <v>408</v>
      </c>
      <c r="K967" t="s">
        <v>33</v>
      </c>
      <c r="L967" t="s">
        <v>51</v>
      </c>
      <c r="M967" t="s">
        <v>414</v>
      </c>
      <c r="N967" t="s">
        <v>415</v>
      </c>
      <c r="O967" t="s">
        <v>197</v>
      </c>
      <c r="P967" t="s">
        <v>198</v>
      </c>
      <c r="Q967" t="s">
        <v>39</v>
      </c>
      <c r="R967" t="s">
        <v>40</v>
      </c>
      <c r="S967" s="1">
        <v>3693.1</v>
      </c>
      <c r="T967" s="1">
        <v>1461.7384999999999</v>
      </c>
      <c r="U967" s="1">
        <v>451.55810000000002</v>
      </c>
      <c r="V967" s="1">
        <v>2231.3615</v>
      </c>
      <c r="W967">
        <v>40</v>
      </c>
    </row>
    <row r="968" spans="1:23" hidden="1" x14ac:dyDescent="0.35">
      <c r="A968" t="s">
        <v>492</v>
      </c>
      <c r="B968" t="s">
        <v>493</v>
      </c>
      <c r="C968" t="s">
        <v>416</v>
      </c>
      <c r="D968" t="s">
        <v>417</v>
      </c>
      <c r="E968" t="s">
        <v>405</v>
      </c>
      <c r="F968" t="s">
        <v>28</v>
      </c>
      <c r="G968" t="s">
        <v>418</v>
      </c>
      <c r="H968" t="s">
        <v>318</v>
      </c>
      <c r="I968" t="s">
        <v>407</v>
      </c>
      <c r="J968" t="s">
        <v>408</v>
      </c>
      <c r="K968" t="s">
        <v>33</v>
      </c>
      <c r="L968" t="s">
        <v>51</v>
      </c>
      <c r="M968" t="s">
        <v>419</v>
      </c>
      <c r="N968" t="s">
        <v>420</v>
      </c>
      <c r="O968" t="s">
        <v>108</v>
      </c>
      <c r="P968" t="s">
        <v>109</v>
      </c>
      <c r="Q968" t="s">
        <v>39</v>
      </c>
      <c r="R968" t="s">
        <v>40</v>
      </c>
      <c r="S968" s="1">
        <v>356415.3</v>
      </c>
      <c r="T968" s="1">
        <v>201163.14060000001</v>
      </c>
      <c r="U968" s="1">
        <v>21010.8459</v>
      </c>
      <c r="V968" s="1">
        <v>155252.1594</v>
      </c>
      <c r="W968">
        <v>56</v>
      </c>
    </row>
    <row r="971" spans="1:23" x14ac:dyDescent="0.35">
      <c r="S971" s="1"/>
      <c r="U971" s="1"/>
    </row>
  </sheetData>
  <autoFilter ref="A1:W968" xr:uid="{93483861-D918-465B-8F61-D1CE7A30CE1A}">
    <filterColumn colId="4">
      <filters>
        <filter val="Образование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59BA0-ED0E-423E-A876-3C83024028D8}">
  <dimension ref="A1:N36"/>
  <sheetViews>
    <sheetView topLeftCell="A12" zoomScale="36" zoomScaleNormal="36" workbookViewId="0">
      <selection activeCell="G34" sqref="G34:M34"/>
    </sheetView>
  </sheetViews>
  <sheetFormatPr defaultRowHeight="14" x14ac:dyDescent="0.3"/>
  <cols>
    <col min="1" max="1" width="88.54296875" style="3" bestFit="1" customWidth="1"/>
    <col min="2" max="2" width="20.1796875" style="3" bestFit="1" customWidth="1"/>
    <col min="3" max="3" width="16.7265625" style="3" bestFit="1" customWidth="1"/>
    <col min="4" max="4" width="60.26953125" style="3" bestFit="1" customWidth="1"/>
    <col min="5" max="5" width="15" style="3" bestFit="1" customWidth="1"/>
    <col min="6" max="6" width="11.7265625" style="3" bestFit="1" customWidth="1"/>
    <col min="7" max="7" width="15.453125" style="3" bestFit="1" customWidth="1"/>
    <col min="8" max="8" width="13.453125" style="3" bestFit="1" customWidth="1"/>
    <col min="9" max="9" width="20.36328125" style="3" bestFit="1" customWidth="1"/>
    <col min="10" max="10" width="26.7265625" style="3" bestFit="1" customWidth="1"/>
    <col min="11" max="11" width="15.453125" style="3" bestFit="1" customWidth="1"/>
    <col min="12" max="12" width="8.7265625" style="3"/>
    <col min="13" max="13" width="35.90625" style="3" bestFit="1" customWidth="1"/>
    <col min="14" max="14" width="37.26953125" style="3" bestFit="1" customWidth="1"/>
    <col min="15" max="21" width="60.1796875" style="3" bestFit="1" customWidth="1"/>
    <col min="22" max="22" width="11.1796875" style="3" bestFit="1" customWidth="1"/>
    <col min="23" max="35" width="21.54296875" style="3" bestFit="1" customWidth="1"/>
    <col min="36" max="36" width="11.1796875" style="3" bestFit="1" customWidth="1"/>
    <col min="37" max="16384" width="8.7265625" style="3"/>
  </cols>
  <sheetData>
    <row r="1" spans="1:14" x14ac:dyDescent="0.3">
      <c r="M1" s="4" t="s">
        <v>4</v>
      </c>
      <c r="N1" s="3" t="s">
        <v>187</v>
      </c>
    </row>
    <row r="3" spans="1:14" x14ac:dyDescent="0.3">
      <c r="A3" s="4" t="s">
        <v>499</v>
      </c>
      <c r="B3" s="4" t="s">
        <v>497</v>
      </c>
      <c r="M3" s="4" t="s">
        <v>495</v>
      </c>
      <c r="N3" s="3" t="s">
        <v>499</v>
      </c>
    </row>
    <row r="4" spans="1:14" ht="70" x14ac:dyDescent="0.3">
      <c r="A4" s="4" t="s">
        <v>495</v>
      </c>
      <c r="B4" s="5" t="s">
        <v>145</v>
      </c>
      <c r="C4" s="3" t="s">
        <v>327</v>
      </c>
      <c r="D4" s="5" t="s">
        <v>291</v>
      </c>
      <c r="E4" s="5" t="s">
        <v>115</v>
      </c>
      <c r="F4" s="5" t="s">
        <v>138</v>
      </c>
      <c r="G4" s="3" t="s">
        <v>187</v>
      </c>
      <c r="H4" s="5" t="s">
        <v>27</v>
      </c>
      <c r="I4" s="3" t="s">
        <v>365</v>
      </c>
      <c r="J4" s="3" t="s">
        <v>405</v>
      </c>
      <c r="K4" s="3" t="s">
        <v>496</v>
      </c>
      <c r="M4" s="6" t="s">
        <v>240</v>
      </c>
      <c r="N4" s="7">
        <v>2402727.1999999997</v>
      </c>
    </row>
    <row r="5" spans="1:14" x14ac:dyDescent="0.3">
      <c r="A5" s="6" t="s">
        <v>167</v>
      </c>
      <c r="B5" s="7">
        <v>431637.3</v>
      </c>
      <c r="C5" s="7"/>
      <c r="D5" s="8"/>
      <c r="E5" s="8"/>
      <c r="F5" s="8"/>
      <c r="G5" s="7"/>
      <c r="H5" s="7"/>
      <c r="I5" s="7"/>
      <c r="J5" s="7"/>
      <c r="K5" s="7">
        <v>431637.3</v>
      </c>
      <c r="M5" s="6" t="s">
        <v>188</v>
      </c>
      <c r="N5" s="7">
        <v>45662034.400000006</v>
      </c>
    </row>
    <row r="6" spans="1:14" x14ac:dyDescent="0.3">
      <c r="A6" s="6" t="s">
        <v>31</v>
      </c>
      <c r="B6" s="7"/>
      <c r="C6" s="7"/>
      <c r="D6" s="8"/>
      <c r="E6" s="8"/>
      <c r="F6" s="8">
        <v>45215.200000000004</v>
      </c>
      <c r="G6" s="7">
        <v>7742.3999999999987</v>
      </c>
      <c r="H6" s="7">
        <v>7922847.9000000022</v>
      </c>
      <c r="I6" s="7"/>
      <c r="J6" s="7"/>
      <c r="K6" s="7">
        <v>7975805.5000000019</v>
      </c>
      <c r="M6" s="6" t="s">
        <v>260</v>
      </c>
      <c r="N6" s="7">
        <v>2050515.8999999994</v>
      </c>
    </row>
    <row r="7" spans="1:14" x14ac:dyDescent="0.3">
      <c r="A7" s="6" t="s">
        <v>148</v>
      </c>
      <c r="B7" s="7">
        <v>9221994.2000000011</v>
      </c>
      <c r="C7" s="7"/>
      <c r="D7" s="8"/>
      <c r="E7" s="8"/>
      <c r="F7" s="8"/>
      <c r="G7" s="7"/>
      <c r="H7" s="7"/>
      <c r="I7" s="7">
        <v>10629.6</v>
      </c>
      <c r="J7" s="7"/>
      <c r="K7" s="7">
        <v>9232623.8000000007</v>
      </c>
      <c r="M7" s="6" t="s">
        <v>246</v>
      </c>
      <c r="N7" s="7">
        <v>2797598.399999999</v>
      </c>
    </row>
    <row r="8" spans="1:14" x14ac:dyDescent="0.3">
      <c r="A8" s="6" t="s">
        <v>49</v>
      </c>
      <c r="B8" s="7"/>
      <c r="C8" s="7">
        <v>25240.799999999996</v>
      </c>
      <c r="D8" s="8"/>
      <c r="E8" s="8">
        <v>434338.8</v>
      </c>
      <c r="F8" s="8">
        <v>221287.2</v>
      </c>
      <c r="G8" s="7"/>
      <c r="H8" s="7">
        <v>1032.8000000000002</v>
      </c>
      <c r="I8" s="7"/>
      <c r="J8" s="7"/>
      <c r="K8" s="7">
        <v>681899.60000000009</v>
      </c>
      <c r="M8" s="6" t="s">
        <v>201</v>
      </c>
      <c r="N8" s="7">
        <v>53626131.79999999</v>
      </c>
    </row>
    <row r="9" spans="1:14" x14ac:dyDescent="0.3">
      <c r="A9" s="6" t="s">
        <v>329</v>
      </c>
      <c r="B9" s="7"/>
      <c r="C9" s="7">
        <v>9020034.5</v>
      </c>
      <c r="D9" s="8"/>
      <c r="E9" s="8"/>
      <c r="F9" s="8"/>
      <c r="G9" s="7"/>
      <c r="H9" s="7"/>
      <c r="I9" s="7"/>
      <c r="J9" s="7"/>
      <c r="K9" s="7">
        <v>9020034.5</v>
      </c>
      <c r="M9" s="6" t="s">
        <v>496</v>
      </c>
      <c r="N9" s="7">
        <v>106539007.69999999</v>
      </c>
    </row>
    <row r="10" spans="1:14" x14ac:dyDescent="0.3">
      <c r="A10" s="6" t="s">
        <v>190</v>
      </c>
      <c r="B10" s="7"/>
      <c r="C10" s="7"/>
      <c r="D10" s="8"/>
      <c r="E10" s="8"/>
      <c r="F10" s="8"/>
      <c r="G10" s="7">
        <v>99494278.899999961</v>
      </c>
      <c r="H10" s="7"/>
      <c r="I10" s="7"/>
      <c r="J10" s="7"/>
      <c r="K10" s="7">
        <v>99494278.899999961</v>
      </c>
    </row>
    <row r="11" spans="1:14" x14ac:dyDescent="0.3">
      <c r="A11" s="6" t="s">
        <v>294</v>
      </c>
      <c r="B11" s="7"/>
      <c r="C11" s="7"/>
      <c r="D11" s="8">
        <v>5597048.0000000009</v>
      </c>
      <c r="E11" s="8"/>
      <c r="F11" s="8"/>
      <c r="G11" s="7"/>
      <c r="H11" s="7"/>
      <c r="I11" s="7"/>
      <c r="J11" s="7"/>
      <c r="K11" s="7">
        <v>5597048.0000000009</v>
      </c>
    </row>
    <row r="12" spans="1:14" x14ac:dyDescent="0.3">
      <c r="A12" s="6" t="s">
        <v>407</v>
      </c>
      <c r="B12" s="7"/>
      <c r="C12" s="7"/>
      <c r="D12" s="8"/>
      <c r="E12" s="8"/>
      <c r="F12" s="8"/>
      <c r="G12" s="7"/>
      <c r="H12" s="7"/>
      <c r="I12" s="7"/>
      <c r="J12" s="7">
        <v>4671356.4999999991</v>
      </c>
      <c r="K12" s="7">
        <v>4671356.4999999991</v>
      </c>
    </row>
    <row r="13" spans="1:14" x14ac:dyDescent="0.3">
      <c r="A13" s="6" t="s">
        <v>67</v>
      </c>
      <c r="B13" s="7"/>
      <c r="C13" s="7"/>
      <c r="D13" s="8"/>
      <c r="E13" s="8"/>
      <c r="F13" s="8"/>
      <c r="G13" s="7">
        <v>2801598.399999999</v>
      </c>
      <c r="H13" s="7">
        <v>4460</v>
      </c>
      <c r="I13" s="7"/>
      <c r="J13" s="7"/>
      <c r="K13" s="7">
        <v>2806058.399999999</v>
      </c>
    </row>
    <row r="14" spans="1:14" x14ac:dyDescent="0.3">
      <c r="A14" s="6" t="s">
        <v>231</v>
      </c>
      <c r="B14" s="7"/>
      <c r="C14" s="7"/>
      <c r="D14" s="8"/>
      <c r="E14" s="8"/>
      <c r="F14" s="8"/>
      <c r="G14" s="7">
        <v>4235388</v>
      </c>
      <c r="H14" s="7"/>
      <c r="I14" s="7">
        <v>8305607.200000003</v>
      </c>
      <c r="J14" s="7"/>
      <c r="K14" s="7">
        <v>12540995.200000003</v>
      </c>
    </row>
    <row r="15" spans="1:14" x14ac:dyDescent="0.3">
      <c r="A15" s="6" t="s">
        <v>61</v>
      </c>
      <c r="B15" s="7"/>
      <c r="C15" s="7"/>
      <c r="D15" s="8"/>
      <c r="E15" s="8"/>
      <c r="F15" s="8"/>
      <c r="G15" s="7"/>
      <c r="H15" s="7">
        <v>1735.2000000000003</v>
      </c>
      <c r="I15" s="7"/>
      <c r="J15" s="7"/>
      <c r="K15" s="7">
        <v>1735.2000000000003</v>
      </c>
    </row>
    <row r="16" spans="1:14" x14ac:dyDescent="0.3">
      <c r="A16" s="6" t="s">
        <v>496</v>
      </c>
      <c r="B16" s="7">
        <v>9653631.5000000019</v>
      </c>
      <c r="C16" s="7">
        <v>9045275.3000000007</v>
      </c>
      <c r="D16" s="8">
        <v>5597048.0000000009</v>
      </c>
      <c r="E16" s="8">
        <v>434338.8</v>
      </c>
      <c r="F16" s="8">
        <v>266502.40000000002</v>
      </c>
      <c r="G16" s="7">
        <v>106539007.69999997</v>
      </c>
      <c r="H16" s="7">
        <v>7930075.9000000022</v>
      </c>
      <c r="I16" s="7">
        <v>8316236.8000000026</v>
      </c>
      <c r="J16" s="7">
        <v>4671356.4999999991</v>
      </c>
      <c r="K16" s="7">
        <v>152453472.89999998</v>
      </c>
    </row>
    <row r="18" spans="1:7" ht="14.5" thickBot="1" x14ac:dyDescent="0.35"/>
    <row r="19" spans="1:7" x14ac:dyDescent="0.3">
      <c r="A19" s="9" t="s">
        <v>500</v>
      </c>
      <c r="B19" s="10"/>
      <c r="D19" s="11" t="s">
        <v>501</v>
      </c>
      <c r="E19" s="10"/>
      <c r="G19" s="5"/>
    </row>
    <row r="20" spans="1:7" x14ac:dyDescent="0.3">
      <c r="A20" s="12" t="s">
        <v>167</v>
      </c>
      <c r="B20" s="13">
        <v>431637.3</v>
      </c>
      <c r="D20" s="14" t="s">
        <v>145</v>
      </c>
      <c r="E20" s="15">
        <v>9653631.5000000019</v>
      </c>
    </row>
    <row r="21" spans="1:7" x14ac:dyDescent="0.3">
      <c r="A21" s="12" t="s">
        <v>31</v>
      </c>
      <c r="B21" s="13">
        <v>7975805.5000000019</v>
      </c>
      <c r="D21" s="14" t="s">
        <v>327</v>
      </c>
      <c r="E21" s="15">
        <v>9045275.3000000007</v>
      </c>
    </row>
    <row r="22" spans="1:7" x14ac:dyDescent="0.3">
      <c r="A22" s="12" t="s">
        <v>148</v>
      </c>
      <c r="B22" s="13">
        <v>9232623.8000000007</v>
      </c>
      <c r="D22" s="14" t="s">
        <v>291</v>
      </c>
      <c r="E22" s="16">
        <v>5597048.0000000009</v>
      </c>
    </row>
    <row r="23" spans="1:7" x14ac:dyDescent="0.3">
      <c r="A23" s="12" t="s">
        <v>49</v>
      </c>
      <c r="B23" s="13">
        <v>681899.60000000009</v>
      </c>
      <c r="D23" s="14" t="s">
        <v>115</v>
      </c>
      <c r="E23" s="16">
        <v>434338.8</v>
      </c>
    </row>
    <row r="24" spans="1:7" x14ac:dyDescent="0.3">
      <c r="A24" s="12" t="s">
        <v>329</v>
      </c>
      <c r="B24" s="13">
        <v>9020034.5</v>
      </c>
      <c r="D24" s="14" t="s">
        <v>138</v>
      </c>
      <c r="E24" s="16">
        <v>266502.40000000002</v>
      </c>
    </row>
    <row r="25" spans="1:7" x14ac:dyDescent="0.3">
      <c r="A25" s="12" t="s">
        <v>190</v>
      </c>
      <c r="B25" s="13">
        <v>99494278.899999961</v>
      </c>
      <c r="D25" s="14" t="s">
        <v>27</v>
      </c>
      <c r="E25" s="15">
        <v>7930075.9000000022</v>
      </c>
    </row>
    <row r="26" spans="1:7" x14ac:dyDescent="0.3">
      <c r="A26" s="12" t="s">
        <v>294</v>
      </c>
      <c r="B26" s="13">
        <v>5597048.0000000009</v>
      </c>
      <c r="D26" s="14" t="s">
        <v>365</v>
      </c>
      <c r="E26" s="15">
        <v>8316236.8000000026</v>
      </c>
    </row>
    <row r="27" spans="1:7" ht="14.5" thickBot="1" x14ac:dyDescent="0.35">
      <c r="A27" s="12" t="s">
        <v>407</v>
      </c>
      <c r="B27" s="13">
        <v>4671356.4999999991</v>
      </c>
      <c r="D27" s="17" t="s">
        <v>405</v>
      </c>
      <c r="E27" s="18">
        <v>4671356.4999999991</v>
      </c>
    </row>
    <row r="28" spans="1:7" x14ac:dyDescent="0.3">
      <c r="A28" s="12" t="s">
        <v>67</v>
      </c>
      <c r="B28" s="13">
        <v>2806058.399999999</v>
      </c>
      <c r="D28" s="19" t="s">
        <v>240</v>
      </c>
      <c r="E28" s="20">
        <v>2402727.1999999997</v>
      </c>
    </row>
    <row r="29" spans="1:7" x14ac:dyDescent="0.3">
      <c r="A29" s="12" t="s">
        <v>231</v>
      </c>
      <c r="B29" s="13">
        <v>12540995.200000003</v>
      </c>
      <c r="D29" s="21" t="s">
        <v>188</v>
      </c>
      <c r="E29" s="13">
        <v>45662034.399999999</v>
      </c>
    </row>
    <row r="30" spans="1:7" ht="14.5" thickBot="1" x14ac:dyDescent="0.35">
      <c r="A30" s="22" t="s">
        <v>61</v>
      </c>
      <c r="B30" s="23">
        <v>1735.2000000000003</v>
      </c>
      <c r="D30" s="21" t="s">
        <v>260</v>
      </c>
      <c r="E30" s="13">
        <v>2050515.9000000004</v>
      </c>
    </row>
    <row r="31" spans="1:7" x14ac:dyDescent="0.3">
      <c r="D31" s="21" t="s">
        <v>246</v>
      </c>
      <c r="E31" s="13">
        <v>2797598.399999999</v>
      </c>
    </row>
    <row r="32" spans="1:7" ht="14.5" thickBot="1" x14ac:dyDescent="0.35">
      <c r="D32" s="24" t="s">
        <v>201</v>
      </c>
      <c r="E32" s="23">
        <v>53626131.799999997</v>
      </c>
    </row>
    <row r="33" spans="1:13" ht="14.5" thickBot="1" x14ac:dyDescent="0.35"/>
    <row r="34" spans="1:13" ht="409.5" customHeight="1" thickBot="1" x14ac:dyDescent="0.35">
      <c r="G34" s="50" t="s">
        <v>601</v>
      </c>
      <c r="H34" s="51"/>
      <c r="I34" s="51"/>
      <c r="J34" s="51"/>
      <c r="K34" s="51"/>
      <c r="L34" s="51"/>
      <c r="M34" s="52"/>
    </row>
    <row r="36" spans="1:13" x14ac:dyDescent="0.3">
      <c r="A36" s="5"/>
    </row>
  </sheetData>
  <mergeCells count="1">
    <mergeCell ref="G34:M34"/>
  </mergeCells>
  <pageMargins left="0.7" right="0.7" top="0.75" bottom="0.75" header="0.3" footer="0.3"/>
  <pageSetup paperSize="9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9E857-E8A5-4C49-901B-70E2012BB1EA}">
  <dimension ref="A3:M31"/>
  <sheetViews>
    <sheetView zoomScale="33" zoomScaleNormal="33" workbookViewId="0">
      <selection activeCell="I31" sqref="I31:M31"/>
    </sheetView>
  </sheetViews>
  <sheetFormatPr defaultRowHeight="14" x14ac:dyDescent="0.3"/>
  <cols>
    <col min="1" max="1" width="88.54296875" style="3" bestFit="1" customWidth="1"/>
    <col min="2" max="2" width="22.453125" style="3" customWidth="1"/>
    <col min="3" max="3" width="16.7265625" style="3" bestFit="1" customWidth="1"/>
    <col min="4" max="4" width="15.26953125" style="3" customWidth="1"/>
    <col min="5" max="5" width="37.6328125" style="3" customWidth="1"/>
    <col min="6" max="6" width="16.08984375" style="3" customWidth="1"/>
    <col min="7" max="7" width="14.7265625" style="3" bestFit="1" customWidth="1"/>
    <col min="8" max="8" width="29.54296875" style="3" bestFit="1" customWidth="1"/>
    <col min="9" max="9" width="20.36328125" style="3" bestFit="1" customWidth="1"/>
    <col min="10" max="10" width="26.7265625" style="3" bestFit="1" customWidth="1"/>
    <col min="11" max="11" width="15.81640625" style="3" bestFit="1" customWidth="1"/>
    <col min="12" max="16384" width="8.7265625" style="3"/>
  </cols>
  <sheetData>
    <row r="3" spans="1:11" x14ac:dyDescent="0.3">
      <c r="A3" s="4" t="s">
        <v>498</v>
      </c>
      <c r="B3" s="4" t="s">
        <v>497</v>
      </c>
    </row>
    <row r="4" spans="1:11" ht="42" x14ac:dyDescent="0.3">
      <c r="A4" s="4" t="s">
        <v>495</v>
      </c>
      <c r="B4" s="5" t="s">
        <v>145</v>
      </c>
      <c r="C4" s="3" t="s">
        <v>327</v>
      </c>
      <c r="D4" s="5" t="s">
        <v>291</v>
      </c>
      <c r="E4" s="5" t="s">
        <v>115</v>
      </c>
      <c r="F4" s="5" t="s">
        <v>138</v>
      </c>
      <c r="G4" s="3" t="s">
        <v>187</v>
      </c>
      <c r="H4" s="3" t="s">
        <v>27</v>
      </c>
      <c r="I4" s="3" t="s">
        <v>365</v>
      </c>
      <c r="J4" s="3" t="s">
        <v>405</v>
      </c>
      <c r="K4" s="3" t="s">
        <v>496</v>
      </c>
    </row>
    <row r="5" spans="1:11" x14ac:dyDescent="0.3">
      <c r="A5" s="6" t="s">
        <v>167</v>
      </c>
      <c r="B5" s="7">
        <v>16254.894300000002</v>
      </c>
      <c r="C5" s="7"/>
      <c r="D5" s="7"/>
      <c r="E5" s="7"/>
      <c r="F5" s="8"/>
      <c r="G5" s="7"/>
      <c r="H5" s="7"/>
      <c r="I5" s="7"/>
      <c r="J5" s="7"/>
      <c r="K5" s="7">
        <v>16254.894300000002</v>
      </c>
    </row>
    <row r="6" spans="1:11" x14ac:dyDescent="0.3">
      <c r="A6" s="6" t="s">
        <v>31</v>
      </c>
      <c r="B6" s="7"/>
      <c r="C6" s="7"/>
      <c r="D6" s="7"/>
      <c r="E6" s="7"/>
      <c r="F6" s="8">
        <v>1513.2430999999999</v>
      </c>
      <c r="G6" s="7">
        <v>0</v>
      </c>
      <c r="H6" s="7">
        <v>647654.52320000017</v>
      </c>
      <c r="I6" s="7"/>
      <c r="J6" s="7"/>
      <c r="K6" s="7">
        <v>649167.76630000013</v>
      </c>
    </row>
    <row r="7" spans="1:11" x14ac:dyDescent="0.3">
      <c r="A7" s="6" t="s">
        <v>148</v>
      </c>
      <c r="B7" s="7">
        <v>636538.51179999998</v>
      </c>
      <c r="C7" s="7"/>
      <c r="D7" s="7"/>
      <c r="E7" s="7"/>
      <c r="F7" s="8"/>
      <c r="G7" s="7"/>
      <c r="H7" s="7"/>
      <c r="I7" s="7">
        <v>658.73329999999999</v>
      </c>
      <c r="J7" s="7"/>
      <c r="K7" s="7">
        <v>637197.24509999994</v>
      </c>
    </row>
    <row r="8" spans="1:11" x14ac:dyDescent="0.3">
      <c r="A8" s="6" t="s">
        <v>49</v>
      </c>
      <c r="B8" s="7"/>
      <c r="C8" s="7">
        <v>835.14249999999993</v>
      </c>
      <c r="D8" s="7"/>
      <c r="E8" s="7">
        <v>39637.087700000004</v>
      </c>
      <c r="F8" s="8">
        <v>2611.3074999999999</v>
      </c>
      <c r="G8" s="7"/>
      <c r="H8" s="7">
        <v>31.43</v>
      </c>
      <c r="I8" s="7"/>
      <c r="J8" s="7"/>
      <c r="K8" s="7">
        <v>43114.967700000008</v>
      </c>
    </row>
    <row r="9" spans="1:11" x14ac:dyDescent="0.3">
      <c r="A9" s="6" t="s">
        <v>329</v>
      </c>
      <c r="B9" s="7"/>
      <c r="C9" s="7">
        <v>659940.7067000001</v>
      </c>
      <c r="D9" s="7"/>
      <c r="E9" s="7"/>
      <c r="F9" s="8"/>
      <c r="G9" s="7"/>
      <c r="H9" s="7"/>
      <c r="I9" s="7"/>
      <c r="J9" s="7"/>
      <c r="K9" s="7">
        <v>659940.7067000001</v>
      </c>
    </row>
    <row r="10" spans="1:11" x14ac:dyDescent="0.3">
      <c r="A10" s="6" t="s">
        <v>190</v>
      </c>
      <c r="B10" s="7"/>
      <c r="C10" s="7"/>
      <c r="D10" s="7"/>
      <c r="E10" s="7"/>
      <c r="F10" s="8"/>
      <c r="G10" s="7">
        <v>7871669.0508999983</v>
      </c>
      <c r="H10" s="7"/>
      <c r="I10" s="7"/>
      <c r="J10" s="7"/>
      <c r="K10" s="7">
        <v>7871669.0508999983</v>
      </c>
    </row>
    <row r="11" spans="1:11" x14ac:dyDescent="0.3">
      <c r="A11" s="6" t="s">
        <v>294</v>
      </c>
      <c r="B11" s="7"/>
      <c r="C11" s="7"/>
      <c r="D11" s="7">
        <v>439204.34090000013</v>
      </c>
      <c r="E11" s="7"/>
      <c r="F11" s="8"/>
      <c r="G11" s="7"/>
      <c r="H11" s="7"/>
      <c r="I11" s="7"/>
      <c r="J11" s="7"/>
      <c r="K11" s="7">
        <v>439204.34090000013</v>
      </c>
    </row>
    <row r="12" spans="1:11" x14ac:dyDescent="0.3">
      <c r="A12" s="6" t="s">
        <v>407</v>
      </c>
      <c r="B12" s="7"/>
      <c r="C12" s="7"/>
      <c r="D12" s="7"/>
      <c r="E12" s="7"/>
      <c r="F12" s="8"/>
      <c r="G12" s="7"/>
      <c r="H12" s="7"/>
      <c r="I12" s="7"/>
      <c r="J12" s="7">
        <v>324424.70310000004</v>
      </c>
      <c r="K12" s="7">
        <v>324424.70310000004</v>
      </c>
    </row>
    <row r="13" spans="1:11" x14ac:dyDescent="0.3">
      <c r="A13" s="6" t="s">
        <v>67</v>
      </c>
      <c r="B13" s="7"/>
      <c r="C13" s="7"/>
      <c r="D13" s="7"/>
      <c r="E13" s="7"/>
      <c r="F13" s="8"/>
      <c r="G13" s="7">
        <v>119732.75259999999</v>
      </c>
      <c r="H13" s="7">
        <v>340.46629999999999</v>
      </c>
      <c r="I13" s="7"/>
      <c r="J13" s="7"/>
      <c r="K13" s="7">
        <v>120073.21889999999</v>
      </c>
    </row>
    <row r="14" spans="1:11" x14ac:dyDescent="0.3">
      <c r="A14" s="6" t="s">
        <v>231</v>
      </c>
      <c r="B14" s="7"/>
      <c r="C14" s="7"/>
      <c r="D14" s="7"/>
      <c r="E14" s="7"/>
      <c r="F14" s="8"/>
      <c r="G14" s="7">
        <v>277891.61390000005</v>
      </c>
      <c r="H14" s="7"/>
      <c r="I14" s="7">
        <v>719235.64359999995</v>
      </c>
      <c r="J14" s="7"/>
      <c r="K14" s="7">
        <v>997127.25750000007</v>
      </c>
    </row>
    <row r="15" spans="1:11" x14ac:dyDescent="0.3">
      <c r="A15" s="6" t="s">
        <v>61</v>
      </c>
      <c r="B15" s="7"/>
      <c r="C15" s="7"/>
      <c r="D15" s="7"/>
      <c r="E15" s="7"/>
      <c r="F15" s="8"/>
      <c r="G15" s="7"/>
      <c r="H15" s="7">
        <v>168.1</v>
      </c>
      <c r="I15" s="7"/>
      <c r="J15" s="7"/>
      <c r="K15" s="7">
        <v>168.1</v>
      </c>
    </row>
    <row r="16" spans="1:11" x14ac:dyDescent="0.3">
      <c r="A16" s="6" t="s">
        <v>496</v>
      </c>
      <c r="B16" s="7">
        <v>652793.40610000002</v>
      </c>
      <c r="C16" s="7">
        <v>660775.84920000006</v>
      </c>
      <c r="D16" s="7">
        <v>439204.34090000013</v>
      </c>
      <c r="E16" s="7">
        <v>39637.087700000004</v>
      </c>
      <c r="F16" s="8">
        <v>4124.5505999999996</v>
      </c>
      <c r="G16" s="7">
        <v>8269293.4173999988</v>
      </c>
      <c r="H16" s="7">
        <v>648194.51950000017</v>
      </c>
      <c r="I16" s="7">
        <v>719894.37689999992</v>
      </c>
      <c r="J16" s="7">
        <v>324424.70310000004</v>
      </c>
      <c r="K16" s="7">
        <v>11758342.251399998</v>
      </c>
    </row>
    <row r="18" spans="1:13" ht="14.5" thickBot="1" x14ac:dyDescent="0.35"/>
    <row r="19" spans="1:13" x14ac:dyDescent="0.3">
      <c r="A19" s="9" t="s">
        <v>500</v>
      </c>
      <c r="B19" s="10"/>
      <c r="D19" s="11" t="s">
        <v>501</v>
      </c>
      <c r="E19" s="10"/>
    </row>
    <row r="20" spans="1:13" x14ac:dyDescent="0.3">
      <c r="A20" s="12" t="s">
        <v>167</v>
      </c>
      <c r="B20" s="13">
        <v>16254.894300000002</v>
      </c>
      <c r="D20" s="14" t="s">
        <v>145</v>
      </c>
      <c r="E20" s="15">
        <v>652793.40610000002</v>
      </c>
    </row>
    <row r="21" spans="1:13" x14ac:dyDescent="0.3">
      <c r="A21" s="12" t="s">
        <v>31</v>
      </c>
      <c r="B21" s="13">
        <v>649167.76630000013</v>
      </c>
      <c r="D21" s="14" t="s">
        <v>327</v>
      </c>
      <c r="E21" s="15">
        <v>660775.84920000006</v>
      </c>
    </row>
    <row r="22" spans="1:13" x14ac:dyDescent="0.3">
      <c r="A22" s="12" t="s">
        <v>148</v>
      </c>
      <c r="B22" s="13">
        <v>637197.24509999994</v>
      </c>
      <c r="D22" s="14" t="s">
        <v>291</v>
      </c>
      <c r="E22" s="15">
        <v>439204.34090000013</v>
      </c>
    </row>
    <row r="23" spans="1:13" x14ac:dyDescent="0.3">
      <c r="A23" s="12" t="s">
        <v>49</v>
      </c>
      <c r="B23" s="13">
        <v>43114.967700000008</v>
      </c>
      <c r="D23" s="14" t="s">
        <v>115</v>
      </c>
      <c r="E23" s="15">
        <v>39637.087700000004</v>
      </c>
    </row>
    <row r="24" spans="1:13" x14ac:dyDescent="0.3">
      <c r="A24" s="12" t="s">
        <v>329</v>
      </c>
      <c r="B24" s="13">
        <v>659940.7067000001</v>
      </c>
      <c r="D24" s="14" t="s">
        <v>138</v>
      </c>
      <c r="E24" s="15">
        <v>4124.5505999999996</v>
      </c>
    </row>
    <row r="25" spans="1:13" x14ac:dyDescent="0.3">
      <c r="A25" s="12" t="s">
        <v>190</v>
      </c>
      <c r="B25" s="13">
        <v>7871669.0508999983</v>
      </c>
      <c r="D25" s="14" t="s">
        <v>187</v>
      </c>
      <c r="E25" s="15">
        <v>8269293.4173999988</v>
      </c>
    </row>
    <row r="26" spans="1:13" x14ac:dyDescent="0.3">
      <c r="A26" s="12" t="s">
        <v>294</v>
      </c>
      <c r="B26" s="13">
        <v>439204.34090000013</v>
      </c>
      <c r="D26" s="14" t="s">
        <v>27</v>
      </c>
      <c r="E26" s="15">
        <v>648194.51950000017</v>
      </c>
    </row>
    <row r="27" spans="1:13" x14ac:dyDescent="0.3">
      <c r="A27" s="12" t="s">
        <v>407</v>
      </c>
      <c r="B27" s="13">
        <v>324424.70310000004</v>
      </c>
      <c r="D27" s="14" t="s">
        <v>365</v>
      </c>
      <c r="E27" s="15">
        <v>719894.37689999992</v>
      </c>
    </row>
    <row r="28" spans="1:13" ht="14.5" thickBot="1" x14ac:dyDescent="0.35">
      <c r="A28" s="12" t="s">
        <v>67</v>
      </c>
      <c r="B28" s="13">
        <v>120073.21889999999</v>
      </c>
      <c r="D28" s="35" t="s">
        <v>405</v>
      </c>
      <c r="E28" s="36">
        <v>324424.70310000004</v>
      </c>
    </row>
    <row r="29" spans="1:13" x14ac:dyDescent="0.3">
      <c r="A29" s="12" t="s">
        <v>231</v>
      </c>
      <c r="B29" s="13">
        <v>997127.25750000007</v>
      </c>
      <c r="E29" s="37"/>
      <c r="F29" s="38"/>
    </row>
    <row r="30" spans="1:13" ht="14.5" thickBot="1" x14ac:dyDescent="0.35">
      <c r="A30" s="22" t="s">
        <v>61</v>
      </c>
      <c r="B30" s="23">
        <v>168.1</v>
      </c>
    </row>
    <row r="31" spans="1:13" ht="333.5" customHeight="1" thickBot="1" x14ac:dyDescent="0.35">
      <c r="I31" s="50" t="s">
        <v>602</v>
      </c>
      <c r="J31" s="51"/>
      <c r="K31" s="51"/>
      <c r="L31" s="51"/>
      <c r="M31" s="52"/>
    </row>
  </sheetData>
  <mergeCells count="1">
    <mergeCell ref="I31:M31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87FB-9D16-487F-ADD6-382BD49A86E3}">
  <dimension ref="A2:R36"/>
  <sheetViews>
    <sheetView topLeftCell="I34" zoomScale="54" zoomScaleNormal="15" workbookViewId="0">
      <selection activeCell="I36" sqref="A36:XFD36"/>
    </sheetView>
  </sheetViews>
  <sheetFormatPr defaultRowHeight="14" x14ac:dyDescent="0.3"/>
  <cols>
    <col min="1" max="1" width="16.7265625" style="3" bestFit="1" customWidth="1"/>
    <col min="2" max="2" width="37.1796875" style="3" bestFit="1" customWidth="1"/>
    <col min="3" max="3" width="40.08984375" style="3" bestFit="1" customWidth="1"/>
    <col min="4" max="4" width="37.7265625" style="3" bestFit="1" customWidth="1"/>
    <col min="5" max="5" width="39.54296875" style="3" customWidth="1"/>
    <col min="6" max="6" width="40.453125" style="3" bestFit="1" customWidth="1"/>
    <col min="7" max="8" width="8.7265625" style="3"/>
    <col min="9" max="9" width="19.26953125" style="3" bestFit="1" customWidth="1"/>
    <col min="10" max="10" width="41.1796875" style="3" bestFit="1" customWidth="1"/>
    <col min="11" max="12" width="38.26953125" style="3" bestFit="1" customWidth="1"/>
    <col min="13" max="13" width="27.36328125" style="3" bestFit="1" customWidth="1"/>
    <col min="14" max="14" width="40.6328125" style="3" bestFit="1" customWidth="1"/>
    <col min="15" max="16384" width="8.7265625" style="3"/>
  </cols>
  <sheetData>
    <row r="2" spans="1:12" x14ac:dyDescent="0.3">
      <c r="I2" s="4" t="s">
        <v>495</v>
      </c>
      <c r="J2" s="3" t="s">
        <v>498</v>
      </c>
      <c r="K2" s="3" t="s">
        <v>499</v>
      </c>
      <c r="L2" s="3" t="s">
        <v>595</v>
      </c>
    </row>
    <row r="3" spans="1:12" x14ac:dyDescent="0.3">
      <c r="A3" s="4" t="s">
        <v>495</v>
      </c>
      <c r="B3" s="3" t="s">
        <v>499</v>
      </c>
      <c r="C3" s="3" t="s">
        <v>498</v>
      </c>
      <c r="D3" s="3" t="s">
        <v>595</v>
      </c>
      <c r="I3" s="6" t="s">
        <v>24</v>
      </c>
      <c r="J3" s="53">
        <v>860359.39809999999</v>
      </c>
      <c r="K3" s="53">
        <v>16468968.5</v>
      </c>
      <c r="L3" s="53">
        <v>860359.39809999999</v>
      </c>
    </row>
    <row r="4" spans="1:12" x14ac:dyDescent="0.3">
      <c r="A4" s="6" t="s">
        <v>24</v>
      </c>
      <c r="B4" s="7">
        <v>18877414.000000004</v>
      </c>
      <c r="C4" s="7">
        <v>952861.42799999996</v>
      </c>
      <c r="D4" s="7">
        <v>952861.42799999996</v>
      </c>
      <c r="I4" s="6" t="s">
        <v>422</v>
      </c>
      <c r="J4" s="53">
        <v>1336956.9621000001</v>
      </c>
      <c r="K4" s="53">
        <v>16699802.100000003</v>
      </c>
      <c r="L4" s="53">
        <v>2197316.3602</v>
      </c>
    </row>
    <row r="5" spans="1:12" x14ac:dyDescent="0.3">
      <c r="A5" s="6" t="s">
        <v>422</v>
      </c>
      <c r="B5" s="7">
        <v>18984733.600000005</v>
      </c>
      <c r="C5" s="7">
        <v>1301040.7209000001</v>
      </c>
      <c r="D5" s="7">
        <v>2253902.1489000004</v>
      </c>
      <c r="I5" s="6" t="s">
        <v>444</v>
      </c>
      <c r="J5" s="53">
        <v>1327112.5469000004</v>
      </c>
      <c r="K5" s="53">
        <v>16769835.000000002</v>
      </c>
      <c r="L5" s="53">
        <v>3524428.9071000009</v>
      </c>
    </row>
    <row r="6" spans="1:12" x14ac:dyDescent="0.3">
      <c r="A6" s="6" t="s">
        <v>444</v>
      </c>
      <c r="B6" s="7">
        <v>19061723.600000005</v>
      </c>
      <c r="C6" s="7">
        <v>1591744.9309</v>
      </c>
      <c r="D6" s="7">
        <v>3845647.0797999999</v>
      </c>
      <c r="I6" s="6" t="s">
        <v>459</v>
      </c>
      <c r="J6" s="53">
        <v>1249785.0306999998</v>
      </c>
      <c r="K6" s="53">
        <v>16774174.800000003</v>
      </c>
      <c r="L6" s="53">
        <v>4774213.9378000014</v>
      </c>
    </row>
    <row r="7" spans="1:12" x14ac:dyDescent="0.3">
      <c r="A7" s="6" t="s">
        <v>459</v>
      </c>
      <c r="B7" s="7">
        <v>19088989.400000002</v>
      </c>
      <c r="C7" s="7">
        <v>1421721.2439999999</v>
      </c>
      <c r="D7" s="7">
        <v>5267368.3237999985</v>
      </c>
      <c r="I7" s="6" t="s">
        <v>466</v>
      </c>
      <c r="J7" s="53">
        <v>1419741.5016999997</v>
      </c>
      <c r="K7" s="53">
        <v>16774174.800000003</v>
      </c>
      <c r="L7" s="53">
        <v>6193955.4395000003</v>
      </c>
    </row>
    <row r="8" spans="1:12" x14ac:dyDescent="0.3">
      <c r="A8" s="6" t="s">
        <v>466</v>
      </c>
      <c r="B8" s="7">
        <v>19087906.199999999</v>
      </c>
      <c r="C8" s="7">
        <v>1728439.2719999994</v>
      </c>
      <c r="D8" s="7">
        <v>6995807.5957999984</v>
      </c>
      <c r="I8" s="6" t="s">
        <v>484</v>
      </c>
      <c r="J8" s="53">
        <v>1948566.7143000003</v>
      </c>
      <c r="K8" s="53">
        <v>16826055.500000004</v>
      </c>
      <c r="L8" s="53">
        <v>8142522.1537999995</v>
      </c>
    </row>
    <row r="9" spans="1:12" x14ac:dyDescent="0.3">
      <c r="A9" s="6" t="s">
        <v>484</v>
      </c>
      <c r="B9" s="7">
        <v>19107568.699999999</v>
      </c>
      <c r="C9" s="7">
        <v>2137152.5394000011</v>
      </c>
      <c r="D9" s="7">
        <v>9132960.1352000013</v>
      </c>
      <c r="I9" s="6" t="s">
        <v>488</v>
      </c>
      <c r="J9" s="53">
        <v>1374898.8683000004</v>
      </c>
      <c r="K9" s="53">
        <v>16964259.800000004</v>
      </c>
      <c r="L9" s="53">
        <v>9517421.0221000016</v>
      </c>
    </row>
    <row r="10" spans="1:12" x14ac:dyDescent="0.3">
      <c r="A10" s="6" t="s">
        <v>488</v>
      </c>
      <c r="B10" s="7">
        <v>19122568.699999999</v>
      </c>
      <c r="C10" s="7">
        <v>1719617.2159000004</v>
      </c>
      <c r="D10" s="7">
        <v>10852577.351100009</v>
      </c>
      <c r="I10" s="6" t="s">
        <v>493</v>
      </c>
      <c r="J10" s="53">
        <v>978786.69759999984</v>
      </c>
      <c r="K10" s="53">
        <v>17026252.000000004</v>
      </c>
      <c r="L10" s="53">
        <v>10496207.719699999</v>
      </c>
    </row>
    <row r="11" spans="1:12" x14ac:dyDescent="0.3">
      <c r="A11" s="6" t="s">
        <v>493</v>
      </c>
      <c r="B11" s="7">
        <v>19122568.699999999</v>
      </c>
      <c r="C11" s="7">
        <v>905764.90029999986</v>
      </c>
      <c r="D11" s="7">
        <v>11758342.251399996</v>
      </c>
      <c r="I11" s="6" t="s">
        <v>585</v>
      </c>
      <c r="J11" s="53">
        <v>1262274.2978000003</v>
      </c>
      <c r="K11" s="53">
        <v>17024252</v>
      </c>
      <c r="L11" s="53">
        <v>11758482.017499998</v>
      </c>
    </row>
    <row r="12" spans="1:12" x14ac:dyDescent="0.3">
      <c r="A12" s="6" t="s">
        <v>496</v>
      </c>
      <c r="B12" s="7">
        <v>152453472.90000004</v>
      </c>
      <c r="C12" s="7">
        <v>11758342.251400001</v>
      </c>
      <c r="D12" s="7">
        <v>51059466.313999996</v>
      </c>
      <c r="I12" s="6" t="s">
        <v>558</v>
      </c>
      <c r="J12" s="53">
        <v>1319865.3182999997</v>
      </c>
      <c r="K12" s="53">
        <v>16982624.900000002</v>
      </c>
      <c r="L12" s="53">
        <v>13078347.335799998</v>
      </c>
    </row>
    <row r="13" spans="1:12" x14ac:dyDescent="0.3">
      <c r="I13" s="6" t="s">
        <v>575</v>
      </c>
      <c r="J13" s="53">
        <v>1521832.5655000007</v>
      </c>
      <c r="K13" s="53">
        <v>17088822.400000002</v>
      </c>
      <c r="L13" s="53">
        <v>14600179.901300007</v>
      </c>
    </row>
    <row r="14" spans="1:12" x14ac:dyDescent="0.3">
      <c r="A14" s="3" t="s">
        <v>593</v>
      </c>
      <c r="B14" s="3" t="s">
        <v>586</v>
      </c>
      <c r="C14" s="3" t="s">
        <v>594</v>
      </c>
      <c r="D14" s="3" t="s">
        <v>596</v>
      </c>
      <c r="E14" s="3" t="s">
        <v>587</v>
      </c>
      <c r="F14" s="3" t="s">
        <v>588</v>
      </c>
      <c r="I14" s="6" t="s">
        <v>577</v>
      </c>
      <c r="J14" s="53">
        <v>2991508.5640999996</v>
      </c>
      <c r="K14" s="53">
        <v>17623577.300000004</v>
      </c>
      <c r="L14" s="53">
        <v>17591688.465400003</v>
      </c>
    </row>
    <row r="15" spans="1:12" x14ac:dyDescent="0.3">
      <c r="A15" s="6" t="s">
        <v>24</v>
      </c>
      <c r="B15" s="7">
        <v>18877414</v>
      </c>
      <c r="C15" s="7">
        <v>952861.42799999996</v>
      </c>
      <c r="D15" s="7">
        <v>952861.42799999996</v>
      </c>
      <c r="E15" s="54">
        <f t="shared" ref="E15:E22" si="0">C15/$B$22*100</f>
        <v>4.9829154385519345</v>
      </c>
      <c r="F15" s="54">
        <f>E15</f>
        <v>4.9829154385519345</v>
      </c>
      <c r="I15" s="6" t="s">
        <v>496</v>
      </c>
      <c r="J15" s="55">
        <v>17591688.465400003</v>
      </c>
      <c r="K15" s="55">
        <v>203022799.10000002</v>
      </c>
      <c r="L15" s="55">
        <v>102735122.65830001</v>
      </c>
    </row>
    <row r="16" spans="1:12" x14ac:dyDescent="0.3">
      <c r="A16" s="6" t="s">
        <v>422</v>
      </c>
      <c r="B16" s="7">
        <v>18984733.600000005</v>
      </c>
      <c r="C16" s="7">
        <v>1301040.7209000001</v>
      </c>
      <c r="D16" s="7">
        <v>2253902.1489000004</v>
      </c>
      <c r="E16" s="54">
        <f t="shared" si="0"/>
        <v>6.8036922304271812</v>
      </c>
      <c r="F16" s="54">
        <f>F15+E16</f>
        <v>11.786607668979116</v>
      </c>
    </row>
    <row r="17" spans="1:14" x14ac:dyDescent="0.3">
      <c r="A17" s="6" t="s">
        <v>444</v>
      </c>
      <c r="B17" s="7">
        <v>19061723.600000005</v>
      </c>
      <c r="C17" s="7">
        <v>1591744.9309</v>
      </c>
      <c r="D17" s="7">
        <v>3845647.0797999999</v>
      </c>
      <c r="E17" s="54">
        <f t="shared" si="0"/>
        <v>8.3239075035980914</v>
      </c>
      <c r="F17" s="54">
        <f t="shared" ref="F17:F22" si="1">F16+E17</f>
        <v>20.110515172577209</v>
      </c>
    </row>
    <row r="18" spans="1:14" x14ac:dyDescent="0.3">
      <c r="A18" s="6" t="s">
        <v>459</v>
      </c>
      <c r="B18" s="7">
        <v>19088989.400000002</v>
      </c>
      <c r="C18" s="7">
        <v>1421721.2439999999</v>
      </c>
      <c r="D18" s="7">
        <v>5267368.3237999985</v>
      </c>
      <c r="E18" s="54">
        <f t="shared" si="0"/>
        <v>7.434781729925227</v>
      </c>
      <c r="F18" s="54">
        <f t="shared" si="1"/>
        <v>27.545296902502436</v>
      </c>
      <c r="I18" s="3" t="s">
        <v>495</v>
      </c>
      <c r="J18" s="3" t="s">
        <v>590</v>
      </c>
      <c r="K18" s="3" t="s">
        <v>589</v>
      </c>
      <c r="L18" s="3" t="s">
        <v>19</v>
      </c>
      <c r="M18" s="3" t="s">
        <v>591</v>
      </c>
      <c r="N18" s="3" t="s">
        <v>592</v>
      </c>
    </row>
    <row r="19" spans="1:14" x14ac:dyDescent="0.3">
      <c r="A19" s="6" t="s">
        <v>466</v>
      </c>
      <c r="B19" s="7">
        <v>19087906.199999999</v>
      </c>
      <c r="C19" s="7">
        <v>1728439.2719999994</v>
      </c>
      <c r="D19" s="7">
        <v>6995807.5957999984</v>
      </c>
      <c r="E19" s="54">
        <f t="shared" si="0"/>
        <v>9.0387400307783938</v>
      </c>
      <c r="F19" s="54">
        <f t="shared" si="1"/>
        <v>36.584036933280828</v>
      </c>
      <c r="I19" s="3" t="s">
        <v>24</v>
      </c>
      <c r="J19" s="56">
        <v>16468968.5</v>
      </c>
      <c r="K19" s="56">
        <v>860359.39809999999</v>
      </c>
      <c r="L19" s="53">
        <v>860359.39809999999</v>
      </c>
      <c r="M19" s="57">
        <f t="shared" ref="M19:M30" si="2">K19/J19*100</f>
        <v>5.2241243773099697</v>
      </c>
      <c r="N19" s="57">
        <f>Таблица2[[#This Row],[Исполнено с начала года]]/$J$30*100</f>
        <v>4.881865829249092</v>
      </c>
    </row>
    <row r="20" spans="1:14" x14ac:dyDescent="0.3">
      <c r="A20" s="6" t="s">
        <v>484</v>
      </c>
      <c r="B20" s="7">
        <v>19107568.699999999</v>
      </c>
      <c r="C20" s="7">
        <v>2137152.5394000011</v>
      </c>
      <c r="D20" s="7">
        <v>9132960.1352000013</v>
      </c>
      <c r="E20" s="54">
        <f t="shared" si="0"/>
        <v>11.176074579352937</v>
      </c>
      <c r="F20" s="54">
        <f t="shared" si="1"/>
        <v>47.760111512633763</v>
      </c>
      <c r="I20" s="3" t="s">
        <v>422</v>
      </c>
      <c r="J20" s="56">
        <v>16699802.100000003</v>
      </c>
      <c r="K20" s="56">
        <v>1336956.9621000001</v>
      </c>
      <c r="L20" s="53">
        <v>2197316.3602</v>
      </c>
      <c r="M20" s="57">
        <f t="shared" si="2"/>
        <v>8.0058251834014236</v>
      </c>
      <c r="N20" s="57">
        <f>Таблица2[[#This Row],[Исполнено с начала года]]/$J$30*100</f>
        <v>12.468049606478019</v>
      </c>
    </row>
    <row r="21" spans="1:14" x14ac:dyDescent="0.3">
      <c r="A21" s="6" t="s">
        <v>488</v>
      </c>
      <c r="B21" s="7">
        <v>19122568.699999999</v>
      </c>
      <c r="C21" s="7">
        <v>1719617.2159000004</v>
      </c>
      <c r="D21" s="7">
        <v>10852577.351100009</v>
      </c>
      <c r="E21" s="54">
        <f t="shared" si="0"/>
        <v>8.9926057679688221</v>
      </c>
      <c r="F21" s="54">
        <f t="shared" si="1"/>
        <v>56.752717280602582</v>
      </c>
      <c r="I21" s="3" t="s">
        <v>444</v>
      </c>
      <c r="J21" s="56">
        <v>16769835.000000002</v>
      </c>
      <c r="K21" s="56">
        <v>1327112.5469000004</v>
      </c>
      <c r="L21" s="53">
        <v>3524428.9071000009</v>
      </c>
      <c r="M21" s="57">
        <f t="shared" si="2"/>
        <v>7.913688756627602</v>
      </c>
      <c r="N21" s="57">
        <f>Таблица2[[#This Row],[Исполнено с начала года]]/$J$30*100</f>
        <v>19.998374036694582</v>
      </c>
    </row>
    <row r="22" spans="1:14" x14ac:dyDescent="0.3">
      <c r="A22" s="6" t="s">
        <v>493</v>
      </c>
      <c r="B22" s="7">
        <v>19122568.699999999</v>
      </c>
      <c r="C22" s="7">
        <v>905764.90029999986</v>
      </c>
      <c r="D22" s="7">
        <v>11758342.251399996</v>
      </c>
      <c r="E22" s="54">
        <f t="shared" si="0"/>
        <v>4.7366277748030781</v>
      </c>
      <c r="F22" s="54">
        <f t="shared" si="1"/>
        <v>61.489345055405657</v>
      </c>
      <c r="I22" s="3" t="s">
        <v>459</v>
      </c>
      <c r="J22" s="56">
        <v>16774174.800000003</v>
      </c>
      <c r="K22" s="56">
        <v>1249785.0306999998</v>
      </c>
      <c r="L22" s="53">
        <v>4774213.9378000014</v>
      </c>
      <c r="M22" s="57">
        <f t="shared" si="2"/>
        <v>7.4506498567071064</v>
      </c>
      <c r="N22" s="57">
        <f>Таблица2[[#This Row],[Исполнено с начала года]]/$J$30*100</f>
        <v>27.089925368330299</v>
      </c>
    </row>
    <row r="23" spans="1:14" x14ac:dyDescent="0.3">
      <c r="I23" s="3" t="s">
        <v>466</v>
      </c>
      <c r="J23" s="56">
        <v>16774174.800000003</v>
      </c>
      <c r="K23" s="56">
        <v>1419741.5016999997</v>
      </c>
      <c r="L23" s="53">
        <v>6193955.4395000003</v>
      </c>
      <c r="M23" s="57">
        <f t="shared" si="2"/>
        <v>8.463853027810341</v>
      </c>
      <c r="N23" s="57">
        <f>Таблица2[[#This Row],[Исполнено с начала года]]/$J$30*100</f>
        <v>35.145846578492318</v>
      </c>
    </row>
    <row r="24" spans="1:14" x14ac:dyDescent="0.3">
      <c r="I24" s="3" t="s">
        <v>484</v>
      </c>
      <c r="J24" s="56">
        <v>16826055.500000004</v>
      </c>
      <c r="K24" s="56">
        <v>1948566.7143000003</v>
      </c>
      <c r="L24" s="53">
        <v>8142522.1537999995</v>
      </c>
      <c r="M24" s="57">
        <f t="shared" si="2"/>
        <v>11.580650701526569</v>
      </c>
      <c r="N24" s="57">
        <f>Таблица2[[#This Row],[Исполнено с начала года]]/$J$30*100</f>
        <v>46.202436742510827</v>
      </c>
    </row>
    <row r="25" spans="1:14" x14ac:dyDescent="0.3">
      <c r="I25" s="3" t="s">
        <v>488</v>
      </c>
      <c r="J25" s="56">
        <v>16964259.800000004</v>
      </c>
      <c r="K25" s="56">
        <v>1374898.8683000004</v>
      </c>
      <c r="L25" s="53">
        <v>9517421.0221000016</v>
      </c>
      <c r="M25" s="57">
        <f t="shared" si="2"/>
        <v>8.1046793936744592</v>
      </c>
      <c r="N25" s="57">
        <f>Таблица2[[#This Row],[Исполнено с начала года]]/$J$30*100</f>
        <v>54.003911124786221</v>
      </c>
    </row>
    <row r="26" spans="1:14" x14ac:dyDescent="0.3">
      <c r="I26" s="3" t="s">
        <v>493</v>
      </c>
      <c r="J26" s="56">
        <v>17026252.000000004</v>
      </c>
      <c r="K26" s="56">
        <v>978786.69759999984</v>
      </c>
      <c r="L26" s="53">
        <v>10496207.719699999</v>
      </c>
      <c r="M26" s="57">
        <f t="shared" si="2"/>
        <v>5.7486914771377728</v>
      </c>
      <c r="N26" s="57">
        <f>Таблица2[[#This Row],[Исполнено с начала года]]/$J$30*100</f>
        <v>59.557759137243927</v>
      </c>
    </row>
    <row r="27" spans="1:14" x14ac:dyDescent="0.3">
      <c r="I27" s="3" t="s">
        <v>585</v>
      </c>
      <c r="J27" s="56">
        <v>17024252</v>
      </c>
      <c r="K27" s="56">
        <v>1262274.2978000003</v>
      </c>
      <c r="L27" s="53">
        <v>11758482.017499998</v>
      </c>
      <c r="M27" s="57">
        <f t="shared" si="2"/>
        <v>7.4145653964708718</v>
      </c>
      <c r="N27" s="57">
        <f>Таблица2[[#This Row],[Исполнено с начала года]]/$J$30*100</f>
        <v>66.72017727921785</v>
      </c>
    </row>
    <row r="28" spans="1:14" x14ac:dyDescent="0.3">
      <c r="I28" s="3" t="s">
        <v>558</v>
      </c>
      <c r="J28" s="56">
        <v>16982624.900000002</v>
      </c>
      <c r="K28" s="56">
        <v>1319865.3182999997</v>
      </c>
      <c r="L28" s="53">
        <v>13078347.335799998</v>
      </c>
      <c r="M28" s="57">
        <f t="shared" si="2"/>
        <v>7.77185697777497</v>
      </c>
      <c r="N28" s="57">
        <f>Таблица2[[#This Row],[Исполнено с начала года]]/$J$30*100</f>
        <v>74.209379362497501</v>
      </c>
    </row>
    <row r="29" spans="1:14" x14ac:dyDescent="0.3">
      <c r="I29" s="3" t="s">
        <v>575</v>
      </c>
      <c r="J29" s="56">
        <v>17088822.400000002</v>
      </c>
      <c r="K29" s="56">
        <v>1521832.5655000007</v>
      </c>
      <c r="L29" s="53">
        <v>14600179.901300007</v>
      </c>
      <c r="M29" s="57">
        <f t="shared" si="2"/>
        <v>8.9054267747554121</v>
      </c>
      <c r="N29" s="57">
        <f>Таблица2[[#This Row],[Исполнено с начала года]]/$J$30*100</f>
        <v>82.84458741131975</v>
      </c>
    </row>
    <row r="30" spans="1:14" x14ac:dyDescent="0.3">
      <c r="I30" s="3" t="s">
        <v>577</v>
      </c>
      <c r="J30" s="56">
        <v>17623577.300000004</v>
      </c>
      <c r="K30" s="56">
        <v>2991508.5640999996</v>
      </c>
      <c r="L30" s="53">
        <v>17591688.465400003</v>
      </c>
      <c r="M30" s="57">
        <f t="shared" si="2"/>
        <v>16.974468424750512</v>
      </c>
      <c r="N30" s="57">
        <f>Таблица2[[#This Row],[Исполнено с начала года]]/$J$30*100</f>
        <v>99.819055836070234</v>
      </c>
    </row>
    <row r="35" spans="12:18" ht="14.5" thickBot="1" x14ac:dyDescent="0.35"/>
    <row r="36" spans="12:18" ht="284.5" customHeight="1" thickBot="1" x14ac:dyDescent="0.35">
      <c r="L36" s="50" t="s">
        <v>603</v>
      </c>
      <c r="M36" s="51"/>
      <c r="N36" s="51"/>
      <c r="O36" s="51"/>
      <c r="P36" s="51"/>
      <c r="Q36" s="51"/>
      <c r="R36" s="52"/>
    </row>
  </sheetData>
  <mergeCells count="1">
    <mergeCell ref="L36:R36"/>
  </mergeCells>
  <phoneticPr fontId="2" type="noConversion"/>
  <pageMargins left="0.7" right="0.7" top="0.75" bottom="0.75" header="0.3" footer="0.3"/>
  <drawing r:id="rId3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ACC9-CBC9-4820-B5DB-71E9BE084981}">
  <dimension ref="A1:H3"/>
  <sheetViews>
    <sheetView showGridLines="0" tabSelected="1" zoomScale="99" zoomScaleNormal="99" workbookViewId="0">
      <selection activeCell="J3" sqref="J3"/>
    </sheetView>
  </sheetViews>
  <sheetFormatPr defaultRowHeight="14.5" x14ac:dyDescent="0.35"/>
  <sheetData>
    <row r="1" spans="1:8" ht="20" x14ac:dyDescent="0.4">
      <c r="A1" s="39" t="s">
        <v>604</v>
      </c>
      <c r="B1" s="40"/>
      <c r="C1" s="40"/>
      <c r="D1" s="40"/>
      <c r="E1" s="40"/>
      <c r="F1" s="40"/>
      <c r="G1" s="40"/>
      <c r="H1" s="41"/>
    </row>
    <row r="2" spans="1:8" x14ac:dyDescent="0.35">
      <c r="A2" s="59"/>
      <c r="B2" s="60"/>
      <c r="C2" s="60"/>
      <c r="D2" s="60"/>
      <c r="E2" s="60"/>
      <c r="F2" s="60"/>
      <c r="G2" s="60"/>
      <c r="H2" s="61"/>
    </row>
    <row r="3" spans="1:8" ht="243.5" customHeight="1" thickBot="1" x14ac:dyDescent="0.4">
      <c r="A3" s="62" t="s">
        <v>605</v>
      </c>
      <c r="B3" s="63"/>
      <c r="C3" s="63"/>
      <c r="D3" s="63"/>
      <c r="E3" s="63"/>
      <c r="F3" s="63"/>
      <c r="G3" s="63"/>
      <c r="H3" s="64"/>
    </row>
  </sheetData>
  <mergeCells count="2">
    <mergeCell ref="A3:H3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Описание</vt:lpstr>
      <vt:lpstr>2024</vt:lpstr>
      <vt:lpstr>2025</vt:lpstr>
      <vt:lpstr>план 2025</vt:lpstr>
      <vt:lpstr> факт 2025</vt:lpstr>
      <vt:lpstr>динамика по месяцам</vt:lpstr>
      <vt:lpstr>Заключение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Моисеенкова</dc:creator>
  <cp:lastModifiedBy>Алина Моисеенкова</cp:lastModifiedBy>
  <dcterms:created xsi:type="dcterms:W3CDTF">2025-09-23T08:31:42Z</dcterms:created>
  <dcterms:modified xsi:type="dcterms:W3CDTF">2025-10-18T16:17:59Z</dcterms:modified>
</cp:coreProperties>
</file>